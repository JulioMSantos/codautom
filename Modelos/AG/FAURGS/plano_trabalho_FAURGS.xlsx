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OneDrive\Área de Trabalho\Julio\"/>
    </mc:Choice>
  </mc:AlternateContent>
  <xr:revisionPtr revIDLastSave="0" documentId="13_ncr:1_{AFACF2D9-286F-4CB8-81B5-4AEC0B27C82F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1" i="1" l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32" i="1" s="1"/>
  <c r="K201" i="1" s="1"/>
  <c r="K91" i="1" s="1"/>
  <c r="K301" i="1"/>
  <c r="K300" i="1"/>
  <c r="E295" i="1"/>
  <c r="I294" i="1"/>
  <c r="J285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 s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2" i="1" s="1"/>
  <c r="L115" i="1"/>
  <c r="L114" i="1"/>
  <c r="K103" i="1"/>
  <c r="K211" i="1" l="1"/>
  <c r="K95" i="1" s="1"/>
  <c r="K207" i="1"/>
  <c r="K93" i="1" s="1"/>
  <c r="K89" i="1"/>
  <c r="K97" i="1" s="1"/>
  <c r="K64" i="1" s="1"/>
  <c r="K2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<sst xmlns="http://schemas.openxmlformats.org/spreadsheetml/2006/main" count="486" uniqueCount="381">
  <si>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</si>
  <si>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</si>
  <si>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</si>
  <si>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</si>
  <si>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</si>
  <si>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</si>
  <si>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</si>
  <si>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</si>
  <si>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</si>
  <si>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</si>
  <si>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</si>
  <si>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</si>
  <si>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</si>
  <si>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</si>
  <si>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ESF. ADMINISTRATIVA: PRIVADA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</si>
  <si>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</si>
  <si>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</si>
  <si>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</si>
  <si>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</si>
  <si>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</si>
  <si>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</si>
  <si>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</si>
  <si>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</si>
  <si>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</si>
  <si>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</si>
  <si>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</si>
  <si>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</si>
  <si>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</si>
  <si>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</si>
  <si>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</si>
  <si>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</si>
  <si>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</si>
  <si>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</si>
  <si>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</si>
  <si>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</si>
  <si>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</si>
  <si>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</si>
  <si>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</si>
  <si>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</si>
  <si>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</si>
  <si>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</si>
  <si>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</si>
  <si>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</si>
  <si>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</si>
  <si>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</si>
  <si>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</si>
  <si>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</si>
  <si>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</si>
  <si>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</si>
  <si>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</si>
  <si>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</si>
  <si>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</si>
  <si>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</si>
  <si>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</si>
  <si>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</si>
  <si>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</si>
  <si>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</si>
  <si>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</si>
  <si>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</si>
  <si>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</si>
  <si>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</si>
  <si>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</si>
  <si>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</si>
  <si>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</si>
  <si>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</si>
  <si>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</si>
  <si>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</si>
  <si>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</si>
  <si>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</si>
  <si>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</si>
  <si>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</si>
  <si>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</si>
  <si>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</si>
  <si>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</si>
  <si>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</si>
  <si>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</si>
  <si>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</si>
  <si>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</si>
  <si>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</si>
  <si>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</si>
  <si>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</si>
  <si>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</si>
  <si>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</si>
  <si>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</si>
  <si>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</si>
  <si>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</si>
  <si>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</si>
  <si>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</si>
  <si>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</si>
  <si>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</si>
  <si>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</si>
  <si>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</si>
  <si>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</si>
  <si>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</si>
  <si>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</si>
  <si>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</si>
  <si>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</si>
  <si>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</si>
  <si>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</si>
  <si>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</si>
  <si>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</si>
  <si>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</si>
  <si>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</si>
  <si>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</si>
  <si>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</si>
  <si>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</si>
  <si>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</si>
  <si>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</si>
  <si>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</si>
  <si>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</si>
  <si>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</si>
  <si>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</si>
  <si>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</si>
  <si>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</si>
  <si>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</si>
  <si>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</si>
  <si>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</si>
  <si>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</si>
  <si>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</si>
  <si>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</si>
  <si>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</si>
  <si>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</si>
  <si>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</si>
  <si>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</si>
  <si>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</si>
  <si>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</si>
  <si>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</si>
  <si>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</si>
  <si>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</si>
  <si>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</si>
  <si>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</si>
  <si>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</si>
  <si>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</si>
  <si>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</si>
  <si>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</si>
  <si>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</si>
  <si>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</si>
  <si>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</si>
  <si>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</si>
  <si>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</si>
  <si>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</si>
  <si>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</si>
  <si>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</si>
  <si>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</si>
  <si>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</si>
  <si>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</si>
  <si>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</si>
  <si>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</si>
  <si>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</si>
  <si>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</si>
  <si>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</si>
  <si>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</si>
  <si>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</si>
  <si>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</si>
  <si>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</si>
  <si>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</si>
  <si>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</si>
  <si>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</si>
  <si>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</si>
  <si>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</si>
  <si>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</si>
  <si>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</si>
  <si>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</si>
  <si>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</si>
  <si>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</si>
  <si>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</si>
  <si>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</si>
  <si>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</si>
  <si>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</si>
  <si>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</si>
  <si>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</si>
  <si>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</si>
  <si>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</si>
  <si>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</si>
  <si>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</si>
  <si>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</si>
  <si>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</si>
  <si>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</si>
  <si>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</si>
  <si>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</si>
  <si>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</si>
  <si>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</si>
  <si>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</si>
  <si>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</si>
  <si>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</si>
  <si>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</si>
  <si>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</si>
  <si>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</si>
  <si>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</si>
  <si>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</si>
  <si>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</si>
  <si>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</si>
  <si>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</si>
  <si>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</si>
  <si>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</si>
  <si>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</si>
  <si>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</si>
  <si>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</si>
  <si>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</si>
  <si>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</si>
  <si>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</si>
  <si>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</si>
  <si>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</si>
  <si>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</si>
  <si>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</si>
  <si>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</si>
  <si>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</si>
  <si>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</si>
  <si>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</si>
  <si>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</si>
  <si>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</si>
  <si>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</si>
  <si>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</si>
  <si>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</si>
  <si>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</si>
  <si>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</si>
  <si>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</si>
  <si>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</si>
  <si>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</si>
  <si>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</si>
  <si>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</si>
  <si>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</si>
  <si>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</si>
  <si>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</si>
  <si>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</si>
  <si>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</si>
  <si>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</si>
  <si>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</si>
  <si>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</si>
  <si>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</si>
  <si>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</si>
  <si>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</si>
  <si>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</si>
  <si>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</si>
  <si>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</si>
  <si>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</si>
  <si>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</si>
  <si>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</si>
  <si>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</si>
  <si>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</si>
  <si>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</si>
  <si>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</si>
  <si>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</si>
  <si>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</si>
  <si>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</si>
  <si>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</si>
  <si>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</si>
  <si>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</si>
  <si>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</si>
  <si>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</si>
  <si>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</si>
  <si>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</si>
  <si>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</si>
  <si>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</si>
  <si>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</si>
  <si>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</si>
  <si>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</si>
  <si>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</si>
  <si>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</si>
  <si>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</si>
  <si>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</si>
  <si>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</si>
  <si>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</si>
  <si>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</si>
  <si>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</si>
  <si>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</si>
  <si>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</si>
  <si>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</si>
  <si>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</si>
  <si>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</si>
  <si>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</si>
  <si>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</si>
  <si>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</si>
  <si>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</si>
  <si>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</si>
  <si>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</si>
  <si>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</si>
  <si>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</si>
  <si>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</si>
  <si>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</si>
  <si>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</si>
  <si>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</si>
  <si>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</si>
  <si>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</si>
  <si>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</si>
  <si>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</si>
  <si>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</si>
  <si>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</si>
  <si>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</si>
  <si>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</si>
  <si>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</si>
  <si>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</si>
  <si>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</si>
  <si>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</si>
  <si>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</si>
  <si>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</si>
  <si>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</si>
  <si>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</si>
  <si>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</si>
  <si>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</si>
  <si>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</si>
  <si>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</si>
  <si>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</si>
  <si>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</si>
  <si>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</si>
  <si>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</si>
  <si>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</si>
  <si>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</si>
  <si>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</si>
  <si>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</si>
  <si>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</si>
  <si>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</si>
  <si>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</si>
  <si>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</si>
  <si>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</si>
  <si>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</si>
  <si>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</si>
  <si>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</si>
  <si>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</si>
  <si>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</si>
  <si>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</si>
  <si>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</si>
  <si>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</si>
  <si>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</si>
  <si>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</si>
  <si>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</si>
  <si>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</si>
  <si>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</si>
  <si>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</si>
  <si>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</si>
  <si>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</si>
  <si>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</si>
  <si>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</si>
  <si>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</si>
  <si>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</si>
  <si>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</si>
  <si>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</si>
  <si>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</si>
  <si>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</si>
  <si>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</si>
  <si>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</si>
  <si>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</si>
  <si>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</si>
  <si>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</si>
  <si>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</si>
  <si>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</si>
  <si>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</si>
  <si>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</si>
  <si>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</si>
  <si>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</si>
  <si>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</si>
  <si>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</si>
  <si>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</si>
  <si>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</si>
  <si>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</si>
  <si>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</si>
  <si>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</si>
  <si>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</si>
  <si>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</si>
  <si>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</si>
  <si>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</si>
  <si>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</si>
  <si>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</si>
  <si>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</si>
  <si>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</si>
  <si>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</si>
  <si>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</si>
  <si>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</si>
  <si>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</si>
  <si>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</si>
  <si>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</si>
  <si>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</si>
  <si>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NOME: FUNDAÇÃO DE APOIO DA UNIVERCIDADE FEDERAL DO RIO GRANDE DO SUL- FAURGS</t>
  </si>
  <si>
    <t>C.N.P.J.: 74.704.008/0005-07</t>
  </si>
  <si>
    <t>ENDEREÇO: AV. RORAIMA, 1000 - CAMOBI - EDIF. 47, SALA 327</t>
  </si>
  <si>
    <t>CEP: 97105-970</t>
  </si>
  <si>
    <t>DDD/FONE: (51) 3166-946</t>
  </si>
  <si>
    <t>NOME DO DIRIGENTE DA ENTIDADE PROPONENTE: Lívio Amaral</t>
  </si>
  <si>
    <t>FUNÇÃO: PRESIDENTE</t>
  </si>
  <si>
    <t>Plano de Trabalho - FAURGS</t>
  </si>
  <si>
    <t>2.5 - Experiência da UFSM para executar o projeto e capacidade operacional (Citar brevemente experiência em projetos e infraestrutura disponível para desenvolver o projeto)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</si>
</sst>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6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  <font>
      <b/>
      <sz val="14"/>
      <color rgb="FF000000"/>
      <name val="Calibri"/>
      <family val="2"/>
    </font>
    <font>
      <sz val="11"/>
      <name val="Calibri"/>
      <family val="2"/>
    </font>
    <font>
      <sz val="14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1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05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2" fillId="2" borderId="16" xfId="0" applyFont="1" applyFill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2" fillId="0" borderId="16" xfId="0" applyFont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2" fillId="3" borderId="16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0" fontId="2" fillId="2" borderId="40" xfId="0" applyFont="1" applyFill="1" applyBorder="1" applyAlignment="1">
      <alignment horizontal="left" vertical="center"/>
    </xf>
    <xf numFmtId="0" fontId="3" fillId="0" borderId="41" xfId="0" applyFont="1" applyBorder="1"/>
    <xf numFmtId="0" fontId="3" fillId="0" borderId="37" xfId="0" applyFont="1" applyBorder="1"/>
    <xf numFmtId="0" fontId="2" fillId="0" borderId="42" xfId="0" applyFont="1" applyBorder="1" applyAlignment="1">
      <alignment horizontal="left" vertical="center"/>
    </xf>
    <xf numFmtId="0" fontId="3" fillId="0" borderId="43" xfId="0" applyFont="1" applyBorder="1"/>
    <xf numFmtId="0" fontId="3" fillId="0" borderId="44" xfId="0" applyFont="1" applyBorder="1"/>
    <xf numFmtId="0" fontId="3" fillId="0" borderId="35" xfId="0" applyFont="1" applyBorder="1"/>
    <xf numFmtId="0" fontId="2" fillId="2" borderId="5" xfId="0" applyFont="1" applyFill="1" applyBorder="1" applyAlignment="1">
      <alignment horizontal="left" vertical="center"/>
    </xf>
    <xf numFmtId="0" fontId="2" fillId="0" borderId="16" xfId="0" applyFont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1" xfId="0" applyFont="1" applyBorder="1"/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2" borderId="8" xfId="0" applyFont="1" applyFill="1" applyBorder="1" applyAlignment="1">
      <alignment horizontal="left" vertical="center" wrapText="1"/>
    </xf>
    <xf numFmtId="0" fontId="3" fillId="0" borderId="9" xfId="0" applyFont="1" applyBorder="1"/>
    <xf numFmtId="0" fontId="3" fillId="0" borderId="10" xfId="0" applyFont="1" applyBorder="1"/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2" borderId="8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 wrapText="1"/>
    </xf>
    <xf numFmtId="0" fontId="3" fillId="0" borderId="34" xfId="0" applyFont="1" applyBorder="1"/>
    <xf numFmtId="0" fontId="5" fillId="3" borderId="29" xfId="0" applyFont="1" applyFill="1" applyBorder="1" applyAlignment="1">
      <alignment horizontal="center" vertical="center" wrapText="1"/>
    </xf>
    <xf numFmtId="0" fontId="3" fillId="0" borderId="30" xfId="0" applyFont="1" applyBorder="1"/>
    <xf numFmtId="0" fontId="3" fillId="0" borderId="31" xfId="0" applyFont="1" applyBorder="1"/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3" fillId="0" borderId="33" xfId="0" applyFont="1" applyBorder="1"/>
    <xf numFmtId="0" fontId="2" fillId="5" borderId="16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13" fillId="2" borderId="8" xfId="0" applyFont="1" applyFill="1" applyBorder="1" applyAlignment="1">
      <alignment horizontal="left"/>
    </xf>
    <xf numFmtId="0" fontId="14" fillId="0" borderId="9" xfId="0" applyFont="1" applyBorder="1"/>
    <xf numFmtId="0" fontId="14" fillId="0" borderId="10" xfId="0" applyFont="1" applyBorder="1"/>
    <xf numFmtId="0" fontId="15" fillId="2" borderId="8" xfId="0" applyFont="1" applyFill="1" applyBorder="1" applyAlignment="1">
      <alignment horizontal="center"/>
    </xf>
    <xf numFmtId="0" fontId="15" fillId="2" borderId="54" xfId="0" applyFont="1" applyFill="1" applyBorder="1" applyAlignment="1">
      <alignment horizontal="center"/>
    </xf>
    <xf numFmtId="0" fontId="14" fillId="0" borderId="115" xfId="0" applyFont="1" applyBorder="1"/>
    <xf numFmtId="0" fontId="15" fillId="2" borderId="104" xfId="0" applyFont="1" applyFill="1" applyBorder="1" applyAlignment="1">
      <alignment horizontal="center"/>
    </xf>
    <xf numFmtId="0" fontId="14" fillId="0" borderId="11" xfId="0" applyFont="1" applyBorder="1"/>
    <xf numFmtId="0" fontId="14" fillId="0" borderId="86" xfId="0" applyFont="1" applyBorder="1"/>
    <xf numFmtId="0" fontId="15" fillId="2" borderId="103" xfId="0" applyFont="1" applyFill="1" applyBorder="1" applyAlignment="1">
      <alignment horizontal="center"/>
    </xf>
    <xf numFmtId="0" fontId="14" fillId="0" borderId="7" xfId="0" applyFont="1" applyBorder="1"/>
    <xf numFmtId="0" fontId="2" fillId="2" borderId="40" xfId="0" applyFont="1" applyFill="1" applyBorder="1" applyAlignment="1">
      <alignment horizontal="left" vertical="center" wrapText="1"/>
    </xf>
    <xf numFmtId="0" fontId="3" fillId="0" borderId="45" xfId="0" applyFont="1" applyBorder="1"/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3" fillId="0" borderId="47" xfId="0" applyFont="1" applyBorder="1"/>
    <xf numFmtId="164" fontId="2" fillId="3" borderId="16" xfId="0" applyNumberFormat="1" applyFont="1" applyFill="1" applyBorder="1" applyAlignment="1">
      <alignment horizontal="left" vertical="center"/>
    </xf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3" fillId="0" borderId="49" xfId="0" applyFont="1" applyBorder="1"/>
    <xf numFmtId="0" fontId="3" fillId="0" borderId="50" xfId="0" applyFont="1" applyBorder="1"/>
    <xf numFmtId="0" fontId="1" fillId="2" borderId="22" xfId="0" applyFont="1" applyFill="1" applyBorder="1" applyAlignment="1">
      <alignment horizontal="left" vertical="center"/>
    </xf>
    <xf numFmtId="0" fontId="3" fillId="0" borderId="51" xfId="0" applyFont="1" applyBorder="1"/>
    <xf numFmtId="0" fontId="3" fillId="0" borderId="52" xfId="0" applyFont="1" applyBorder="1"/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3" fillId="0" borderId="55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left" vertical="center"/>
    </xf>
    <xf numFmtId="0" fontId="3" fillId="0" borderId="69" xfId="0" applyFont="1" applyBorder="1"/>
    <xf numFmtId="166" fontId="1" fillId="2" borderId="42" xfId="0" applyNumberFormat="1" applyFont="1" applyFill="1" applyBorder="1" applyAlignment="1">
      <alignment horizontal="center" vertical="center"/>
    </xf>
    <xf numFmtId="0" fontId="3" fillId="0" borderId="70" xfId="0" applyFont="1" applyBorder="1"/>
    <xf numFmtId="0" fontId="1" fillId="2" borderId="22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3" fillId="0" borderId="71" xfId="0" applyFont="1" applyBorder="1"/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166" fontId="7" fillId="2" borderId="77" xfId="0" applyNumberFormat="1" applyFont="1" applyFill="1" applyBorder="1" applyAlignment="1">
      <alignment horizontal="center" vertical="center" shrinkToFit="1"/>
    </xf>
    <xf numFmtId="0" fontId="3" fillId="0" borderId="79" xfId="0" applyFont="1" applyBorder="1"/>
    <xf numFmtId="0" fontId="2" fillId="0" borderId="8" xfId="0" applyFont="1" applyBorder="1" applyAlignment="1">
      <alignment vertical="center" wrapText="1"/>
    </xf>
    <xf numFmtId="0" fontId="1" fillId="2" borderId="87" xfId="0" applyFont="1" applyFill="1" applyBorder="1" applyAlignment="1">
      <alignment horizontal="left" vertical="center"/>
    </xf>
    <xf numFmtId="0" fontId="3" fillId="0" borderId="90" xfId="0" applyFont="1" applyBorder="1"/>
    <xf numFmtId="0" fontId="3" fillId="0" borderId="89" xfId="0" applyFont="1" applyBorder="1"/>
    <xf numFmtId="0" fontId="3" fillId="0" borderId="99" xfId="0" applyFont="1" applyBorder="1"/>
    <xf numFmtId="0" fontId="3" fillId="0" borderId="116" xfId="0" applyFont="1" applyBorder="1"/>
    <xf numFmtId="0" fontId="3" fillId="0" borderId="117" xfId="0" applyFont="1" applyBorder="1"/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0" borderId="62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3" fillId="0" borderId="58" xfId="0" applyFont="1" applyBorder="1"/>
    <xf numFmtId="0" fontId="3" fillId="0" borderId="32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4" fillId="3" borderId="22" xfId="0" applyFont="1" applyFill="1" applyBorder="1" applyAlignment="1">
      <alignment horizontal="center" vertical="center" shrinkToFit="1"/>
    </xf>
    <xf numFmtId="0" fontId="8" fillId="3" borderId="80" xfId="0" applyFont="1" applyFill="1" applyBorder="1" applyAlignment="1">
      <alignment horizontal="center" vertical="center" wrapText="1"/>
    </xf>
    <xf numFmtId="0" fontId="3" fillId="0" borderId="81" xfId="0" applyFont="1" applyBorder="1"/>
    <xf numFmtId="49" fontId="8" fillId="3" borderId="80" xfId="0" applyNumberFormat="1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49" fontId="2" fillId="3" borderId="16" xfId="0" applyNumberFormat="1" applyFont="1" applyFill="1" applyBorder="1" applyAlignment="1">
      <alignment horizontal="center" vertical="center" wrapText="1"/>
    </xf>
    <xf numFmtId="0" fontId="2" fillId="3" borderId="80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shrinkToFit="1"/>
    </xf>
    <xf numFmtId="0" fontId="2" fillId="3" borderId="48" xfId="0" applyFont="1" applyFill="1" applyBorder="1" applyAlignment="1">
      <alignment horizontal="center" vertical="center" wrapText="1"/>
    </xf>
    <xf numFmtId="49" fontId="2" fillId="3" borderId="48" xfId="0" applyNumberFormat="1" applyFont="1" applyFill="1" applyBorder="1" applyAlignment="1">
      <alignment horizontal="center" vertical="center" wrapText="1"/>
    </xf>
    <xf numFmtId="0" fontId="1" fillId="2" borderId="77" xfId="0" applyFont="1" applyFill="1" applyBorder="1" applyAlignment="1">
      <alignment horizontal="center" vertical="center" wrapText="1"/>
    </xf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0" fontId="1" fillId="7" borderId="87" xfId="0" applyFont="1" applyFill="1" applyBorder="1" applyAlignment="1">
      <alignment horizontal="center" vertical="center" wrapText="1"/>
    </xf>
    <xf numFmtId="0" fontId="3" fillId="0" borderId="88" xfId="0" applyFont="1" applyBorder="1"/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10" fontId="2" fillId="3" borderId="42" xfId="0" applyNumberFormat="1" applyFont="1" applyFill="1" applyBorder="1" applyAlignment="1">
      <alignment vertical="center"/>
    </xf>
    <xf numFmtId="0" fontId="1" fillId="2" borderId="40" xfId="0" applyFont="1" applyFill="1" applyBorder="1" applyAlignment="1">
      <alignment horizontal="center" vertical="center" wrapText="1"/>
    </xf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2" fillId="12" borderId="5" xfId="0" applyFont="1" applyFill="1" applyBorder="1" applyAlignment="1">
      <alignment horizontal="center" vertical="center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166" fontId="2" fillId="2" borderId="16" xfId="0" applyNumberFormat="1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99" xfId="0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2" fillId="7" borderId="110" xfId="0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166" fontId="2" fillId="13" borderId="48" xfId="0" applyNumberFormat="1" applyFont="1" applyFill="1" applyBorder="1" applyAlignment="1">
      <alignment horizontal="center" vertical="center"/>
    </xf>
    <xf numFmtId="0" fontId="1" fillId="14" borderId="8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showGridLines="0" tabSelected="1" topLeftCell="A16" workbookViewId="0">
      <selection activeCell="A114" sqref="A114:B114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110" t="s">
        <v>379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11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12"/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113" t="s">
        <v>0</v>
      </c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106" t="s">
        <v>1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116" t="s">
        <v>2</v>
      </c>
      <c r="B6" s="117"/>
      <c r="C6" s="117"/>
      <c r="D6" s="117"/>
      <c r="E6" s="117"/>
      <c r="F6" s="117"/>
      <c r="G6" s="118"/>
      <c r="H6" s="119" t="s">
        <v>3</v>
      </c>
      <c r="I6" s="87"/>
      <c r="J6" s="87"/>
      <c r="K6" s="87"/>
      <c r="L6" s="8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120" t="s">
        <v>4</v>
      </c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2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123" t="s">
        <v>5</v>
      </c>
      <c r="B8" s="87"/>
      <c r="C8" s="91"/>
      <c r="D8" s="108" t="s">
        <v>6</v>
      </c>
      <c r="E8" s="91"/>
      <c r="F8" s="2" t="s">
        <v>7</v>
      </c>
      <c r="G8" s="2" t="s">
        <v>8</v>
      </c>
      <c r="H8" s="109" t="s">
        <v>8</v>
      </c>
      <c r="I8" s="87"/>
      <c r="J8" s="87"/>
      <c r="K8" s="87"/>
      <c r="L8" s="8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138" t="s">
        <v>9</v>
      </c>
      <c r="B9" s="87"/>
      <c r="C9" s="87"/>
      <c r="D9" s="87"/>
      <c r="E9" s="91"/>
      <c r="F9" s="2" t="s">
        <v>10</v>
      </c>
      <c r="G9" s="3" t="s">
        <v>11</v>
      </c>
      <c r="H9" s="139" t="s">
        <v>12</v>
      </c>
      <c r="I9" s="87"/>
      <c r="J9" s="87"/>
      <c r="K9" s="87"/>
      <c r="L9" s="88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>
      <c r="A10" s="140" t="s">
        <v>13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143" t="s">
        <v>372</v>
      </c>
      <c r="B11" s="144"/>
      <c r="C11" s="144"/>
      <c r="D11" s="144"/>
      <c r="E11" s="144"/>
      <c r="F11" s="144"/>
      <c r="G11" s="145"/>
      <c r="H11" s="146" t="s">
        <v>373</v>
      </c>
      <c r="I11" s="144"/>
      <c r="J11" s="144"/>
      <c r="K11" s="144"/>
      <c r="L11" s="14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147" t="s">
        <v>374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48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149" t="s">
        <v>5</v>
      </c>
      <c r="B13" s="150"/>
      <c r="C13" s="151"/>
      <c r="D13" s="152" t="s">
        <v>375</v>
      </c>
      <c r="E13" s="151"/>
      <c r="F13" s="152" t="s">
        <v>376</v>
      </c>
      <c r="G13" s="151"/>
      <c r="H13" s="152" t="s">
        <v>14</v>
      </c>
      <c r="I13" s="150"/>
      <c r="J13" s="150"/>
      <c r="K13" s="150"/>
      <c r="L13" s="153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149" t="s">
        <v>377</v>
      </c>
      <c r="B14" s="150"/>
      <c r="C14" s="150"/>
      <c r="D14" s="150"/>
      <c r="E14" s="151"/>
      <c r="F14" s="152" t="s">
        <v>378</v>
      </c>
      <c r="G14" s="150"/>
      <c r="H14" s="150"/>
      <c r="I14" s="150"/>
      <c r="J14" s="150"/>
      <c r="K14" s="150"/>
      <c r="L14" s="153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93" t="s">
        <v>15</v>
      </c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24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6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127" t="s">
        <v>16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128" t="s">
        <v>17</v>
      </c>
      <c r="B20" s="130"/>
      <c r="C20" s="131"/>
      <c r="D20" s="131"/>
      <c r="E20" s="131"/>
      <c r="F20" s="131"/>
      <c r="G20" s="132"/>
      <c r="H20" s="133" t="s">
        <v>18</v>
      </c>
      <c r="I20" s="134"/>
      <c r="J20" s="111"/>
      <c r="K20" s="111"/>
      <c r="L20" s="13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29"/>
      <c r="B21" s="105"/>
      <c r="C21" s="97"/>
      <c r="D21" s="97"/>
      <c r="E21" s="97"/>
      <c r="F21" s="97"/>
      <c r="G21" s="101"/>
      <c r="H21" s="129"/>
      <c r="I21" s="105"/>
      <c r="J21" s="97"/>
      <c r="K21" s="97"/>
      <c r="L21" s="10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136" t="s">
        <v>19</v>
      </c>
      <c r="B22" s="91"/>
      <c r="C22" s="137"/>
      <c r="D22" s="87"/>
      <c r="E22" s="87"/>
      <c r="F22" s="87"/>
      <c r="G22" s="87"/>
      <c r="H22" s="87"/>
      <c r="I22" s="87"/>
      <c r="J22" s="87"/>
      <c r="K22" s="87"/>
      <c r="L22" s="9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20</v>
      </c>
      <c r="B23" s="90"/>
      <c r="C23" s="87"/>
      <c r="D23" s="87"/>
      <c r="E23" s="87"/>
      <c r="F23" s="87"/>
      <c r="G23" s="87"/>
      <c r="H23" s="91"/>
      <c r="I23" s="6" t="s">
        <v>21</v>
      </c>
      <c r="J23" s="107"/>
      <c r="K23" s="87"/>
      <c r="L23" s="9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22</v>
      </c>
      <c r="B24" s="92"/>
      <c r="C24" s="87"/>
      <c r="D24" s="87"/>
      <c r="E24" s="87"/>
      <c r="F24" s="87"/>
      <c r="G24" s="87"/>
      <c r="H24" s="87"/>
      <c r="I24" s="87"/>
      <c r="J24" s="87"/>
      <c r="K24" s="87"/>
      <c r="L24" s="9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93" t="s">
        <v>23</v>
      </c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96"/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8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99" t="s">
        <v>24</v>
      </c>
      <c r="B28" s="100"/>
      <c r="C28" s="102" t="s">
        <v>25</v>
      </c>
      <c r="D28" s="103"/>
      <c r="E28" s="103"/>
      <c r="F28" s="103"/>
      <c r="G28" s="103"/>
      <c r="H28" s="103"/>
      <c r="I28" s="103"/>
      <c r="J28" s="103"/>
      <c r="K28" s="103"/>
      <c r="L28" s="10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96"/>
      <c r="B29" s="101"/>
      <c r="C29" s="105"/>
      <c r="D29" s="97"/>
      <c r="E29" s="97"/>
      <c r="F29" s="97"/>
      <c r="G29" s="97"/>
      <c r="H29" s="97"/>
      <c r="I29" s="97"/>
      <c r="J29" s="97"/>
      <c r="K29" s="97"/>
      <c r="L29" s="98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106" t="s">
        <v>26</v>
      </c>
      <c r="B30" s="91"/>
      <c r="C30" s="86" t="s">
        <v>27</v>
      </c>
      <c r="D30" s="87"/>
      <c r="E30" s="87"/>
      <c r="F30" s="87"/>
      <c r="G30" s="87"/>
      <c r="H30" s="87"/>
      <c r="I30" s="87"/>
      <c r="J30" s="87"/>
      <c r="K30" s="87"/>
      <c r="L30" s="88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99" t="s">
        <v>28</v>
      </c>
      <c r="B31" s="100"/>
      <c r="C31" s="9"/>
      <c r="D31" s="9" t="s">
        <v>29</v>
      </c>
      <c r="E31" s="89" t="s">
        <v>30</v>
      </c>
      <c r="F31" s="87"/>
      <c r="G31" s="87"/>
      <c r="H31" s="87"/>
      <c r="I31" s="87"/>
      <c r="J31" s="87"/>
      <c r="K31" s="87"/>
      <c r="L31" s="88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96"/>
      <c r="B32" s="101"/>
      <c r="C32" s="9"/>
      <c r="D32" s="89" t="s">
        <v>31</v>
      </c>
      <c r="E32" s="87"/>
      <c r="F32" s="87"/>
      <c r="G32" s="87"/>
      <c r="H32" s="87"/>
      <c r="I32" s="87"/>
      <c r="J32" s="87"/>
      <c r="K32" s="87"/>
      <c r="L32" s="88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54" t="s">
        <v>32</v>
      </c>
      <c r="B33" s="100"/>
      <c r="C33" s="89" t="s">
        <v>33</v>
      </c>
      <c r="D33" s="87"/>
      <c r="E33" s="87"/>
      <c r="F33" s="87"/>
      <c r="G33" s="87"/>
      <c r="H33" s="87"/>
      <c r="I33" s="87"/>
      <c r="J33" s="87"/>
      <c r="K33" s="87"/>
      <c r="L33" s="88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55"/>
      <c r="B34" s="135"/>
      <c r="C34" s="159" t="s">
        <v>34</v>
      </c>
      <c r="D34" s="87"/>
      <c r="E34" s="87"/>
      <c r="F34" s="87"/>
      <c r="G34" s="87"/>
      <c r="H34" s="87"/>
      <c r="I34" s="87"/>
      <c r="J34" s="87"/>
      <c r="K34" s="87"/>
      <c r="L34" s="88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55"/>
      <c r="B35" s="135"/>
      <c r="C35" s="89" t="s">
        <v>35</v>
      </c>
      <c r="D35" s="87"/>
      <c r="E35" s="87"/>
      <c r="F35" s="87"/>
      <c r="G35" s="87"/>
      <c r="H35" s="87"/>
      <c r="I35" s="87"/>
      <c r="J35" s="87"/>
      <c r="K35" s="87"/>
      <c r="L35" s="88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96"/>
      <c r="B36" s="101"/>
      <c r="C36" s="89" t="s">
        <v>36</v>
      </c>
      <c r="D36" s="87"/>
      <c r="E36" s="87"/>
      <c r="F36" s="87"/>
      <c r="G36" s="87"/>
      <c r="H36" s="87"/>
      <c r="I36" s="87"/>
      <c r="J36" s="87"/>
      <c r="K36" s="87"/>
      <c r="L36" s="88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99" t="s">
        <v>37</v>
      </c>
      <c r="B37" s="100"/>
      <c r="C37" s="89" t="s">
        <v>38</v>
      </c>
      <c r="D37" s="87"/>
      <c r="E37" s="87"/>
      <c r="F37" s="87"/>
      <c r="G37" s="87"/>
      <c r="H37" s="87"/>
      <c r="I37" s="87"/>
      <c r="J37" s="87"/>
      <c r="K37" s="87"/>
      <c r="L37" s="88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96"/>
      <c r="B38" s="101"/>
      <c r="C38" s="89" t="s">
        <v>39</v>
      </c>
      <c r="D38" s="87"/>
      <c r="E38" s="87"/>
      <c r="F38" s="87"/>
      <c r="G38" s="87"/>
      <c r="H38" s="87"/>
      <c r="I38" s="87"/>
      <c r="J38" s="87"/>
      <c r="K38" s="87"/>
      <c r="L38" s="88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154" t="s">
        <v>40</v>
      </c>
      <c r="B39" s="100"/>
      <c r="C39" s="89" t="s">
        <v>41</v>
      </c>
      <c r="D39" s="87"/>
      <c r="E39" s="87"/>
      <c r="F39" s="87"/>
      <c r="G39" s="87"/>
      <c r="H39" s="87"/>
      <c r="I39" s="87"/>
      <c r="J39" s="87"/>
      <c r="K39" s="87"/>
      <c r="L39" s="88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96"/>
      <c r="B40" s="101"/>
      <c r="C40" s="89" t="s">
        <v>42</v>
      </c>
      <c r="D40" s="87"/>
      <c r="E40" s="87"/>
      <c r="F40" s="87"/>
      <c r="G40" s="87"/>
      <c r="H40" s="87"/>
      <c r="I40" s="87"/>
      <c r="J40" s="87"/>
      <c r="K40" s="87"/>
      <c r="L40" s="88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156" t="s">
        <v>43</v>
      </c>
      <c r="B41" s="91"/>
      <c r="C41" s="160" t="s">
        <v>44</v>
      </c>
      <c r="D41" s="87"/>
      <c r="E41" s="87"/>
      <c r="F41" s="87"/>
      <c r="G41" s="87"/>
      <c r="H41" s="87"/>
      <c r="I41" s="87"/>
      <c r="J41" s="87"/>
      <c r="K41" s="87"/>
      <c r="L41" s="88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157" t="s">
        <v>45</v>
      </c>
      <c r="B42" s="158"/>
      <c r="C42" s="161" t="s">
        <v>46</v>
      </c>
      <c r="D42" s="162"/>
      <c r="E42" s="162"/>
      <c r="F42" s="162"/>
      <c r="G42" s="162"/>
      <c r="H42" s="162"/>
      <c r="I42" s="162"/>
      <c r="J42" s="162"/>
      <c r="K42" s="162"/>
      <c r="L42" s="163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164" t="s">
        <v>47</v>
      </c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>
      <c r="A45" s="165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66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0.5" customHeight="1">
      <c r="A46" s="189" t="s">
        <v>48</v>
      </c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8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164" t="s">
        <v>49</v>
      </c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65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66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189" t="s">
        <v>48</v>
      </c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8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164" t="s">
        <v>50</v>
      </c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65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66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189" t="s">
        <v>48</v>
      </c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8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190" t="s">
        <v>380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2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>
      <c r="A57" s="193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>
      <c r="A58" s="196" t="s">
        <v>51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8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197" t="s">
        <v>52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8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198" t="s">
        <v>53</v>
      </c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69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96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8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211" t="s">
        <v>54</v>
      </c>
      <c r="B63" s="87"/>
      <c r="C63" s="87"/>
      <c r="D63" s="87"/>
      <c r="E63" s="87"/>
      <c r="F63" s="87"/>
      <c r="G63" s="87"/>
      <c r="H63" s="87"/>
      <c r="I63" s="87"/>
      <c r="J63" s="91"/>
      <c r="K63" s="108" t="s">
        <v>55</v>
      </c>
      <c r="L63" s="88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212" t="s">
        <v>56</v>
      </c>
      <c r="C64" s="103"/>
      <c r="D64" s="103"/>
      <c r="E64" s="103"/>
      <c r="F64" s="103"/>
      <c r="G64" s="103"/>
      <c r="H64" s="103"/>
      <c r="I64" s="103"/>
      <c r="J64" s="100"/>
      <c r="K64" s="170">
        <f>K97</f>
        <v>0</v>
      </c>
      <c r="L64" s="20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213"/>
      <c r="C65" s="97"/>
      <c r="D65" s="97"/>
      <c r="E65" s="97"/>
      <c r="F65" s="97"/>
      <c r="G65" s="97"/>
      <c r="H65" s="97"/>
      <c r="I65" s="97"/>
      <c r="J65" s="101"/>
      <c r="K65" s="204"/>
      <c r="L65" s="20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214" t="s">
        <v>57</v>
      </c>
      <c r="C66" s="103"/>
      <c r="D66" s="103"/>
      <c r="E66" s="103"/>
      <c r="F66" s="103"/>
      <c r="G66" s="103"/>
      <c r="H66" s="103"/>
      <c r="I66" s="103"/>
      <c r="J66" s="100"/>
      <c r="K66" s="204"/>
      <c r="L66" s="20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213"/>
      <c r="C67" s="97"/>
      <c r="D67" s="97"/>
      <c r="E67" s="97"/>
      <c r="F67" s="97"/>
      <c r="G67" s="97"/>
      <c r="H67" s="97"/>
      <c r="I67" s="97"/>
      <c r="J67" s="101"/>
      <c r="K67" s="204"/>
      <c r="L67" s="20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201"/>
      <c r="B68" s="202" t="s">
        <v>58</v>
      </c>
      <c r="C68" s="103"/>
      <c r="D68" s="103"/>
      <c r="E68" s="103"/>
      <c r="F68" s="103"/>
      <c r="G68" s="103"/>
      <c r="H68" s="103"/>
      <c r="I68" s="103"/>
      <c r="J68" s="100"/>
      <c r="K68" s="204"/>
      <c r="L68" s="20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200"/>
      <c r="B69" s="105"/>
      <c r="C69" s="97"/>
      <c r="D69" s="97"/>
      <c r="E69" s="97"/>
      <c r="F69" s="97"/>
      <c r="G69" s="97"/>
      <c r="H69" s="97"/>
      <c r="I69" s="97"/>
      <c r="J69" s="101"/>
      <c r="K69" s="204"/>
      <c r="L69" s="20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199"/>
      <c r="B70" s="202" t="s">
        <v>59</v>
      </c>
      <c r="C70" s="103"/>
      <c r="D70" s="103"/>
      <c r="E70" s="103"/>
      <c r="F70" s="103"/>
      <c r="G70" s="103"/>
      <c r="H70" s="103"/>
      <c r="I70" s="103"/>
      <c r="J70" s="100"/>
      <c r="K70" s="204"/>
      <c r="L70" s="20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200"/>
      <c r="B71" s="105"/>
      <c r="C71" s="97"/>
      <c r="D71" s="97"/>
      <c r="E71" s="97"/>
      <c r="F71" s="97"/>
      <c r="G71" s="97"/>
      <c r="H71" s="97"/>
      <c r="I71" s="97"/>
      <c r="J71" s="101"/>
      <c r="K71" s="204"/>
      <c r="L71" s="20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199"/>
      <c r="B72" s="215" t="s">
        <v>60</v>
      </c>
      <c r="C72" s="103"/>
      <c r="D72" s="103"/>
      <c r="E72" s="103"/>
      <c r="F72" s="103"/>
      <c r="G72" s="103"/>
      <c r="H72" s="103"/>
      <c r="I72" s="103"/>
      <c r="J72" s="100"/>
      <c r="K72" s="204"/>
      <c r="L72" s="20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200"/>
      <c r="B73" s="105"/>
      <c r="C73" s="97"/>
      <c r="D73" s="97"/>
      <c r="E73" s="97"/>
      <c r="F73" s="97"/>
      <c r="G73" s="97"/>
      <c r="H73" s="97"/>
      <c r="I73" s="97"/>
      <c r="J73" s="101"/>
      <c r="K73" s="204"/>
      <c r="L73" s="20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199"/>
      <c r="B74" s="202" t="s">
        <v>61</v>
      </c>
      <c r="C74" s="103"/>
      <c r="D74" s="103"/>
      <c r="E74" s="103"/>
      <c r="F74" s="103"/>
      <c r="G74" s="103"/>
      <c r="H74" s="103"/>
      <c r="I74" s="103"/>
      <c r="J74" s="100"/>
      <c r="K74" s="204"/>
      <c r="L74" s="20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200"/>
      <c r="B75" s="105"/>
      <c r="C75" s="97"/>
      <c r="D75" s="97"/>
      <c r="E75" s="97"/>
      <c r="F75" s="97"/>
      <c r="G75" s="97"/>
      <c r="H75" s="97"/>
      <c r="I75" s="97"/>
      <c r="J75" s="101"/>
      <c r="K75" s="204"/>
      <c r="L75" s="20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199"/>
      <c r="B76" s="202" t="s">
        <v>62</v>
      </c>
      <c r="C76" s="103"/>
      <c r="D76" s="103"/>
      <c r="E76" s="103"/>
      <c r="F76" s="103"/>
      <c r="G76" s="103"/>
      <c r="H76" s="103"/>
      <c r="I76" s="103"/>
      <c r="J76" s="100"/>
      <c r="K76" s="204"/>
      <c r="L76" s="20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200"/>
      <c r="B77" s="105"/>
      <c r="C77" s="97"/>
      <c r="D77" s="97"/>
      <c r="E77" s="97"/>
      <c r="F77" s="97"/>
      <c r="G77" s="97"/>
      <c r="H77" s="97"/>
      <c r="I77" s="97"/>
      <c r="J77" s="101"/>
      <c r="K77" s="204"/>
      <c r="L77" s="20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199"/>
      <c r="B78" s="202" t="s">
        <v>63</v>
      </c>
      <c r="C78" s="103"/>
      <c r="D78" s="103"/>
      <c r="E78" s="103"/>
      <c r="F78" s="103"/>
      <c r="G78" s="103"/>
      <c r="H78" s="103"/>
      <c r="I78" s="103"/>
      <c r="J78" s="100"/>
      <c r="K78" s="204"/>
      <c r="L78" s="20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200"/>
      <c r="B79" s="105"/>
      <c r="C79" s="97"/>
      <c r="D79" s="97"/>
      <c r="E79" s="97"/>
      <c r="F79" s="97"/>
      <c r="G79" s="97"/>
      <c r="H79" s="97"/>
      <c r="I79" s="97"/>
      <c r="J79" s="101"/>
      <c r="K79" s="204"/>
      <c r="L79" s="20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199"/>
      <c r="B80" s="202" t="s">
        <v>64</v>
      </c>
      <c r="C80" s="103"/>
      <c r="D80" s="103"/>
      <c r="E80" s="103"/>
      <c r="F80" s="103"/>
      <c r="G80" s="103"/>
      <c r="H80" s="103"/>
      <c r="I80" s="103"/>
      <c r="J80" s="100"/>
      <c r="K80" s="204"/>
      <c r="L80" s="20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200"/>
      <c r="B81" s="105"/>
      <c r="C81" s="97"/>
      <c r="D81" s="97"/>
      <c r="E81" s="97"/>
      <c r="F81" s="97"/>
      <c r="G81" s="97"/>
      <c r="H81" s="97"/>
      <c r="I81" s="97"/>
      <c r="J81" s="101"/>
      <c r="K81" s="204"/>
      <c r="L81" s="205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199"/>
      <c r="B82" s="208" t="s">
        <v>65</v>
      </c>
      <c r="C82" s="111"/>
      <c r="D82" s="111"/>
      <c r="E82" s="111"/>
      <c r="F82" s="111"/>
      <c r="G82" s="111"/>
      <c r="H82" s="111"/>
      <c r="I82" s="111"/>
      <c r="J82" s="135"/>
      <c r="K82" s="204"/>
      <c r="L82" s="205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200"/>
      <c r="B83" s="206"/>
      <c r="C83" s="209"/>
      <c r="D83" s="209"/>
      <c r="E83" s="209"/>
      <c r="F83" s="209"/>
      <c r="G83" s="209"/>
      <c r="H83" s="209"/>
      <c r="I83" s="209"/>
      <c r="J83" s="210"/>
      <c r="K83" s="206"/>
      <c r="L83" s="20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164" t="s">
        <v>66</v>
      </c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65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66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167" t="s">
        <v>67</v>
      </c>
      <c r="B87" s="131"/>
      <c r="C87" s="131"/>
      <c r="D87" s="131"/>
      <c r="E87" s="131"/>
      <c r="F87" s="131"/>
      <c r="G87" s="131"/>
      <c r="H87" s="131"/>
      <c r="I87" s="131"/>
      <c r="J87" s="132"/>
      <c r="K87" s="168" t="s">
        <v>68</v>
      </c>
      <c r="L87" s="169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96"/>
      <c r="B88" s="97"/>
      <c r="C88" s="97"/>
      <c r="D88" s="97"/>
      <c r="E88" s="97"/>
      <c r="F88" s="97"/>
      <c r="G88" s="97"/>
      <c r="H88" s="97"/>
      <c r="I88" s="97"/>
      <c r="J88" s="101"/>
      <c r="K88" s="105"/>
      <c r="L88" s="9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99" t="s">
        <v>69</v>
      </c>
      <c r="B89" s="103"/>
      <c r="C89" s="103"/>
      <c r="D89" s="103"/>
      <c r="E89" s="103"/>
      <c r="F89" s="103"/>
      <c r="G89" s="103"/>
      <c r="H89" s="103"/>
      <c r="I89" s="103"/>
      <c r="J89" s="100"/>
      <c r="K89" s="170">
        <f>SUM(K183,L112,L147,K186,K189,K195,K198,K192)</f>
        <v>0</v>
      </c>
      <c r="L89" s="104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96"/>
      <c r="B90" s="97"/>
      <c r="C90" s="97"/>
      <c r="D90" s="97"/>
      <c r="E90" s="97"/>
      <c r="F90" s="97"/>
      <c r="G90" s="97"/>
      <c r="H90" s="97"/>
      <c r="I90" s="97"/>
      <c r="J90" s="101"/>
      <c r="K90" s="105"/>
      <c r="L90" s="9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99" t="s">
        <v>70</v>
      </c>
      <c r="B91" s="103"/>
      <c r="C91" s="103"/>
      <c r="D91" s="103"/>
      <c r="E91" s="103"/>
      <c r="F91" s="103"/>
      <c r="G91" s="103"/>
      <c r="H91" s="103"/>
      <c r="I91" s="103"/>
      <c r="J91" s="100"/>
      <c r="K91" s="170">
        <f>SUM(K201,K204)</f>
        <v>0</v>
      </c>
      <c r="L91" s="104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96"/>
      <c r="B92" s="97"/>
      <c r="C92" s="97"/>
      <c r="D92" s="97"/>
      <c r="E92" s="97"/>
      <c r="F92" s="97"/>
      <c r="G92" s="97"/>
      <c r="H92" s="97"/>
      <c r="I92" s="97"/>
      <c r="J92" s="101"/>
      <c r="K92" s="105"/>
      <c r="L92" s="9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99" t="s">
        <v>71</v>
      </c>
      <c r="B93" s="103"/>
      <c r="C93" s="103"/>
      <c r="D93" s="103"/>
      <c r="E93" s="103"/>
      <c r="F93" s="103"/>
      <c r="G93" s="103"/>
      <c r="H93" s="103"/>
      <c r="I93" s="103"/>
      <c r="J93" s="100"/>
      <c r="K93" s="170">
        <f>K207</f>
        <v>0</v>
      </c>
      <c r="L93" s="104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96"/>
      <c r="B94" s="97"/>
      <c r="C94" s="97"/>
      <c r="D94" s="97"/>
      <c r="E94" s="97"/>
      <c r="F94" s="97"/>
      <c r="G94" s="97"/>
      <c r="H94" s="97"/>
      <c r="I94" s="97"/>
      <c r="J94" s="101"/>
      <c r="K94" s="105"/>
      <c r="L94" s="9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99" t="s">
        <v>72</v>
      </c>
      <c r="B95" s="103"/>
      <c r="C95" s="103"/>
      <c r="D95" s="103"/>
      <c r="E95" s="103"/>
      <c r="F95" s="103"/>
      <c r="G95" s="103"/>
      <c r="H95" s="103"/>
      <c r="I95" s="103"/>
      <c r="J95" s="100"/>
      <c r="K95" s="170">
        <f>K211</f>
        <v>0</v>
      </c>
      <c r="L95" s="104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96"/>
      <c r="B96" s="97"/>
      <c r="C96" s="97"/>
      <c r="D96" s="97"/>
      <c r="E96" s="97"/>
      <c r="F96" s="97"/>
      <c r="G96" s="97"/>
      <c r="H96" s="97"/>
      <c r="I96" s="97"/>
      <c r="J96" s="101"/>
      <c r="K96" s="105"/>
      <c r="L96" s="9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171" t="s">
        <v>55</v>
      </c>
      <c r="B97" s="103"/>
      <c r="C97" s="103"/>
      <c r="D97" s="103"/>
      <c r="E97" s="103"/>
      <c r="F97" s="103"/>
      <c r="G97" s="103"/>
      <c r="H97" s="103"/>
      <c r="I97" s="103"/>
      <c r="J97" s="100"/>
      <c r="K97" s="173">
        <f>SUM(K89:L96)</f>
        <v>0</v>
      </c>
      <c r="L97" s="104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65"/>
      <c r="B98" s="112"/>
      <c r="C98" s="112"/>
      <c r="D98" s="112"/>
      <c r="E98" s="112"/>
      <c r="F98" s="112"/>
      <c r="G98" s="112"/>
      <c r="H98" s="112"/>
      <c r="I98" s="112"/>
      <c r="J98" s="172"/>
      <c r="K98" s="174"/>
      <c r="L98" s="166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75" t="s">
        <v>73</v>
      </c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65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66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76" t="s">
        <v>74</v>
      </c>
      <c r="B103" s="94"/>
      <c r="C103" s="94"/>
      <c r="D103" s="94"/>
      <c r="E103" s="94"/>
      <c r="F103" s="94"/>
      <c r="G103" s="94"/>
      <c r="H103" s="94"/>
      <c r="I103" s="94"/>
      <c r="J103" s="177"/>
      <c r="K103" s="178">
        <f>K105</f>
        <v>0</v>
      </c>
      <c r="L103" s="9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96"/>
      <c r="B104" s="97"/>
      <c r="C104" s="97"/>
      <c r="D104" s="97"/>
      <c r="E104" s="97"/>
      <c r="F104" s="97"/>
      <c r="G104" s="97"/>
      <c r="H104" s="97"/>
      <c r="I104" s="97"/>
      <c r="J104" s="101"/>
      <c r="K104" s="105"/>
      <c r="L104" s="9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179" t="s">
        <v>75</v>
      </c>
      <c r="B105" s="103"/>
      <c r="C105" s="103"/>
      <c r="D105" s="103"/>
      <c r="E105" s="103"/>
      <c r="F105" s="103"/>
      <c r="G105" s="103"/>
      <c r="H105" s="103"/>
      <c r="I105" s="103"/>
      <c r="J105" s="100"/>
      <c r="K105" s="180"/>
      <c r="L105" s="104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65"/>
      <c r="B106" s="112"/>
      <c r="C106" s="112"/>
      <c r="D106" s="112"/>
      <c r="E106" s="112"/>
      <c r="F106" s="112"/>
      <c r="G106" s="112"/>
      <c r="H106" s="112"/>
      <c r="I106" s="112"/>
      <c r="J106" s="172"/>
      <c r="K106" s="174"/>
      <c r="L106" s="166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181" t="s">
        <v>76</v>
      </c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182" t="s">
        <v>77</v>
      </c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8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183" t="s">
        <v>78</v>
      </c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8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76" t="s">
        <v>79</v>
      </c>
      <c r="B112" s="177"/>
      <c r="C112" s="184" t="s">
        <v>80</v>
      </c>
      <c r="D112" s="94"/>
      <c r="E112" s="177"/>
      <c r="F112" s="184" t="s">
        <v>81</v>
      </c>
      <c r="G112" s="177"/>
      <c r="H112" s="185" t="s">
        <v>82</v>
      </c>
      <c r="I112" s="185" t="s">
        <v>83</v>
      </c>
      <c r="J112" s="185" t="s">
        <v>84</v>
      </c>
      <c r="K112" s="185" t="s">
        <v>85</v>
      </c>
      <c r="L112" s="187">
        <f>SUM(L114:L144)</f>
        <v>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65"/>
      <c r="B113" s="172"/>
      <c r="C113" s="174"/>
      <c r="D113" s="112"/>
      <c r="E113" s="172"/>
      <c r="F113" s="174"/>
      <c r="G113" s="172"/>
      <c r="H113" s="186"/>
      <c r="I113" s="186"/>
      <c r="J113" s="186"/>
      <c r="K113" s="186"/>
      <c r="L113" s="188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>
      <c r="A114" s="216"/>
      <c r="B114" s="177"/>
      <c r="C114" s="217"/>
      <c r="D114" s="114"/>
      <c r="E114" s="218"/>
      <c r="F114" s="219"/>
      <c r="G114" s="218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>
      <c r="A115" s="216"/>
      <c r="B115" s="177"/>
      <c r="C115" s="220"/>
      <c r="D115" s="87"/>
      <c r="E115" s="91"/>
      <c r="F115" s="221"/>
      <c r="G115" s="91"/>
      <c r="H115" s="25"/>
      <c r="I115" s="26"/>
      <c r="J115" s="26"/>
      <c r="K115" s="27"/>
      <c r="L115" s="24">
        <f t="shared" si="0"/>
        <v>0</v>
      </c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>
      <c r="A116" s="216"/>
      <c r="B116" s="177"/>
      <c r="C116" s="220"/>
      <c r="D116" s="87"/>
      <c r="E116" s="91"/>
      <c r="F116" s="221"/>
      <c r="G116" s="91"/>
      <c r="H116" s="25"/>
      <c r="I116" s="26"/>
      <c r="J116" s="26"/>
      <c r="K116" s="27"/>
      <c r="L116" s="24">
        <f t="shared" si="0"/>
        <v>0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>
      <c r="A117" s="216"/>
      <c r="B117" s="177"/>
      <c r="C117" s="220"/>
      <c r="D117" s="87"/>
      <c r="E117" s="91"/>
      <c r="F117" s="221"/>
      <c r="G117" s="91"/>
      <c r="H117" s="25"/>
      <c r="I117" s="26"/>
      <c r="J117" s="26"/>
      <c r="K117" s="27"/>
      <c r="L117" s="24">
        <f t="shared" si="0"/>
        <v>0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>
      <c r="A118" s="216"/>
      <c r="B118" s="177"/>
      <c r="C118" s="220"/>
      <c r="D118" s="87"/>
      <c r="E118" s="91"/>
      <c r="F118" s="221"/>
      <c r="G118" s="91"/>
      <c r="H118" s="28"/>
      <c r="I118" s="26"/>
      <c r="J118" s="26"/>
      <c r="K118" s="27"/>
      <c r="L118" s="24">
        <f t="shared" si="0"/>
        <v>0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>
      <c r="A119" s="216"/>
      <c r="B119" s="177"/>
      <c r="C119" s="220"/>
      <c r="D119" s="87"/>
      <c r="E119" s="91"/>
      <c r="F119" s="223"/>
      <c r="G119" s="91"/>
      <c r="H119" s="28"/>
      <c r="I119" s="26"/>
      <c r="J119" s="26"/>
      <c r="K119" s="27"/>
      <c r="L119" s="24">
        <f t="shared" si="0"/>
        <v>0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>
      <c r="A120" s="216"/>
      <c r="B120" s="177"/>
      <c r="C120" s="220"/>
      <c r="D120" s="87"/>
      <c r="E120" s="91"/>
      <c r="F120" s="223"/>
      <c r="G120" s="91"/>
      <c r="H120" s="28"/>
      <c r="I120" s="26"/>
      <c r="J120" s="26"/>
      <c r="K120" s="27"/>
      <c r="L120" s="24">
        <f t="shared" si="0"/>
        <v>0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>
      <c r="A121" s="216"/>
      <c r="B121" s="177"/>
      <c r="C121" s="220"/>
      <c r="D121" s="87"/>
      <c r="E121" s="91"/>
      <c r="F121" s="223"/>
      <c r="G121" s="91"/>
      <c r="H121" s="28"/>
      <c r="I121" s="26"/>
      <c r="J121" s="26"/>
      <c r="K121" s="27"/>
      <c r="L121" s="24">
        <f t="shared" si="0"/>
        <v>0</v>
      </c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>
      <c r="A122" s="216"/>
      <c r="B122" s="177"/>
      <c r="C122" s="220"/>
      <c r="D122" s="87"/>
      <c r="E122" s="91"/>
      <c r="F122" s="223"/>
      <c r="G122" s="91"/>
      <c r="H122" s="28"/>
      <c r="I122" s="26"/>
      <c r="J122" s="29"/>
      <c r="K122" s="27"/>
      <c r="L122" s="24">
        <f t="shared" si="0"/>
        <v>0</v>
      </c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>
      <c r="A123" s="216"/>
      <c r="B123" s="177"/>
      <c r="C123" s="220"/>
      <c r="D123" s="87"/>
      <c r="E123" s="91"/>
      <c r="F123" s="223"/>
      <c r="G123" s="91"/>
      <c r="H123" s="28"/>
      <c r="I123" s="26"/>
      <c r="J123" s="29"/>
      <c r="K123" s="27"/>
      <c r="L123" s="24">
        <f t="shared" si="0"/>
        <v>0</v>
      </c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>
      <c r="A124" s="216"/>
      <c r="B124" s="177"/>
      <c r="C124" s="222"/>
      <c r="D124" s="87"/>
      <c r="E124" s="91"/>
      <c r="F124" s="223"/>
      <c r="G124" s="91"/>
      <c r="H124" s="28"/>
      <c r="I124" s="26"/>
      <c r="J124" s="29"/>
      <c r="K124" s="27"/>
      <c r="L124" s="24">
        <f t="shared" si="0"/>
        <v>0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>
      <c r="A125" s="216"/>
      <c r="B125" s="177"/>
      <c r="C125" s="222"/>
      <c r="D125" s="87"/>
      <c r="E125" s="91"/>
      <c r="F125" s="223"/>
      <c r="G125" s="91"/>
      <c r="H125" s="28"/>
      <c r="I125" s="26"/>
      <c r="J125" s="29"/>
      <c r="K125" s="27"/>
      <c r="L125" s="24">
        <f t="shared" si="0"/>
        <v>0</v>
      </c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>
      <c r="A126" s="216"/>
      <c r="B126" s="177"/>
      <c r="C126" s="222"/>
      <c r="D126" s="87"/>
      <c r="E126" s="91"/>
      <c r="F126" s="223"/>
      <c r="G126" s="91"/>
      <c r="H126" s="28"/>
      <c r="I126" s="26"/>
      <c r="J126" s="29"/>
      <c r="K126" s="27"/>
      <c r="L126" s="24">
        <f t="shared" si="0"/>
        <v>0</v>
      </c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>
      <c r="A127" s="216"/>
      <c r="B127" s="177"/>
      <c r="C127" s="222"/>
      <c r="D127" s="87"/>
      <c r="E127" s="91"/>
      <c r="F127" s="223"/>
      <c r="G127" s="91"/>
      <c r="H127" s="28"/>
      <c r="I127" s="26"/>
      <c r="J127" s="29"/>
      <c r="K127" s="27"/>
      <c r="L127" s="24">
        <f t="shared" si="0"/>
        <v>0</v>
      </c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>
      <c r="A128" s="216"/>
      <c r="B128" s="177"/>
      <c r="C128" s="222"/>
      <c r="D128" s="87"/>
      <c r="E128" s="91"/>
      <c r="F128" s="223"/>
      <c r="G128" s="91"/>
      <c r="H128" s="28"/>
      <c r="I128" s="26"/>
      <c r="J128" s="29"/>
      <c r="K128" s="27"/>
      <c r="L128" s="24">
        <f t="shared" si="0"/>
        <v>0</v>
      </c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>
      <c r="A129" s="216"/>
      <c r="B129" s="177"/>
      <c r="C129" s="222"/>
      <c r="D129" s="87"/>
      <c r="E129" s="91"/>
      <c r="F129" s="223"/>
      <c r="G129" s="91"/>
      <c r="H129" s="28"/>
      <c r="I129" s="26"/>
      <c r="J129" s="29"/>
      <c r="K129" s="27"/>
      <c r="L129" s="24">
        <f t="shared" si="0"/>
        <v>0</v>
      </c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>
      <c r="A130" s="216"/>
      <c r="B130" s="177"/>
      <c r="C130" s="222"/>
      <c r="D130" s="87"/>
      <c r="E130" s="91"/>
      <c r="F130" s="223"/>
      <c r="G130" s="91"/>
      <c r="H130" s="28"/>
      <c r="I130" s="26"/>
      <c r="J130" s="29"/>
      <c r="K130" s="27"/>
      <c r="L130" s="24">
        <f t="shared" si="0"/>
        <v>0</v>
      </c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>
      <c r="A131" s="216"/>
      <c r="B131" s="177"/>
      <c r="C131" s="222"/>
      <c r="D131" s="87"/>
      <c r="E131" s="91"/>
      <c r="F131" s="223"/>
      <c r="G131" s="91"/>
      <c r="H131" s="28"/>
      <c r="I131" s="26"/>
      <c r="J131" s="29"/>
      <c r="K131" s="27"/>
      <c r="L131" s="24">
        <f t="shared" si="0"/>
        <v>0</v>
      </c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>
      <c r="A132" s="216"/>
      <c r="B132" s="177"/>
      <c r="C132" s="222"/>
      <c r="D132" s="87"/>
      <c r="E132" s="91"/>
      <c r="F132" s="223"/>
      <c r="G132" s="91"/>
      <c r="H132" s="28"/>
      <c r="I132" s="26"/>
      <c r="J132" s="29"/>
      <c r="K132" s="27"/>
      <c r="L132" s="24">
        <f t="shared" si="0"/>
        <v>0</v>
      </c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>
      <c r="A133" s="216"/>
      <c r="B133" s="177"/>
      <c r="C133" s="222"/>
      <c r="D133" s="87"/>
      <c r="E133" s="91"/>
      <c r="F133" s="223"/>
      <c r="G133" s="91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>
      <c r="A134" s="216"/>
      <c r="B134" s="177"/>
      <c r="C134" s="222"/>
      <c r="D134" s="87"/>
      <c r="E134" s="91"/>
      <c r="F134" s="223"/>
      <c r="G134" s="91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>
      <c r="A135" s="216"/>
      <c r="B135" s="177"/>
      <c r="C135" s="222"/>
      <c r="D135" s="87"/>
      <c r="E135" s="91"/>
      <c r="F135" s="223"/>
      <c r="G135" s="91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>
      <c r="A136" s="216"/>
      <c r="B136" s="177"/>
      <c r="C136" s="222"/>
      <c r="D136" s="87"/>
      <c r="E136" s="91"/>
      <c r="F136" s="223"/>
      <c r="G136" s="91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>
      <c r="A137" s="216"/>
      <c r="B137" s="177"/>
      <c r="C137" s="222"/>
      <c r="D137" s="87"/>
      <c r="E137" s="91"/>
      <c r="F137" s="223"/>
      <c r="G137" s="91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>
      <c r="A138" s="216"/>
      <c r="B138" s="177"/>
      <c r="C138" s="222"/>
      <c r="D138" s="87"/>
      <c r="E138" s="91"/>
      <c r="F138" s="223"/>
      <c r="G138" s="91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>
      <c r="A139" s="216"/>
      <c r="B139" s="177"/>
      <c r="C139" s="222"/>
      <c r="D139" s="87"/>
      <c r="E139" s="91"/>
      <c r="F139" s="223"/>
      <c r="G139" s="91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>
      <c r="A140" s="216"/>
      <c r="B140" s="177"/>
      <c r="C140" s="222"/>
      <c r="D140" s="87"/>
      <c r="E140" s="91"/>
      <c r="F140" s="223"/>
      <c r="G140" s="91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>
      <c r="A141" s="216"/>
      <c r="B141" s="177"/>
      <c r="C141" s="222"/>
      <c r="D141" s="87"/>
      <c r="E141" s="91"/>
      <c r="F141" s="223"/>
      <c r="G141" s="91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>
      <c r="A142" s="216"/>
      <c r="B142" s="177"/>
      <c r="C142" s="222"/>
      <c r="D142" s="87"/>
      <c r="E142" s="91"/>
      <c r="F142" s="223"/>
      <c r="G142" s="91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>
      <c r="A143" s="216"/>
      <c r="B143" s="177"/>
      <c r="C143" s="222"/>
      <c r="D143" s="87"/>
      <c r="E143" s="91"/>
      <c r="F143" s="223"/>
      <c r="G143" s="91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>
      <c r="A144" s="225"/>
      <c r="B144" s="91"/>
      <c r="C144" s="226"/>
      <c r="D144" s="162"/>
      <c r="E144" s="158"/>
      <c r="F144" s="227"/>
      <c r="G144" s="158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31" t="s">
        <v>86</v>
      </c>
      <c r="B146" s="232"/>
      <c r="C146" s="232"/>
      <c r="D146" s="232"/>
      <c r="E146" s="232"/>
      <c r="F146" s="232"/>
      <c r="G146" s="232"/>
      <c r="H146" s="232"/>
      <c r="I146" s="232"/>
      <c r="J146" s="232"/>
      <c r="K146" s="232"/>
      <c r="L146" s="19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76" t="s">
        <v>79</v>
      </c>
      <c r="B147" s="177"/>
      <c r="C147" s="184" t="s">
        <v>80</v>
      </c>
      <c r="D147" s="94"/>
      <c r="E147" s="177"/>
      <c r="F147" s="233" t="s">
        <v>87</v>
      </c>
      <c r="G147" s="177"/>
      <c r="H147" s="185" t="s">
        <v>82</v>
      </c>
      <c r="I147" s="185" t="s">
        <v>88</v>
      </c>
      <c r="J147" s="185" t="s">
        <v>84</v>
      </c>
      <c r="K147" s="228" t="s">
        <v>85</v>
      </c>
      <c r="L147" s="229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65"/>
      <c r="B148" s="172"/>
      <c r="C148" s="174"/>
      <c r="D148" s="112"/>
      <c r="E148" s="172"/>
      <c r="F148" s="234"/>
      <c r="G148" s="172"/>
      <c r="H148" s="186"/>
      <c r="I148" s="186"/>
      <c r="J148" s="186"/>
      <c r="K148" s="188"/>
      <c r="L148" s="230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216"/>
      <c r="B149" s="177"/>
      <c r="C149" s="224"/>
      <c r="D149" s="114"/>
      <c r="E149" s="218"/>
      <c r="F149" s="224"/>
      <c r="G149" s="218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216"/>
      <c r="B150" s="177"/>
      <c r="C150" s="222"/>
      <c r="D150" s="87"/>
      <c r="E150" s="91"/>
      <c r="F150" s="222"/>
      <c r="G150" s="91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216"/>
      <c r="B151" s="177"/>
      <c r="C151" s="222"/>
      <c r="D151" s="87"/>
      <c r="E151" s="91"/>
      <c r="F151" s="222"/>
      <c r="G151" s="91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216"/>
      <c r="B152" s="177"/>
      <c r="C152" s="222"/>
      <c r="D152" s="87"/>
      <c r="E152" s="91"/>
      <c r="F152" s="222"/>
      <c r="G152" s="91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216"/>
      <c r="B153" s="177"/>
      <c r="C153" s="222"/>
      <c r="D153" s="87"/>
      <c r="E153" s="91"/>
      <c r="F153" s="222"/>
      <c r="G153" s="91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216"/>
      <c r="B154" s="177"/>
      <c r="C154" s="222"/>
      <c r="D154" s="87"/>
      <c r="E154" s="91"/>
      <c r="F154" s="222"/>
      <c r="G154" s="91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216"/>
      <c r="B155" s="177"/>
      <c r="C155" s="222"/>
      <c r="D155" s="87"/>
      <c r="E155" s="91"/>
      <c r="F155" s="222"/>
      <c r="G155" s="91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216"/>
      <c r="B156" s="177"/>
      <c r="C156" s="222"/>
      <c r="D156" s="87"/>
      <c r="E156" s="91"/>
      <c r="F156" s="222"/>
      <c r="G156" s="91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216"/>
      <c r="B157" s="177"/>
      <c r="C157" s="222"/>
      <c r="D157" s="87"/>
      <c r="E157" s="91"/>
      <c r="F157" s="222"/>
      <c r="G157" s="91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216"/>
      <c r="B158" s="177"/>
      <c r="C158" s="222"/>
      <c r="D158" s="87"/>
      <c r="E158" s="91"/>
      <c r="F158" s="222"/>
      <c r="G158" s="91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216"/>
      <c r="B159" s="177"/>
      <c r="C159" s="222"/>
      <c r="D159" s="87"/>
      <c r="E159" s="91"/>
      <c r="F159" s="222"/>
      <c r="G159" s="91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216"/>
      <c r="B160" s="177"/>
      <c r="C160" s="222"/>
      <c r="D160" s="87"/>
      <c r="E160" s="91"/>
      <c r="F160" s="222"/>
      <c r="G160" s="91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216"/>
      <c r="B161" s="177"/>
      <c r="C161" s="222"/>
      <c r="D161" s="87"/>
      <c r="E161" s="91"/>
      <c r="F161" s="222"/>
      <c r="G161" s="91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216"/>
      <c r="B162" s="177"/>
      <c r="C162" s="222"/>
      <c r="D162" s="87"/>
      <c r="E162" s="91"/>
      <c r="F162" s="222"/>
      <c r="G162" s="91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216"/>
      <c r="B163" s="177"/>
      <c r="C163" s="222"/>
      <c r="D163" s="87"/>
      <c r="E163" s="91"/>
      <c r="F163" s="222"/>
      <c r="G163" s="91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216"/>
      <c r="B164" s="177"/>
      <c r="C164" s="222"/>
      <c r="D164" s="87"/>
      <c r="E164" s="91"/>
      <c r="F164" s="222"/>
      <c r="G164" s="91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216"/>
      <c r="B165" s="177"/>
      <c r="C165" s="222"/>
      <c r="D165" s="87"/>
      <c r="E165" s="91"/>
      <c r="F165" s="222"/>
      <c r="G165" s="91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216"/>
      <c r="B166" s="177"/>
      <c r="C166" s="222"/>
      <c r="D166" s="87"/>
      <c r="E166" s="91"/>
      <c r="F166" s="222"/>
      <c r="G166" s="91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216"/>
      <c r="B167" s="177"/>
      <c r="C167" s="222"/>
      <c r="D167" s="87"/>
      <c r="E167" s="91"/>
      <c r="F167" s="222"/>
      <c r="G167" s="91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216"/>
      <c r="B168" s="177"/>
      <c r="C168" s="222"/>
      <c r="D168" s="87"/>
      <c r="E168" s="91"/>
      <c r="F168" s="222"/>
      <c r="G168" s="91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216"/>
      <c r="B169" s="177"/>
      <c r="C169" s="222"/>
      <c r="D169" s="87"/>
      <c r="E169" s="91"/>
      <c r="F169" s="222"/>
      <c r="G169" s="91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216"/>
      <c r="B170" s="177"/>
      <c r="C170" s="222"/>
      <c r="D170" s="87"/>
      <c r="E170" s="91"/>
      <c r="F170" s="222"/>
      <c r="G170" s="91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216"/>
      <c r="B171" s="177"/>
      <c r="C171" s="222"/>
      <c r="D171" s="87"/>
      <c r="E171" s="91"/>
      <c r="F171" s="222"/>
      <c r="G171" s="91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216"/>
      <c r="B172" s="177"/>
      <c r="C172" s="222"/>
      <c r="D172" s="87"/>
      <c r="E172" s="91"/>
      <c r="F172" s="222"/>
      <c r="G172" s="91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216"/>
      <c r="B173" s="177"/>
      <c r="C173" s="222"/>
      <c r="D173" s="87"/>
      <c r="E173" s="91"/>
      <c r="F173" s="222"/>
      <c r="G173" s="91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216"/>
      <c r="B174" s="177"/>
      <c r="C174" s="222"/>
      <c r="D174" s="87"/>
      <c r="E174" s="91"/>
      <c r="F174" s="222"/>
      <c r="G174" s="91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216"/>
      <c r="B175" s="177"/>
      <c r="C175" s="222"/>
      <c r="D175" s="87"/>
      <c r="E175" s="91"/>
      <c r="F175" s="222"/>
      <c r="G175" s="91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216"/>
      <c r="B176" s="177"/>
      <c r="C176" s="222"/>
      <c r="D176" s="87"/>
      <c r="E176" s="91"/>
      <c r="F176" s="222"/>
      <c r="G176" s="91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216"/>
      <c r="B177" s="177"/>
      <c r="C177" s="222"/>
      <c r="D177" s="87"/>
      <c r="E177" s="91"/>
      <c r="F177" s="222"/>
      <c r="G177" s="91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216"/>
      <c r="B178" s="177"/>
      <c r="C178" s="222"/>
      <c r="D178" s="87"/>
      <c r="E178" s="91"/>
      <c r="F178" s="222"/>
      <c r="G178" s="91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216"/>
      <c r="B179" s="177"/>
      <c r="C179" s="222"/>
      <c r="D179" s="87"/>
      <c r="E179" s="91"/>
      <c r="F179" s="222"/>
      <c r="G179" s="91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216"/>
      <c r="B180" s="177"/>
      <c r="C180" s="222"/>
      <c r="D180" s="87"/>
      <c r="E180" s="91"/>
      <c r="F180" s="222"/>
      <c r="G180" s="91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25"/>
      <c r="B181" s="91"/>
      <c r="C181" s="226"/>
      <c r="D181" s="162"/>
      <c r="E181" s="158"/>
      <c r="F181" s="226"/>
      <c r="G181" s="158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235" t="s">
        <v>89</v>
      </c>
      <c r="B183" s="94"/>
      <c r="C183" s="94"/>
      <c r="D183" s="94"/>
      <c r="E183" s="94"/>
      <c r="F183" s="94"/>
      <c r="G183" s="94"/>
      <c r="H183" s="94"/>
      <c r="I183" s="94"/>
      <c r="J183" s="95"/>
      <c r="K183" s="236"/>
      <c r="L183" s="9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65"/>
      <c r="B184" s="112"/>
      <c r="C184" s="112"/>
      <c r="D184" s="112"/>
      <c r="E184" s="112"/>
      <c r="F184" s="112"/>
      <c r="G184" s="112"/>
      <c r="H184" s="112"/>
      <c r="I184" s="112"/>
      <c r="J184" s="166"/>
      <c r="K184" s="165"/>
      <c r="L184" s="166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237" t="s">
        <v>90</v>
      </c>
      <c r="B186" s="94"/>
      <c r="C186" s="94"/>
      <c r="D186" s="94"/>
      <c r="E186" s="94"/>
      <c r="F186" s="94"/>
      <c r="G186" s="94"/>
      <c r="H186" s="94"/>
      <c r="I186" s="94"/>
      <c r="J186" s="177"/>
      <c r="K186" s="238"/>
      <c r="L186" s="9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65"/>
      <c r="B187" s="112"/>
      <c r="C187" s="112"/>
      <c r="D187" s="112"/>
      <c r="E187" s="112"/>
      <c r="F187" s="112"/>
      <c r="G187" s="112"/>
      <c r="H187" s="112"/>
      <c r="I187" s="112"/>
      <c r="J187" s="172"/>
      <c r="K187" s="174"/>
      <c r="L187" s="166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237" t="s">
        <v>91</v>
      </c>
      <c r="B189" s="94"/>
      <c r="C189" s="94"/>
      <c r="D189" s="94"/>
      <c r="E189" s="94"/>
      <c r="F189" s="94"/>
      <c r="G189" s="94"/>
      <c r="H189" s="94"/>
      <c r="I189" s="94"/>
      <c r="J189" s="177"/>
      <c r="K189" s="238"/>
      <c r="L189" s="9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65"/>
      <c r="B190" s="112"/>
      <c r="C190" s="112"/>
      <c r="D190" s="112"/>
      <c r="E190" s="112"/>
      <c r="F190" s="112"/>
      <c r="G190" s="112"/>
      <c r="H190" s="112"/>
      <c r="I190" s="112"/>
      <c r="J190" s="172"/>
      <c r="K190" s="174"/>
      <c r="L190" s="166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239" t="s">
        <v>92</v>
      </c>
      <c r="B192" s="232"/>
      <c r="C192" s="232"/>
      <c r="D192" s="232"/>
      <c r="E192" s="232"/>
      <c r="F192" s="232"/>
      <c r="G192" s="232"/>
      <c r="H192" s="232"/>
      <c r="I192" s="232"/>
      <c r="J192" s="240"/>
      <c r="K192" s="238"/>
      <c r="L192" s="9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41" t="s">
        <v>93</v>
      </c>
      <c r="B193" s="242"/>
      <c r="C193" s="242"/>
      <c r="D193" s="242"/>
      <c r="E193" s="242"/>
      <c r="F193" s="242"/>
      <c r="G193" s="242"/>
      <c r="H193" s="242"/>
      <c r="I193" s="242"/>
      <c r="J193" s="243"/>
      <c r="K193" s="174"/>
      <c r="L193" s="166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237" t="s">
        <v>94</v>
      </c>
      <c r="B195" s="94"/>
      <c r="C195" s="94"/>
      <c r="D195" s="94"/>
      <c r="E195" s="94"/>
      <c r="F195" s="94"/>
      <c r="G195" s="94"/>
      <c r="H195" s="94"/>
      <c r="I195" s="94"/>
      <c r="J195" s="177"/>
      <c r="K195" s="244"/>
      <c r="L195" s="9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65"/>
      <c r="B196" s="112"/>
      <c r="C196" s="112"/>
      <c r="D196" s="112"/>
      <c r="E196" s="112"/>
      <c r="F196" s="112"/>
      <c r="G196" s="112"/>
      <c r="H196" s="112"/>
      <c r="I196" s="112"/>
      <c r="J196" s="172"/>
      <c r="K196" s="174"/>
      <c r="L196" s="166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237" t="s">
        <v>95</v>
      </c>
      <c r="B198" s="94"/>
      <c r="C198" s="94"/>
      <c r="D198" s="94"/>
      <c r="E198" s="94"/>
      <c r="F198" s="94"/>
      <c r="G198" s="94"/>
      <c r="H198" s="94"/>
      <c r="I198" s="94"/>
      <c r="J198" s="177"/>
      <c r="K198" s="238"/>
      <c r="L198" s="9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65"/>
      <c r="B199" s="112"/>
      <c r="C199" s="112"/>
      <c r="D199" s="112"/>
      <c r="E199" s="112"/>
      <c r="F199" s="112"/>
      <c r="G199" s="112"/>
      <c r="H199" s="112"/>
      <c r="I199" s="112"/>
      <c r="J199" s="172"/>
      <c r="K199" s="174"/>
      <c r="L199" s="166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237" t="s">
        <v>96</v>
      </c>
      <c r="B201" s="94"/>
      <c r="C201" s="94"/>
      <c r="D201" s="94"/>
      <c r="E201" s="94"/>
      <c r="F201" s="94"/>
      <c r="G201" s="94"/>
      <c r="H201" s="94"/>
      <c r="I201" s="94"/>
      <c r="J201" s="177"/>
      <c r="K201" s="238">
        <f>K332</f>
        <v>0</v>
      </c>
      <c r="L201" s="9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65"/>
      <c r="B202" s="112"/>
      <c r="C202" s="112"/>
      <c r="D202" s="112"/>
      <c r="E202" s="112"/>
      <c r="F202" s="112"/>
      <c r="G202" s="112"/>
      <c r="H202" s="112"/>
      <c r="I202" s="112"/>
      <c r="J202" s="172"/>
      <c r="K202" s="174"/>
      <c r="L202" s="166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237" t="s">
        <v>97</v>
      </c>
      <c r="B204" s="94"/>
      <c r="C204" s="94"/>
      <c r="D204" s="94"/>
      <c r="E204" s="94"/>
      <c r="F204" s="94"/>
      <c r="G204" s="94"/>
      <c r="H204" s="94"/>
      <c r="I204" s="94"/>
      <c r="J204" s="177"/>
      <c r="K204" s="244"/>
      <c r="L204" s="9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65"/>
      <c r="B205" s="112"/>
      <c r="C205" s="112"/>
      <c r="D205" s="112"/>
      <c r="E205" s="112"/>
      <c r="F205" s="112"/>
      <c r="G205" s="112"/>
      <c r="H205" s="112"/>
      <c r="I205" s="112"/>
      <c r="J205" s="172"/>
      <c r="K205" s="174"/>
      <c r="L205" s="166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75" t="s">
        <v>98</v>
      </c>
      <c r="B207" s="94"/>
      <c r="C207" s="94"/>
      <c r="D207" s="94"/>
      <c r="E207" s="94"/>
      <c r="F207" s="94"/>
      <c r="G207" s="94"/>
      <c r="H207" s="94"/>
      <c r="I207" s="94"/>
      <c r="J207" s="177"/>
      <c r="K207" s="245">
        <f>(+K183+L112+K186+K189+K195+L147+K198+K192)*K209</f>
        <v>0</v>
      </c>
      <c r="L207" s="9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96"/>
      <c r="B208" s="97"/>
      <c r="C208" s="97"/>
      <c r="D208" s="97"/>
      <c r="E208" s="97"/>
      <c r="F208" s="97"/>
      <c r="G208" s="97"/>
      <c r="H208" s="97"/>
      <c r="I208" s="97"/>
      <c r="J208" s="101"/>
      <c r="K208" s="105"/>
      <c r="L208" s="98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246" t="s">
        <v>99</v>
      </c>
      <c r="B209" s="103"/>
      <c r="C209" s="103"/>
      <c r="D209" s="103"/>
      <c r="E209" s="103"/>
      <c r="F209" s="103"/>
      <c r="G209" s="103"/>
      <c r="H209" s="103"/>
      <c r="I209" s="103"/>
      <c r="J209" s="100"/>
      <c r="K209" s="247"/>
      <c r="L209" s="104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96"/>
      <c r="B210" s="97"/>
      <c r="C210" s="97"/>
      <c r="D210" s="97"/>
      <c r="E210" s="97"/>
      <c r="F210" s="97"/>
      <c r="G210" s="97"/>
      <c r="H210" s="97"/>
      <c r="I210" s="97"/>
      <c r="J210" s="101"/>
      <c r="K210" s="105"/>
      <c r="L210" s="98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248" t="s">
        <v>100</v>
      </c>
      <c r="B211" s="103"/>
      <c r="C211" s="103"/>
      <c r="D211" s="103"/>
      <c r="E211" s="103"/>
      <c r="F211" s="103"/>
      <c r="G211" s="103"/>
      <c r="H211" s="103"/>
      <c r="I211" s="103"/>
      <c r="J211" s="100"/>
      <c r="K211" s="170">
        <f>(K183+L112+K186+K189+K195+K198+K201+L147+K204+K192)*K214</f>
        <v>0</v>
      </c>
      <c r="L211" s="104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55"/>
      <c r="B212" s="111"/>
      <c r="C212" s="111"/>
      <c r="D212" s="111"/>
      <c r="E212" s="111"/>
      <c r="F212" s="111"/>
      <c r="G212" s="111"/>
      <c r="H212" s="111"/>
      <c r="I212" s="111"/>
      <c r="J212" s="135"/>
      <c r="K212" s="204"/>
      <c r="L212" s="249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96"/>
      <c r="B213" s="97"/>
      <c r="C213" s="97"/>
      <c r="D213" s="97"/>
      <c r="E213" s="97"/>
      <c r="F213" s="97"/>
      <c r="G213" s="97"/>
      <c r="H213" s="97"/>
      <c r="I213" s="97"/>
      <c r="J213" s="101"/>
      <c r="K213" s="105"/>
      <c r="L213" s="98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246" t="s">
        <v>101</v>
      </c>
      <c r="B214" s="103"/>
      <c r="C214" s="103"/>
      <c r="D214" s="103"/>
      <c r="E214" s="103"/>
      <c r="F214" s="103"/>
      <c r="G214" s="103"/>
      <c r="H214" s="103"/>
      <c r="I214" s="103"/>
      <c r="J214" s="100"/>
      <c r="K214" s="250"/>
      <c r="L214" s="104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6"/>
      <c r="B215" s="97"/>
      <c r="C215" s="97"/>
      <c r="D215" s="97"/>
      <c r="E215" s="97"/>
      <c r="F215" s="97"/>
      <c r="G215" s="97"/>
      <c r="H215" s="97"/>
      <c r="I215" s="97"/>
      <c r="J215" s="101"/>
      <c r="K215" s="105"/>
      <c r="L215" s="98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252" t="s">
        <v>102</v>
      </c>
      <c r="B216" s="103"/>
      <c r="C216" s="103"/>
      <c r="D216" s="103"/>
      <c r="E216" s="103"/>
      <c r="F216" s="103"/>
      <c r="G216" s="103"/>
      <c r="H216" s="103"/>
      <c r="I216" s="103"/>
      <c r="J216" s="100"/>
      <c r="K216" s="170">
        <f>(SUM(K183,L112,K186,K189,K195,K198,L147,K201,K204,K207,K211))</f>
        <v>0</v>
      </c>
      <c r="L216" s="104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65"/>
      <c r="B217" s="112"/>
      <c r="C217" s="112"/>
      <c r="D217" s="112"/>
      <c r="E217" s="112"/>
      <c r="F217" s="112"/>
      <c r="G217" s="112"/>
      <c r="H217" s="112"/>
      <c r="I217" s="112"/>
      <c r="J217" s="172"/>
      <c r="K217" s="174"/>
      <c r="L217" s="166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76" t="s">
        <v>103</v>
      </c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96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8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252" t="s">
        <v>104</v>
      </c>
      <c r="B221" s="100"/>
      <c r="C221" s="253" t="s">
        <v>105</v>
      </c>
      <c r="D221" s="251" t="s">
        <v>106</v>
      </c>
      <c r="E221" s="103"/>
      <c r="F221" s="103"/>
      <c r="G221" s="103"/>
      <c r="H221" s="103"/>
      <c r="I221" s="103"/>
      <c r="J221" s="100"/>
      <c r="K221" s="255" t="s">
        <v>107</v>
      </c>
      <c r="L221" s="88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55"/>
      <c r="B222" s="135"/>
      <c r="C222" s="254"/>
      <c r="D222" s="204"/>
      <c r="E222" s="111"/>
      <c r="F222" s="111"/>
      <c r="G222" s="111"/>
      <c r="H222" s="111"/>
      <c r="I222" s="111"/>
      <c r="J222" s="135"/>
      <c r="K222" s="256" t="s">
        <v>108</v>
      </c>
      <c r="L222" s="88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96"/>
      <c r="B223" s="101"/>
      <c r="C223" s="129"/>
      <c r="D223" s="105"/>
      <c r="E223" s="97"/>
      <c r="F223" s="97"/>
      <c r="G223" s="97"/>
      <c r="H223" s="97"/>
      <c r="I223" s="97"/>
      <c r="J223" s="101"/>
      <c r="K223" s="48" t="s">
        <v>109</v>
      </c>
      <c r="L223" s="49" t="s">
        <v>110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257"/>
      <c r="B224" s="91"/>
      <c r="C224" s="50"/>
      <c r="D224" s="222" t="s">
        <v>111</v>
      </c>
      <c r="E224" s="87"/>
      <c r="F224" s="87"/>
      <c r="G224" s="87"/>
      <c r="H224" s="87"/>
      <c r="I224" s="87"/>
      <c r="J224" s="91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257"/>
      <c r="B225" s="91"/>
      <c r="C225" s="50"/>
      <c r="D225" s="222" t="s">
        <v>111</v>
      </c>
      <c r="E225" s="87"/>
      <c r="F225" s="87"/>
      <c r="G225" s="87"/>
      <c r="H225" s="87"/>
      <c r="I225" s="87"/>
      <c r="J225" s="91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257"/>
      <c r="B226" s="91"/>
      <c r="C226" s="50"/>
      <c r="D226" s="222" t="s">
        <v>111</v>
      </c>
      <c r="E226" s="87"/>
      <c r="F226" s="87"/>
      <c r="G226" s="87"/>
      <c r="H226" s="87"/>
      <c r="I226" s="87"/>
      <c r="J226" s="91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257"/>
      <c r="B227" s="91"/>
      <c r="C227" s="50"/>
      <c r="D227" s="222" t="s">
        <v>111</v>
      </c>
      <c r="E227" s="87"/>
      <c r="F227" s="87"/>
      <c r="G227" s="87"/>
      <c r="H227" s="87"/>
      <c r="I227" s="87"/>
      <c r="J227" s="91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257"/>
      <c r="B228" s="91"/>
      <c r="C228" s="50"/>
      <c r="D228" s="269" t="s">
        <v>111</v>
      </c>
      <c r="E228" s="87"/>
      <c r="F228" s="87"/>
      <c r="G228" s="87"/>
      <c r="H228" s="87"/>
      <c r="I228" s="87"/>
      <c r="J228" s="91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269" t="s">
        <v>111</v>
      </c>
      <c r="E229" s="87"/>
      <c r="F229" s="87"/>
      <c r="G229" s="87"/>
      <c r="H229" s="87"/>
      <c r="I229" s="87"/>
      <c r="J229" s="91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269" t="s">
        <v>111</v>
      </c>
      <c r="E230" s="87"/>
      <c r="F230" s="87"/>
      <c r="G230" s="87"/>
      <c r="H230" s="87"/>
      <c r="I230" s="87"/>
      <c r="J230" s="91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269" t="s">
        <v>111</v>
      </c>
      <c r="E231" s="87"/>
      <c r="F231" s="87"/>
      <c r="G231" s="87"/>
      <c r="H231" s="87"/>
      <c r="I231" s="87"/>
      <c r="J231" s="91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269" t="s">
        <v>111</v>
      </c>
      <c r="E232" s="87"/>
      <c r="F232" s="87"/>
      <c r="G232" s="87"/>
      <c r="H232" s="87"/>
      <c r="I232" s="87"/>
      <c r="J232" s="91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269" t="s">
        <v>111</v>
      </c>
      <c r="E233" s="87"/>
      <c r="F233" s="87"/>
      <c r="G233" s="87"/>
      <c r="H233" s="87"/>
      <c r="I233" s="87"/>
      <c r="J233" s="91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269" t="s">
        <v>111</v>
      </c>
      <c r="E234" s="87"/>
      <c r="F234" s="87"/>
      <c r="G234" s="87"/>
      <c r="H234" s="87"/>
      <c r="I234" s="87"/>
      <c r="J234" s="91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269" t="s">
        <v>111</v>
      </c>
      <c r="E235" s="87"/>
      <c r="F235" s="87"/>
      <c r="G235" s="87"/>
      <c r="H235" s="87"/>
      <c r="I235" s="87"/>
      <c r="J235" s="91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269" t="s">
        <v>111</v>
      </c>
      <c r="E236" s="87"/>
      <c r="F236" s="87"/>
      <c r="G236" s="87"/>
      <c r="H236" s="87"/>
      <c r="I236" s="87"/>
      <c r="J236" s="91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270"/>
      <c r="B237" s="162"/>
      <c r="C237" s="162"/>
      <c r="D237" s="162"/>
      <c r="E237" s="162"/>
      <c r="F237" s="162"/>
      <c r="G237" s="162"/>
      <c r="H237" s="162"/>
      <c r="I237" s="162"/>
      <c r="J237" s="158"/>
      <c r="K237" s="271"/>
      <c r="L237" s="163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76" t="s">
        <v>112</v>
      </c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5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96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8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272" t="s">
        <v>113</v>
      </c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9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114</v>
      </c>
      <c r="B242" s="92" t="s">
        <v>115</v>
      </c>
      <c r="C242" s="87"/>
      <c r="D242" s="87"/>
      <c r="E242" s="87"/>
      <c r="F242" s="87"/>
      <c r="G242" s="87"/>
      <c r="H242" s="87"/>
      <c r="I242" s="87"/>
      <c r="J242" s="87"/>
      <c r="K242" s="87"/>
      <c r="L242" s="9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114</v>
      </c>
      <c r="B243" s="92" t="s">
        <v>115</v>
      </c>
      <c r="C243" s="87"/>
      <c r="D243" s="87"/>
      <c r="E243" s="87"/>
      <c r="F243" s="87"/>
      <c r="G243" s="87"/>
      <c r="H243" s="87"/>
      <c r="I243" s="87"/>
      <c r="J243" s="87"/>
      <c r="K243" s="87"/>
      <c r="L243" s="9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114</v>
      </c>
      <c r="B244" s="92" t="s">
        <v>115</v>
      </c>
      <c r="C244" s="87"/>
      <c r="D244" s="87"/>
      <c r="E244" s="87"/>
      <c r="F244" s="87"/>
      <c r="G244" s="87"/>
      <c r="H244" s="87"/>
      <c r="I244" s="87"/>
      <c r="J244" s="87"/>
      <c r="K244" s="87"/>
      <c r="L244" s="9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114</v>
      </c>
      <c r="B245" s="92" t="s">
        <v>115</v>
      </c>
      <c r="C245" s="87"/>
      <c r="D245" s="87"/>
      <c r="E245" s="87"/>
      <c r="F245" s="87"/>
      <c r="G245" s="87"/>
      <c r="H245" s="87"/>
      <c r="I245" s="87"/>
      <c r="J245" s="87"/>
      <c r="K245" s="87"/>
      <c r="L245" s="9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114</v>
      </c>
      <c r="B246" s="92" t="s">
        <v>115</v>
      </c>
      <c r="C246" s="87"/>
      <c r="D246" s="87"/>
      <c r="E246" s="87"/>
      <c r="F246" s="87"/>
      <c r="G246" s="87"/>
      <c r="H246" s="87"/>
      <c r="I246" s="87"/>
      <c r="J246" s="87"/>
      <c r="K246" s="87"/>
      <c r="L246" s="9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114</v>
      </c>
      <c r="B247" s="92" t="s">
        <v>115</v>
      </c>
      <c r="C247" s="87"/>
      <c r="D247" s="87"/>
      <c r="E247" s="87"/>
      <c r="F247" s="87"/>
      <c r="G247" s="87"/>
      <c r="H247" s="87"/>
      <c r="I247" s="87"/>
      <c r="J247" s="87"/>
      <c r="K247" s="87"/>
      <c r="L247" s="9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114</v>
      </c>
      <c r="B248" s="92" t="s">
        <v>115</v>
      </c>
      <c r="C248" s="87"/>
      <c r="D248" s="87"/>
      <c r="E248" s="87"/>
      <c r="F248" s="87"/>
      <c r="G248" s="87"/>
      <c r="H248" s="87"/>
      <c r="I248" s="87"/>
      <c r="J248" s="87"/>
      <c r="K248" s="87"/>
      <c r="L248" s="9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114</v>
      </c>
      <c r="B249" s="92" t="s">
        <v>115</v>
      </c>
      <c r="C249" s="87"/>
      <c r="D249" s="87"/>
      <c r="E249" s="87"/>
      <c r="F249" s="87"/>
      <c r="G249" s="87"/>
      <c r="H249" s="87"/>
      <c r="I249" s="87"/>
      <c r="J249" s="87"/>
      <c r="K249" s="87"/>
      <c r="L249" s="9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114</v>
      </c>
      <c r="B250" s="92" t="s">
        <v>115</v>
      </c>
      <c r="C250" s="87"/>
      <c r="D250" s="87"/>
      <c r="E250" s="87"/>
      <c r="F250" s="87"/>
      <c r="G250" s="87"/>
      <c r="H250" s="87"/>
      <c r="I250" s="87"/>
      <c r="J250" s="87"/>
      <c r="K250" s="87"/>
      <c r="L250" s="9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114</v>
      </c>
      <c r="B251" s="92" t="s">
        <v>115</v>
      </c>
      <c r="C251" s="87"/>
      <c r="D251" s="87"/>
      <c r="E251" s="87"/>
      <c r="F251" s="87"/>
      <c r="G251" s="87"/>
      <c r="H251" s="87"/>
      <c r="I251" s="87"/>
      <c r="J251" s="87"/>
      <c r="K251" s="87"/>
      <c r="L251" s="9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114</v>
      </c>
      <c r="B252" s="92" t="s">
        <v>115</v>
      </c>
      <c r="C252" s="87"/>
      <c r="D252" s="87"/>
      <c r="E252" s="87"/>
      <c r="F252" s="87"/>
      <c r="G252" s="87"/>
      <c r="H252" s="87"/>
      <c r="I252" s="87"/>
      <c r="J252" s="87"/>
      <c r="K252" s="87"/>
      <c r="L252" s="9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114</v>
      </c>
      <c r="B253" s="92" t="s">
        <v>115</v>
      </c>
      <c r="C253" s="87"/>
      <c r="D253" s="87"/>
      <c r="E253" s="87"/>
      <c r="F253" s="87"/>
      <c r="G253" s="87"/>
      <c r="H253" s="87"/>
      <c r="I253" s="87"/>
      <c r="J253" s="87"/>
      <c r="K253" s="87"/>
      <c r="L253" s="9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114</v>
      </c>
      <c r="B254" s="92" t="s">
        <v>115</v>
      </c>
      <c r="C254" s="87"/>
      <c r="D254" s="87"/>
      <c r="E254" s="87"/>
      <c r="F254" s="87"/>
      <c r="G254" s="87"/>
      <c r="H254" s="87"/>
      <c r="I254" s="87"/>
      <c r="J254" s="87"/>
      <c r="K254" s="87"/>
      <c r="L254" s="9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114</v>
      </c>
      <c r="B255" s="92" t="s">
        <v>115</v>
      </c>
      <c r="C255" s="87"/>
      <c r="D255" s="87"/>
      <c r="E255" s="87"/>
      <c r="F255" s="87"/>
      <c r="G255" s="87"/>
      <c r="H255" s="87"/>
      <c r="I255" s="87"/>
      <c r="J255" s="87"/>
      <c r="K255" s="87"/>
      <c r="L255" s="9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08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9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276" t="s">
        <v>116</v>
      </c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8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276" t="s">
        <v>117</v>
      </c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8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75" t="s">
        <v>118</v>
      </c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5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65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66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277" t="s">
        <v>119</v>
      </c>
      <c r="C263" s="117"/>
      <c r="D263" s="117"/>
      <c r="E263" s="118"/>
      <c r="F263" s="62"/>
      <c r="G263" s="278" t="s">
        <v>120</v>
      </c>
      <c r="H263" s="114"/>
      <c r="I263" s="114"/>
      <c r="J263" s="114"/>
      <c r="K263" s="115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121</v>
      </c>
      <c r="C264" s="66" t="s">
        <v>68</v>
      </c>
      <c r="D264" s="66" t="s">
        <v>121</v>
      </c>
      <c r="E264" s="67" t="s">
        <v>68</v>
      </c>
      <c r="F264" s="1"/>
      <c r="G264" s="68" t="s">
        <v>122</v>
      </c>
      <c r="H264" s="279" t="s">
        <v>123</v>
      </c>
      <c r="I264" s="158"/>
      <c r="J264" s="279" t="s">
        <v>68</v>
      </c>
      <c r="K264" s="163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280"/>
      <c r="H265" s="94"/>
      <c r="I265" s="94"/>
      <c r="J265" s="94"/>
      <c r="K265" s="95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96"/>
      <c r="H266" s="97"/>
      <c r="I266" s="97"/>
      <c r="J266" s="97"/>
      <c r="K266" s="98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282" t="s">
        <v>124</v>
      </c>
      <c r="H267" s="284" t="s">
        <v>125</v>
      </c>
      <c r="I267" s="91"/>
      <c r="J267" s="285"/>
      <c r="K267" s="88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283"/>
      <c r="H268" s="286" t="s">
        <v>126</v>
      </c>
      <c r="I268" s="158"/>
      <c r="J268" s="287"/>
      <c r="K268" s="163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280"/>
      <c r="H269" s="94"/>
      <c r="I269" s="94"/>
      <c r="J269" s="94"/>
      <c r="K269" s="95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96"/>
      <c r="H270" s="97"/>
      <c r="I270" s="97"/>
      <c r="J270" s="97"/>
      <c r="K270" s="98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282" t="s">
        <v>127</v>
      </c>
      <c r="H271" s="284" t="s">
        <v>125</v>
      </c>
      <c r="I271" s="91"/>
      <c r="J271" s="285"/>
      <c r="K271" s="88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283"/>
      <c r="H272" s="286" t="s">
        <v>126</v>
      </c>
      <c r="I272" s="158"/>
      <c r="J272" s="287"/>
      <c r="K272" s="163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280"/>
      <c r="H273" s="94"/>
      <c r="I273" s="94"/>
      <c r="J273" s="94"/>
      <c r="K273" s="95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96"/>
      <c r="H274" s="97"/>
      <c r="I274" s="97"/>
      <c r="J274" s="97"/>
      <c r="K274" s="98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282" t="s">
        <v>128</v>
      </c>
      <c r="H275" s="284" t="s">
        <v>125</v>
      </c>
      <c r="I275" s="91"/>
      <c r="J275" s="285"/>
      <c r="K275" s="88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283"/>
      <c r="H276" s="286" t="s">
        <v>126</v>
      </c>
      <c r="I276" s="158"/>
      <c r="J276" s="287"/>
      <c r="K276" s="163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280"/>
      <c r="H277" s="94"/>
      <c r="I277" s="94"/>
      <c r="J277" s="94"/>
      <c r="K277" s="95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96"/>
      <c r="H278" s="97"/>
      <c r="I278" s="97"/>
      <c r="J278" s="97"/>
      <c r="K278" s="98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282" t="s">
        <v>129</v>
      </c>
      <c r="H279" s="284" t="s">
        <v>125</v>
      </c>
      <c r="I279" s="91"/>
      <c r="J279" s="285"/>
      <c r="K279" s="88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283"/>
      <c r="H280" s="286" t="s">
        <v>126</v>
      </c>
      <c r="I280" s="158"/>
      <c r="J280" s="287"/>
      <c r="K280" s="163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291"/>
      <c r="H281" s="131"/>
      <c r="I281" s="131"/>
      <c r="J281" s="131"/>
      <c r="K281" s="132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05"/>
      <c r="H282" s="97"/>
      <c r="I282" s="97"/>
      <c r="J282" s="97"/>
      <c r="K282" s="101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290" t="s">
        <v>130</v>
      </c>
      <c r="H283" s="292" t="s">
        <v>125</v>
      </c>
      <c r="I283" s="293"/>
      <c r="J283" s="294"/>
      <c r="K283" s="122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283"/>
      <c r="H284" s="286" t="s">
        <v>126</v>
      </c>
      <c r="I284" s="158"/>
      <c r="J284" s="287"/>
      <c r="K284" s="163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281" t="s">
        <v>55</v>
      </c>
      <c r="H285" s="242"/>
      <c r="I285" s="243"/>
      <c r="J285" s="288">
        <f>SUM(J267,J268,J271,J272,J275,J276,J279,J280,J283,J284)</f>
        <v>0</v>
      </c>
      <c r="K285" s="289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273" t="s">
        <v>131</v>
      </c>
      <c r="H287" s="117"/>
      <c r="I287" s="117"/>
      <c r="J287" s="118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274" t="s">
        <v>122</v>
      </c>
      <c r="H288" s="218"/>
      <c r="I288" s="275" t="s">
        <v>68</v>
      </c>
      <c r="J288" s="115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261" t="s">
        <v>132</v>
      </c>
      <c r="H289" s="91"/>
      <c r="I289" s="259"/>
      <c r="J289" s="88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261" t="s">
        <v>133</v>
      </c>
      <c r="H290" s="91"/>
      <c r="I290" s="259"/>
      <c r="J290" s="88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261" t="s">
        <v>134</v>
      </c>
      <c r="H291" s="91"/>
      <c r="I291" s="259"/>
      <c r="J291" s="88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261" t="s">
        <v>135</v>
      </c>
      <c r="H292" s="91"/>
      <c r="I292" s="259"/>
      <c r="J292" s="88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261" t="s">
        <v>136</v>
      </c>
      <c r="H293" s="91"/>
      <c r="I293" s="259"/>
      <c r="J293" s="88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262" t="s">
        <v>55</v>
      </c>
      <c r="H294" s="158"/>
      <c r="I294" s="260">
        <f>SUM(I289:J293)</f>
        <v>0</v>
      </c>
      <c r="J294" s="163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263" t="s">
        <v>55</v>
      </c>
      <c r="C295" s="162"/>
      <c r="D295" s="158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76" t="s">
        <v>137</v>
      </c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5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65"/>
      <c r="B298" s="112"/>
      <c r="C298" s="112"/>
      <c r="D298" s="112"/>
      <c r="E298" s="112"/>
      <c r="F298" s="112"/>
      <c r="G298" s="112"/>
      <c r="H298" s="112"/>
      <c r="I298" s="112"/>
      <c r="J298" s="112"/>
      <c r="K298" s="112"/>
      <c r="L298" s="166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295" t="s">
        <v>67</v>
      </c>
      <c r="B299" s="114"/>
      <c r="C299" s="114"/>
      <c r="D299" s="114"/>
      <c r="E299" s="114"/>
      <c r="F299" s="114"/>
      <c r="G299" s="218"/>
      <c r="H299" s="78" t="s">
        <v>138</v>
      </c>
      <c r="I299" s="264" t="s">
        <v>139</v>
      </c>
      <c r="J299" s="218"/>
      <c r="K299" s="265" t="s">
        <v>140</v>
      </c>
      <c r="L299" s="115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257" t="s">
        <v>141</v>
      </c>
      <c r="B300" s="87"/>
      <c r="C300" s="87"/>
      <c r="D300" s="87"/>
      <c r="E300" s="87"/>
      <c r="F300" s="87"/>
      <c r="G300" s="91"/>
      <c r="H300" s="79"/>
      <c r="I300" s="258"/>
      <c r="J300" s="91"/>
      <c r="K300" s="266">
        <f t="shared" ref="K300:K331" si="2">H300*I300</f>
        <v>0</v>
      </c>
      <c r="L300" s="88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257" t="s">
        <v>141</v>
      </c>
      <c r="B301" s="87"/>
      <c r="C301" s="87"/>
      <c r="D301" s="87"/>
      <c r="E301" s="87"/>
      <c r="F301" s="87"/>
      <c r="G301" s="91"/>
      <c r="H301" s="79"/>
      <c r="I301" s="258"/>
      <c r="J301" s="91"/>
      <c r="K301" s="266">
        <f t="shared" si="2"/>
        <v>0</v>
      </c>
      <c r="L301" s="88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257" t="s">
        <v>141</v>
      </c>
      <c r="B302" s="87"/>
      <c r="C302" s="87"/>
      <c r="D302" s="87"/>
      <c r="E302" s="87"/>
      <c r="F302" s="87"/>
      <c r="G302" s="91"/>
      <c r="H302" s="79"/>
      <c r="I302" s="258"/>
      <c r="J302" s="91"/>
      <c r="K302" s="266">
        <f t="shared" si="2"/>
        <v>0</v>
      </c>
      <c r="L302" s="88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257" t="s">
        <v>141</v>
      </c>
      <c r="B303" s="87"/>
      <c r="C303" s="87"/>
      <c r="D303" s="87"/>
      <c r="E303" s="87"/>
      <c r="F303" s="87"/>
      <c r="G303" s="91"/>
      <c r="H303" s="79"/>
      <c r="I303" s="258"/>
      <c r="J303" s="91"/>
      <c r="K303" s="266">
        <f t="shared" si="2"/>
        <v>0</v>
      </c>
      <c r="L303" s="88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257" t="s">
        <v>141</v>
      </c>
      <c r="B304" s="87"/>
      <c r="C304" s="87"/>
      <c r="D304" s="87"/>
      <c r="E304" s="87"/>
      <c r="F304" s="87"/>
      <c r="G304" s="91"/>
      <c r="H304" s="79"/>
      <c r="I304" s="258"/>
      <c r="J304" s="91"/>
      <c r="K304" s="266">
        <f t="shared" si="2"/>
        <v>0</v>
      </c>
      <c r="L304" s="88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257" t="s">
        <v>141</v>
      </c>
      <c r="B305" s="87"/>
      <c r="C305" s="87"/>
      <c r="D305" s="87"/>
      <c r="E305" s="87"/>
      <c r="F305" s="87"/>
      <c r="G305" s="91"/>
      <c r="H305" s="79"/>
      <c r="I305" s="258"/>
      <c r="J305" s="91"/>
      <c r="K305" s="266">
        <f t="shared" si="2"/>
        <v>0</v>
      </c>
      <c r="L305" s="88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257" t="s">
        <v>141</v>
      </c>
      <c r="B306" s="87"/>
      <c r="C306" s="87"/>
      <c r="D306" s="87"/>
      <c r="E306" s="87"/>
      <c r="F306" s="87"/>
      <c r="G306" s="91"/>
      <c r="H306" s="79"/>
      <c r="I306" s="258"/>
      <c r="J306" s="91"/>
      <c r="K306" s="266">
        <f t="shared" si="2"/>
        <v>0</v>
      </c>
      <c r="L306" s="88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257" t="s">
        <v>141</v>
      </c>
      <c r="B307" s="87"/>
      <c r="C307" s="87"/>
      <c r="D307" s="87"/>
      <c r="E307" s="87"/>
      <c r="F307" s="87"/>
      <c r="G307" s="91"/>
      <c r="H307" s="79"/>
      <c r="I307" s="258"/>
      <c r="J307" s="91"/>
      <c r="K307" s="266">
        <f t="shared" si="2"/>
        <v>0</v>
      </c>
      <c r="L307" s="88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257" t="s">
        <v>141</v>
      </c>
      <c r="B308" s="87"/>
      <c r="C308" s="87"/>
      <c r="D308" s="87"/>
      <c r="E308" s="87"/>
      <c r="F308" s="87"/>
      <c r="G308" s="91"/>
      <c r="H308" s="79"/>
      <c r="I308" s="258"/>
      <c r="J308" s="91"/>
      <c r="K308" s="266">
        <f t="shared" si="2"/>
        <v>0</v>
      </c>
      <c r="L308" s="88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257" t="s">
        <v>141</v>
      </c>
      <c r="B309" s="87"/>
      <c r="C309" s="87"/>
      <c r="D309" s="87"/>
      <c r="E309" s="87"/>
      <c r="F309" s="87"/>
      <c r="G309" s="91"/>
      <c r="H309" s="79"/>
      <c r="I309" s="258"/>
      <c r="J309" s="91"/>
      <c r="K309" s="266">
        <f t="shared" si="2"/>
        <v>0</v>
      </c>
      <c r="L309" s="88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257" t="s">
        <v>141</v>
      </c>
      <c r="B310" s="87"/>
      <c r="C310" s="87"/>
      <c r="D310" s="87"/>
      <c r="E310" s="87"/>
      <c r="F310" s="87"/>
      <c r="G310" s="91"/>
      <c r="H310" s="79"/>
      <c r="I310" s="258"/>
      <c r="J310" s="91"/>
      <c r="K310" s="266">
        <f t="shared" si="2"/>
        <v>0</v>
      </c>
      <c r="L310" s="88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257" t="s">
        <v>141</v>
      </c>
      <c r="B311" s="87"/>
      <c r="C311" s="87"/>
      <c r="D311" s="87"/>
      <c r="E311" s="87"/>
      <c r="F311" s="87"/>
      <c r="G311" s="91"/>
      <c r="H311" s="79"/>
      <c r="I311" s="258"/>
      <c r="J311" s="91"/>
      <c r="K311" s="266">
        <f t="shared" si="2"/>
        <v>0</v>
      </c>
      <c r="L311" s="88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257" t="s">
        <v>141</v>
      </c>
      <c r="B312" s="87"/>
      <c r="C312" s="87"/>
      <c r="D312" s="87"/>
      <c r="E312" s="87"/>
      <c r="F312" s="87"/>
      <c r="G312" s="91"/>
      <c r="H312" s="79"/>
      <c r="I312" s="258"/>
      <c r="J312" s="91"/>
      <c r="K312" s="266">
        <f t="shared" si="2"/>
        <v>0</v>
      </c>
      <c r="L312" s="88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257" t="s">
        <v>141</v>
      </c>
      <c r="B313" s="87"/>
      <c r="C313" s="87"/>
      <c r="D313" s="87"/>
      <c r="E313" s="87"/>
      <c r="F313" s="87"/>
      <c r="G313" s="91"/>
      <c r="H313" s="79"/>
      <c r="I313" s="258"/>
      <c r="J313" s="91"/>
      <c r="K313" s="266">
        <f t="shared" si="2"/>
        <v>0</v>
      </c>
      <c r="L313" s="88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257" t="s">
        <v>141</v>
      </c>
      <c r="B314" s="87"/>
      <c r="C314" s="87"/>
      <c r="D314" s="87"/>
      <c r="E314" s="87"/>
      <c r="F314" s="87"/>
      <c r="G314" s="91"/>
      <c r="H314" s="79"/>
      <c r="I314" s="258"/>
      <c r="J314" s="91"/>
      <c r="K314" s="266">
        <f t="shared" si="2"/>
        <v>0</v>
      </c>
      <c r="L314" s="88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257" t="s">
        <v>141</v>
      </c>
      <c r="B315" s="87"/>
      <c r="C315" s="87"/>
      <c r="D315" s="87"/>
      <c r="E315" s="87"/>
      <c r="F315" s="87"/>
      <c r="G315" s="91"/>
      <c r="H315" s="79"/>
      <c r="I315" s="258"/>
      <c r="J315" s="91"/>
      <c r="K315" s="266">
        <f t="shared" si="2"/>
        <v>0</v>
      </c>
      <c r="L315" s="88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257" t="s">
        <v>141</v>
      </c>
      <c r="B316" s="87"/>
      <c r="C316" s="87"/>
      <c r="D316" s="87"/>
      <c r="E316" s="87"/>
      <c r="F316" s="87"/>
      <c r="G316" s="91"/>
      <c r="H316" s="79"/>
      <c r="I316" s="258"/>
      <c r="J316" s="91"/>
      <c r="K316" s="266">
        <f t="shared" si="2"/>
        <v>0</v>
      </c>
      <c r="L316" s="88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257" t="s">
        <v>141</v>
      </c>
      <c r="B317" s="87"/>
      <c r="C317" s="87"/>
      <c r="D317" s="87"/>
      <c r="E317" s="87"/>
      <c r="F317" s="87"/>
      <c r="G317" s="91"/>
      <c r="H317" s="79"/>
      <c r="I317" s="258"/>
      <c r="J317" s="91"/>
      <c r="K317" s="266">
        <f t="shared" si="2"/>
        <v>0</v>
      </c>
      <c r="L317" s="88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257" t="s">
        <v>141</v>
      </c>
      <c r="B318" s="87"/>
      <c r="C318" s="87"/>
      <c r="D318" s="87"/>
      <c r="E318" s="87"/>
      <c r="F318" s="87"/>
      <c r="G318" s="91"/>
      <c r="H318" s="79"/>
      <c r="I318" s="258"/>
      <c r="J318" s="91"/>
      <c r="K318" s="266">
        <f t="shared" si="2"/>
        <v>0</v>
      </c>
      <c r="L318" s="88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257" t="s">
        <v>141</v>
      </c>
      <c r="B319" s="87"/>
      <c r="C319" s="87"/>
      <c r="D319" s="87"/>
      <c r="E319" s="87"/>
      <c r="F319" s="87"/>
      <c r="G319" s="91"/>
      <c r="H319" s="79"/>
      <c r="I319" s="258"/>
      <c r="J319" s="91"/>
      <c r="K319" s="266">
        <f t="shared" si="2"/>
        <v>0</v>
      </c>
      <c r="L319" s="88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257" t="s">
        <v>141</v>
      </c>
      <c r="B320" s="87"/>
      <c r="C320" s="87"/>
      <c r="D320" s="87"/>
      <c r="E320" s="87"/>
      <c r="F320" s="87"/>
      <c r="G320" s="91"/>
      <c r="H320" s="79"/>
      <c r="I320" s="258"/>
      <c r="J320" s="91"/>
      <c r="K320" s="266">
        <f t="shared" si="2"/>
        <v>0</v>
      </c>
      <c r="L320" s="88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257" t="s">
        <v>141</v>
      </c>
      <c r="B321" s="87"/>
      <c r="C321" s="87"/>
      <c r="D321" s="87"/>
      <c r="E321" s="87"/>
      <c r="F321" s="87"/>
      <c r="G321" s="91"/>
      <c r="H321" s="79"/>
      <c r="I321" s="258"/>
      <c r="J321" s="91"/>
      <c r="K321" s="266">
        <f t="shared" si="2"/>
        <v>0</v>
      </c>
      <c r="L321" s="88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257" t="s">
        <v>141</v>
      </c>
      <c r="B322" s="87"/>
      <c r="C322" s="87"/>
      <c r="D322" s="87"/>
      <c r="E322" s="87"/>
      <c r="F322" s="87"/>
      <c r="G322" s="91"/>
      <c r="H322" s="79"/>
      <c r="I322" s="258"/>
      <c r="J322" s="91"/>
      <c r="K322" s="266">
        <f t="shared" si="2"/>
        <v>0</v>
      </c>
      <c r="L322" s="88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257" t="s">
        <v>141</v>
      </c>
      <c r="B323" s="87"/>
      <c r="C323" s="87"/>
      <c r="D323" s="87"/>
      <c r="E323" s="87"/>
      <c r="F323" s="87"/>
      <c r="G323" s="91"/>
      <c r="H323" s="79"/>
      <c r="I323" s="258"/>
      <c r="J323" s="91"/>
      <c r="K323" s="266">
        <f t="shared" si="2"/>
        <v>0</v>
      </c>
      <c r="L323" s="88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257" t="s">
        <v>141</v>
      </c>
      <c r="B324" s="87"/>
      <c r="C324" s="87"/>
      <c r="D324" s="87"/>
      <c r="E324" s="87"/>
      <c r="F324" s="87"/>
      <c r="G324" s="91"/>
      <c r="H324" s="79"/>
      <c r="I324" s="258"/>
      <c r="J324" s="91"/>
      <c r="K324" s="266">
        <f t="shared" si="2"/>
        <v>0</v>
      </c>
      <c r="L324" s="88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257" t="s">
        <v>141</v>
      </c>
      <c r="B325" s="87"/>
      <c r="C325" s="87"/>
      <c r="D325" s="87"/>
      <c r="E325" s="87"/>
      <c r="F325" s="87"/>
      <c r="G325" s="91"/>
      <c r="H325" s="79"/>
      <c r="I325" s="258"/>
      <c r="J325" s="91"/>
      <c r="K325" s="266">
        <f t="shared" si="2"/>
        <v>0</v>
      </c>
      <c r="L325" s="88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257" t="s">
        <v>141</v>
      </c>
      <c r="B326" s="87"/>
      <c r="C326" s="87"/>
      <c r="D326" s="87"/>
      <c r="E326" s="87"/>
      <c r="F326" s="87"/>
      <c r="G326" s="91"/>
      <c r="H326" s="79"/>
      <c r="I326" s="258"/>
      <c r="J326" s="91"/>
      <c r="K326" s="266">
        <f t="shared" si="2"/>
        <v>0</v>
      </c>
      <c r="L326" s="88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257" t="s">
        <v>141</v>
      </c>
      <c r="B327" s="87"/>
      <c r="C327" s="87"/>
      <c r="D327" s="87"/>
      <c r="E327" s="87"/>
      <c r="F327" s="87"/>
      <c r="G327" s="91"/>
      <c r="H327" s="79"/>
      <c r="I327" s="258"/>
      <c r="J327" s="91"/>
      <c r="K327" s="266">
        <f t="shared" si="2"/>
        <v>0</v>
      </c>
      <c r="L327" s="88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257" t="s">
        <v>141</v>
      </c>
      <c r="B328" s="87"/>
      <c r="C328" s="87"/>
      <c r="D328" s="87"/>
      <c r="E328" s="87"/>
      <c r="F328" s="87"/>
      <c r="G328" s="91"/>
      <c r="H328" s="79"/>
      <c r="I328" s="258"/>
      <c r="J328" s="91"/>
      <c r="K328" s="266">
        <f t="shared" si="2"/>
        <v>0</v>
      </c>
      <c r="L328" s="88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257" t="s">
        <v>141</v>
      </c>
      <c r="B329" s="87"/>
      <c r="C329" s="87"/>
      <c r="D329" s="87"/>
      <c r="E329" s="87"/>
      <c r="F329" s="87"/>
      <c r="G329" s="91"/>
      <c r="H329" s="79"/>
      <c r="I329" s="258"/>
      <c r="J329" s="91"/>
      <c r="K329" s="266">
        <f t="shared" si="2"/>
        <v>0</v>
      </c>
      <c r="L329" s="88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257" t="s">
        <v>141</v>
      </c>
      <c r="B330" s="87"/>
      <c r="C330" s="87"/>
      <c r="D330" s="87"/>
      <c r="E330" s="87"/>
      <c r="F330" s="87"/>
      <c r="G330" s="91"/>
      <c r="H330" s="79"/>
      <c r="I330" s="258"/>
      <c r="J330" s="91"/>
      <c r="K330" s="266">
        <f t="shared" si="2"/>
        <v>0</v>
      </c>
      <c r="L330" s="88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257" t="s">
        <v>141</v>
      </c>
      <c r="B331" s="87"/>
      <c r="C331" s="87"/>
      <c r="D331" s="87"/>
      <c r="E331" s="87"/>
      <c r="F331" s="87"/>
      <c r="G331" s="91"/>
      <c r="H331" s="79"/>
      <c r="I331" s="258"/>
      <c r="J331" s="91"/>
      <c r="K331" s="266">
        <f t="shared" si="2"/>
        <v>0</v>
      </c>
      <c r="L331" s="88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303" t="s">
        <v>55</v>
      </c>
      <c r="B332" s="162"/>
      <c r="C332" s="162"/>
      <c r="D332" s="162"/>
      <c r="E332" s="162"/>
      <c r="F332" s="162"/>
      <c r="G332" s="162"/>
      <c r="H332" s="162"/>
      <c r="I332" s="162"/>
      <c r="J332" s="158"/>
      <c r="K332" s="297">
        <f>SUM(K300:L331)</f>
        <v>0</v>
      </c>
      <c r="L332" s="163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298" t="s">
        <v>142</v>
      </c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8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299" t="s">
        <v>143</v>
      </c>
      <c r="B335" s="114"/>
      <c r="C335" s="114"/>
      <c r="D335" s="114"/>
      <c r="E335" s="114"/>
      <c r="F335" s="114"/>
      <c r="G335" s="114"/>
      <c r="H335" s="114"/>
      <c r="I335" s="114"/>
      <c r="J335" s="114"/>
      <c r="K335" s="114"/>
      <c r="L335" s="115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300" t="s">
        <v>144</v>
      </c>
      <c r="B336" s="87"/>
      <c r="C336" s="87"/>
      <c r="D336" s="91"/>
      <c r="E336" s="301" t="s">
        <v>145</v>
      </c>
      <c r="F336" s="91"/>
      <c r="G336" s="302" t="s">
        <v>146</v>
      </c>
      <c r="H336" s="91"/>
      <c r="I336" s="302" t="s">
        <v>147</v>
      </c>
      <c r="J336" s="87"/>
      <c r="K336" s="87"/>
      <c r="L336" s="88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296"/>
      <c r="B337" s="87"/>
      <c r="C337" s="87"/>
      <c r="D337" s="91"/>
      <c r="E337" s="137"/>
      <c r="F337" s="91"/>
      <c r="G337" s="137"/>
      <c r="H337" s="91"/>
      <c r="I337" s="107" t="s">
        <v>148</v>
      </c>
      <c r="J337" s="87"/>
      <c r="K337" s="87"/>
      <c r="L337" s="88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296"/>
      <c r="B338" s="87"/>
      <c r="C338" s="87"/>
      <c r="D338" s="91"/>
      <c r="E338" s="137"/>
      <c r="F338" s="91"/>
      <c r="G338" s="137"/>
      <c r="H338" s="91"/>
      <c r="I338" s="107" t="s">
        <v>148</v>
      </c>
      <c r="J338" s="87"/>
      <c r="K338" s="87"/>
      <c r="L338" s="88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296"/>
      <c r="B339" s="87"/>
      <c r="C339" s="87"/>
      <c r="D339" s="91"/>
      <c r="E339" s="137"/>
      <c r="F339" s="91"/>
      <c r="G339" s="137"/>
      <c r="H339" s="91"/>
      <c r="I339" s="107" t="s">
        <v>148</v>
      </c>
      <c r="J339" s="87"/>
      <c r="K339" s="87"/>
      <c r="L339" s="88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296"/>
      <c r="B340" s="87"/>
      <c r="C340" s="87"/>
      <c r="D340" s="91"/>
      <c r="E340" s="137"/>
      <c r="F340" s="91"/>
      <c r="G340" s="137"/>
      <c r="H340" s="91"/>
      <c r="I340" s="107" t="s">
        <v>148</v>
      </c>
      <c r="J340" s="87"/>
      <c r="K340" s="87"/>
      <c r="L340" s="88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296"/>
      <c r="B341" s="87"/>
      <c r="C341" s="87"/>
      <c r="D341" s="91"/>
      <c r="E341" s="137"/>
      <c r="F341" s="91"/>
      <c r="G341" s="137"/>
      <c r="H341" s="91"/>
      <c r="I341" s="107" t="s">
        <v>148</v>
      </c>
      <c r="J341" s="87"/>
      <c r="K341" s="87"/>
      <c r="L341" s="88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296"/>
      <c r="B342" s="87"/>
      <c r="C342" s="87"/>
      <c r="D342" s="91"/>
      <c r="E342" s="137"/>
      <c r="F342" s="91"/>
      <c r="G342" s="137"/>
      <c r="H342" s="91"/>
      <c r="I342" s="107" t="s">
        <v>148</v>
      </c>
      <c r="J342" s="87"/>
      <c r="K342" s="87"/>
      <c r="L342" s="88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304"/>
      <c r="B343" s="162"/>
      <c r="C343" s="162"/>
      <c r="D343" s="158"/>
      <c r="E343" s="267"/>
      <c r="F343" s="158"/>
      <c r="G343" s="267"/>
      <c r="H343" s="158"/>
      <c r="I343" s="268" t="s">
        <v>148</v>
      </c>
      <c r="J343" s="162"/>
      <c r="K343" s="162"/>
      <c r="L343" s="163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7">
    <mergeCell ref="A343:D343"/>
    <mergeCell ref="E343:F343"/>
    <mergeCell ref="A14:E14"/>
    <mergeCell ref="F14:L14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E337:F337"/>
    <mergeCell ref="G337:H337"/>
    <mergeCell ref="I337:L337"/>
    <mergeCell ref="G339:H339"/>
    <mergeCell ref="I339:L339"/>
    <mergeCell ref="A337:D337"/>
    <mergeCell ref="A338:D338"/>
    <mergeCell ref="E338:F338"/>
    <mergeCell ref="G338:H338"/>
    <mergeCell ref="I338:L338"/>
    <mergeCell ref="A339:D339"/>
    <mergeCell ref="E339:F339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A331:G331"/>
    <mergeCell ref="A332:J332"/>
    <mergeCell ref="A329:G329"/>
    <mergeCell ref="I329:J329"/>
    <mergeCell ref="A330:G330"/>
    <mergeCell ref="I330:J330"/>
    <mergeCell ref="I331:J331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K323:L323"/>
    <mergeCell ref="K324:L324"/>
    <mergeCell ref="K325:L325"/>
    <mergeCell ref="K326:L326"/>
    <mergeCell ref="K327:L327"/>
    <mergeCell ref="I326:J326"/>
    <mergeCell ref="I327:J327"/>
    <mergeCell ref="A328:G328"/>
    <mergeCell ref="I328:J328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I302:J302"/>
    <mergeCell ref="I318:J318"/>
    <mergeCell ref="I319:J319"/>
    <mergeCell ref="A315:G315"/>
    <mergeCell ref="A316:G316"/>
    <mergeCell ref="I316:J316"/>
    <mergeCell ref="H275:I275"/>
    <mergeCell ref="J275:K275"/>
    <mergeCell ref="G271:G272"/>
    <mergeCell ref="H271:I271"/>
    <mergeCell ref="J271:K271"/>
    <mergeCell ref="H272:I272"/>
    <mergeCell ref="J272:K272"/>
    <mergeCell ref="G273:K274"/>
    <mergeCell ref="J285:K285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G285:I285"/>
    <mergeCell ref="G267:G268"/>
    <mergeCell ref="H267:I267"/>
    <mergeCell ref="J267:K267"/>
    <mergeCell ref="H268:I268"/>
    <mergeCell ref="J268:K268"/>
    <mergeCell ref="G269:K270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G343:H343"/>
    <mergeCell ref="I343:L343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A143:B143"/>
    <mergeCell ref="C143:E143"/>
    <mergeCell ref="F143:G143"/>
    <mergeCell ref="A144:B144"/>
    <mergeCell ref="C144:E144"/>
    <mergeCell ref="F144:G144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17:L18"/>
    <mergeCell ref="A19:L19"/>
    <mergeCell ref="A20:A21"/>
    <mergeCell ref="B20:G21"/>
    <mergeCell ref="H20:H21"/>
    <mergeCell ref="I20:L21"/>
    <mergeCell ref="A22:B22"/>
    <mergeCell ref="C22:L22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</mergeCell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Dados!$A$2:$A$9</xm:f>
          </x14:formula1>
          <xm:sqref>C42</xm:sqref>
        </x14:dataValidation>
        <x14:dataValidation type="list" allowBlank="1" showErrorMessage="1" xr:uid="{00000000-0002-0000-0000-000001000000}">
          <x14:formula1>
            <xm:f>Dados!$A$12:$A$27</xm:f>
          </x14:formula1>
          <xm:sqref>A114:A144 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46</v>
      </c>
      <c r="E2" s="81" t="s">
        <v>149</v>
      </c>
      <c r="G2" s="81">
        <v>1</v>
      </c>
      <c r="H2" s="81" t="s">
        <v>150</v>
      </c>
      <c r="K2" s="81" t="s">
        <v>151</v>
      </c>
    </row>
    <row r="3" spans="1:11">
      <c r="A3" s="82" t="s">
        <v>152</v>
      </c>
      <c r="E3" s="81" t="s">
        <v>153</v>
      </c>
      <c r="G3" s="81">
        <v>2</v>
      </c>
      <c r="H3" s="81" t="s">
        <v>154</v>
      </c>
      <c r="K3" s="81" t="s">
        <v>155</v>
      </c>
    </row>
    <row r="4" spans="1:11">
      <c r="A4" s="82" t="s">
        <v>156</v>
      </c>
      <c r="E4" s="81" t="s">
        <v>157</v>
      </c>
      <c r="G4" s="81">
        <v>3</v>
      </c>
      <c r="H4" s="81" t="s">
        <v>158</v>
      </c>
      <c r="K4" s="81" t="s">
        <v>159</v>
      </c>
    </row>
    <row r="5" spans="1:11">
      <c r="A5" s="82" t="s">
        <v>160</v>
      </c>
    </row>
    <row r="6" spans="1:11">
      <c r="A6" s="82" t="s">
        <v>161</v>
      </c>
      <c r="E6" s="81" t="s">
        <v>162</v>
      </c>
      <c r="G6" s="81">
        <v>4</v>
      </c>
      <c r="H6" s="81" t="s">
        <v>163</v>
      </c>
      <c r="K6" s="81" t="s">
        <v>164</v>
      </c>
    </row>
    <row r="7" spans="1:11">
      <c r="A7" s="82" t="s">
        <v>165</v>
      </c>
    </row>
    <row r="8" spans="1:11">
      <c r="A8" s="82" t="s">
        <v>166</v>
      </c>
      <c r="E8" s="81" t="s">
        <v>167</v>
      </c>
      <c r="G8" s="81">
        <v>5</v>
      </c>
      <c r="H8" s="81" t="s">
        <v>168</v>
      </c>
      <c r="K8" s="81" t="s">
        <v>169</v>
      </c>
    </row>
    <row r="9" spans="1:11">
      <c r="A9" s="82" t="s">
        <v>170</v>
      </c>
      <c r="E9" s="81" t="s">
        <v>171</v>
      </c>
      <c r="G9" s="81">
        <v>6</v>
      </c>
      <c r="H9" s="81" t="s">
        <v>172</v>
      </c>
      <c r="K9" s="81" t="s">
        <v>173</v>
      </c>
    </row>
    <row r="10" spans="1:11">
      <c r="E10" s="81" t="s">
        <v>174</v>
      </c>
      <c r="G10" s="81">
        <v>7</v>
      </c>
      <c r="H10" s="81" t="s">
        <v>175</v>
      </c>
      <c r="K10" s="81" t="s">
        <v>176</v>
      </c>
    </row>
    <row r="11" spans="1:11">
      <c r="E11" s="81" t="s">
        <v>177</v>
      </c>
      <c r="G11" s="81">
        <v>8</v>
      </c>
      <c r="H11" s="81" t="s">
        <v>178</v>
      </c>
      <c r="K11" s="81" t="s">
        <v>179</v>
      </c>
    </row>
    <row r="12" spans="1:11">
      <c r="A12" s="83" t="s">
        <v>180</v>
      </c>
      <c r="E12" s="81" t="s">
        <v>181</v>
      </c>
      <c r="G12" s="81">
        <v>9</v>
      </c>
      <c r="H12" s="81" t="s">
        <v>182</v>
      </c>
      <c r="K12" s="81" t="s">
        <v>183</v>
      </c>
    </row>
    <row r="13" spans="1:11" ht="45">
      <c r="A13" s="84" t="s">
        <v>184</v>
      </c>
      <c r="E13" s="81" t="s">
        <v>185</v>
      </c>
      <c r="G13" s="81">
        <v>10</v>
      </c>
      <c r="H13" s="81" t="s">
        <v>186</v>
      </c>
      <c r="K13" s="81" t="s">
        <v>187</v>
      </c>
    </row>
    <row r="14" spans="1:11">
      <c r="A14" s="83" t="s">
        <v>188</v>
      </c>
      <c r="E14" s="81" t="s">
        <v>189</v>
      </c>
      <c r="H14" s="81" t="s">
        <v>190</v>
      </c>
      <c r="K14" s="81" t="s">
        <v>191</v>
      </c>
    </row>
    <row r="15" spans="1:11">
      <c r="A15" s="83" t="s">
        <v>192</v>
      </c>
      <c r="E15" s="81" t="s">
        <v>193</v>
      </c>
      <c r="H15" s="81" t="s">
        <v>194</v>
      </c>
      <c r="K15" s="81" t="s">
        <v>195</v>
      </c>
    </row>
    <row r="16" spans="1:11">
      <c r="A16" s="83" t="s">
        <v>196</v>
      </c>
      <c r="E16" s="81" t="s">
        <v>197</v>
      </c>
      <c r="H16" s="81" t="s">
        <v>198</v>
      </c>
      <c r="K16" s="81" t="s">
        <v>199</v>
      </c>
    </row>
    <row r="17" spans="1:11">
      <c r="A17" s="83" t="s">
        <v>200</v>
      </c>
      <c r="E17" s="81" t="s">
        <v>201</v>
      </c>
      <c r="H17" s="81" t="s">
        <v>202</v>
      </c>
      <c r="K17" s="81" t="s">
        <v>203</v>
      </c>
    </row>
    <row r="18" spans="1:11">
      <c r="A18" s="83" t="s">
        <v>204</v>
      </c>
      <c r="E18" s="81" t="s">
        <v>205</v>
      </c>
      <c r="H18" s="81" t="s">
        <v>206</v>
      </c>
      <c r="K18" s="81" t="s">
        <v>207</v>
      </c>
    </row>
    <row r="19" spans="1:11">
      <c r="A19" s="83" t="s">
        <v>208</v>
      </c>
      <c r="E19" s="81" t="s">
        <v>209</v>
      </c>
      <c r="H19" s="81" t="s">
        <v>210</v>
      </c>
      <c r="K19" s="81" t="s">
        <v>211</v>
      </c>
    </row>
    <row r="20" spans="1:11">
      <c r="A20" s="83" t="s">
        <v>212</v>
      </c>
      <c r="E20" s="81" t="s">
        <v>213</v>
      </c>
      <c r="H20" s="81" t="s">
        <v>214</v>
      </c>
      <c r="K20" s="81" t="s">
        <v>215</v>
      </c>
    </row>
    <row r="21" spans="1:11" ht="15.75" customHeight="1">
      <c r="A21" s="83" t="s">
        <v>216</v>
      </c>
      <c r="E21" s="81" t="s">
        <v>217</v>
      </c>
      <c r="H21" s="81" t="s">
        <v>218</v>
      </c>
      <c r="K21" s="81" t="s">
        <v>219</v>
      </c>
    </row>
    <row r="22" spans="1:11" ht="15.75" customHeight="1">
      <c r="A22" s="83" t="s">
        <v>220</v>
      </c>
      <c r="E22" s="81" t="s">
        <v>221</v>
      </c>
      <c r="H22" s="81" t="s">
        <v>222</v>
      </c>
      <c r="K22" s="81" t="s">
        <v>223</v>
      </c>
    </row>
    <row r="23" spans="1:11" ht="15.75" customHeight="1">
      <c r="A23" s="83" t="s">
        <v>224</v>
      </c>
      <c r="E23" s="81" t="s">
        <v>225</v>
      </c>
      <c r="H23" s="81" t="s">
        <v>226</v>
      </c>
      <c r="K23" s="81" t="s">
        <v>227</v>
      </c>
    </row>
    <row r="24" spans="1:11" ht="15.75" customHeight="1">
      <c r="A24" s="83" t="s">
        <v>228</v>
      </c>
      <c r="E24" s="81" t="s">
        <v>229</v>
      </c>
      <c r="H24" s="81" t="s">
        <v>230</v>
      </c>
      <c r="K24" s="81" t="s">
        <v>231</v>
      </c>
    </row>
    <row r="25" spans="1:11" ht="15.75" customHeight="1">
      <c r="A25" s="83" t="s">
        <v>232</v>
      </c>
      <c r="E25" s="81" t="s">
        <v>233</v>
      </c>
      <c r="H25" s="81" t="s">
        <v>234</v>
      </c>
      <c r="K25" s="81" t="s">
        <v>235</v>
      </c>
    </row>
    <row r="26" spans="1:11" ht="15.75" customHeight="1">
      <c r="A26" s="85" t="s">
        <v>236</v>
      </c>
      <c r="E26" s="81" t="s">
        <v>237</v>
      </c>
      <c r="H26" s="81" t="s">
        <v>238</v>
      </c>
      <c r="K26" s="81" t="s">
        <v>239</v>
      </c>
    </row>
    <row r="27" spans="1:11" ht="15.75" customHeight="1">
      <c r="A27" s="85" t="s">
        <v>240</v>
      </c>
      <c r="E27" s="81" t="s">
        <v>241</v>
      </c>
      <c r="H27" s="81" t="s">
        <v>242</v>
      </c>
      <c r="K27" s="81" t="s">
        <v>243</v>
      </c>
    </row>
    <row r="28" spans="1:11" ht="15.75" customHeight="1">
      <c r="E28" s="81" t="s">
        <v>244</v>
      </c>
      <c r="H28" s="81" t="s">
        <v>245</v>
      </c>
      <c r="K28" s="81" t="s">
        <v>246</v>
      </c>
    </row>
    <row r="29" spans="1:11" ht="15.75" customHeight="1">
      <c r="E29" s="81" t="s">
        <v>247</v>
      </c>
      <c r="H29" s="81" t="s">
        <v>248</v>
      </c>
      <c r="K29" s="81" t="s">
        <v>249</v>
      </c>
    </row>
    <row r="30" spans="1:11" ht="15.75" customHeight="1">
      <c r="E30" s="81" t="s">
        <v>250</v>
      </c>
      <c r="H30" s="81" t="s">
        <v>251</v>
      </c>
      <c r="K30" s="81" t="s">
        <v>252</v>
      </c>
    </row>
    <row r="31" spans="1:11" ht="15.75" customHeight="1">
      <c r="E31" s="81" t="s">
        <v>253</v>
      </c>
      <c r="H31" s="81" t="s">
        <v>254</v>
      </c>
      <c r="K31" s="81" t="s">
        <v>255</v>
      </c>
    </row>
    <row r="32" spans="1:11" ht="15.75" customHeight="1">
      <c r="E32" s="81" t="s">
        <v>256</v>
      </c>
      <c r="H32" s="81" t="s">
        <v>257</v>
      </c>
      <c r="K32" s="81" t="s">
        <v>258</v>
      </c>
    </row>
    <row r="33" spans="5:11" ht="15.75" customHeight="1">
      <c r="E33" s="81" t="s">
        <v>259</v>
      </c>
      <c r="H33" s="81" t="s">
        <v>260</v>
      </c>
      <c r="K33" s="81" t="s">
        <v>261</v>
      </c>
    </row>
    <row r="34" spans="5:11" ht="15.75" customHeight="1">
      <c r="E34" s="81" t="s">
        <v>262</v>
      </c>
      <c r="H34" s="81" t="s">
        <v>263</v>
      </c>
      <c r="K34" s="81" t="s">
        <v>264</v>
      </c>
    </row>
    <row r="35" spans="5:11" ht="15.75" customHeight="1">
      <c r="E35" s="81" t="s">
        <v>265</v>
      </c>
      <c r="H35" s="81" t="s">
        <v>266</v>
      </c>
      <c r="K35" s="81" t="s">
        <v>267</v>
      </c>
    </row>
    <row r="36" spans="5:11" ht="15.75" customHeight="1">
      <c r="E36" s="81" t="s">
        <v>268</v>
      </c>
      <c r="H36" s="81" t="s">
        <v>269</v>
      </c>
      <c r="K36" s="81" t="s">
        <v>270</v>
      </c>
    </row>
    <row r="37" spans="5:11" ht="15.75" customHeight="1">
      <c r="E37" s="81" t="s">
        <v>271</v>
      </c>
      <c r="H37" s="81" t="s">
        <v>272</v>
      </c>
      <c r="K37" s="81" t="s">
        <v>273</v>
      </c>
    </row>
    <row r="38" spans="5:11" ht="15.75" customHeight="1">
      <c r="E38" s="81" t="s">
        <v>274</v>
      </c>
      <c r="H38" s="81" t="s">
        <v>275</v>
      </c>
      <c r="K38" s="81" t="s">
        <v>276</v>
      </c>
    </row>
    <row r="39" spans="5:11" ht="15.75" customHeight="1">
      <c r="E39" s="81" t="s">
        <v>277</v>
      </c>
      <c r="H39" s="81" t="s">
        <v>278</v>
      </c>
      <c r="K39" s="81" t="s">
        <v>279</v>
      </c>
    </row>
    <row r="40" spans="5:11" ht="15.75" customHeight="1">
      <c r="E40" s="81" t="s">
        <v>280</v>
      </c>
      <c r="H40" s="81" t="s">
        <v>281</v>
      </c>
      <c r="K40" s="81" t="s">
        <v>282</v>
      </c>
    </row>
    <row r="41" spans="5:11" ht="15.75" customHeight="1">
      <c r="E41" s="81" t="s">
        <v>283</v>
      </c>
      <c r="H41" s="81" t="s">
        <v>284</v>
      </c>
      <c r="K41" s="81" t="s">
        <v>285</v>
      </c>
    </row>
    <row r="42" spans="5:11" ht="15.75" customHeight="1">
      <c r="E42" s="81" t="s">
        <v>286</v>
      </c>
      <c r="H42" s="81" t="s">
        <v>287</v>
      </c>
      <c r="K42" s="81" t="s">
        <v>288</v>
      </c>
    </row>
    <row r="43" spans="5:11" ht="15.75" customHeight="1">
      <c r="E43" s="81" t="s">
        <v>289</v>
      </c>
      <c r="H43" s="81" t="s">
        <v>290</v>
      </c>
      <c r="K43" s="81" t="s">
        <v>291</v>
      </c>
    </row>
    <row r="44" spans="5:11" ht="15.75" customHeight="1">
      <c r="E44" s="81" t="s">
        <v>292</v>
      </c>
      <c r="H44" s="81" t="s">
        <v>293</v>
      </c>
    </row>
    <row r="45" spans="5:11" ht="15.75" customHeight="1">
      <c r="E45" s="81" t="s">
        <v>294</v>
      </c>
      <c r="H45" s="81" t="s">
        <v>295</v>
      </c>
    </row>
    <row r="46" spans="5:11" ht="15.75" customHeight="1">
      <c r="E46" s="81" t="s">
        <v>296</v>
      </c>
      <c r="H46" s="81" t="s">
        <v>297</v>
      </c>
    </row>
    <row r="47" spans="5:11" ht="15.75" customHeight="1">
      <c r="E47" s="81" t="s">
        <v>298</v>
      </c>
      <c r="H47" s="81" t="s">
        <v>299</v>
      </c>
    </row>
    <row r="48" spans="5:11" ht="15.75" customHeight="1">
      <c r="E48" s="81" t="s">
        <v>300</v>
      </c>
      <c r="H48" s="81" t="s">
        <v>301</v>
      </c>
    </row>
    <row r="49" spans="5:8" ht="15.75" customHeight="1">
      <c r="E49" s="81" t="s">
        <v>302</v>
      </c>
      <c r="H49" s="81" t="s">
        <v>303</v>
      </c>
    </row>
    <row r="50" spans="5:8" ht="15.75" customHeight="1">
      <c r="E50" s="81" t="s">
        <v>304</v>
      </c>
      <c r="H50" s="81" t="s">
        <v>305</v>
      </c>
    </row>
    <row r="51" spans="5:8" ht="15.75" customHeight="1">
      <c r="E51" s="81" t="s">
        <v>306</v>
      </c>
      <c r="H51" s="81" t="s">
        <v>307</v>
      </c>
    </row>
    <row r="52" spans="5:8" ht="15.75" customHeight="1">
      <c r="E52" s="81" t="s">
        <v>308</v>
      </c>
      <c r="H52" s="81" t="s">
        <v>309</v>
      </c>
    </row>
    <row r="53" spans="5:8" ht="15.75" customHeight="1">
      <c r="E53" s="81" t="s">
        <v>310</v>
      </c>
      <c r="H53" s="81" t="s">
        <v>311</v>
      </c>
    </row>
    <row r="54" spans="5:8" ht="15.75" customHeight="1">
      <c r="E54" s="81" t="s">
        <v>312</v>
      </c>
      <c r="H54" s="81" t="s">
        <v>313</v>
      </c>
    </row>
    <row r="55" spans="5:8" ht="15.75" customHeight="1">
      <c r="E55" s="81" t="s">
        <v>314</v>
      </c>
      <c r="H55" s="81" t="s">
        <v>315</v>
      </c>
    </row>
    <row r="56" spans="5:8" ht="15.75" customHeight="1">
      <c r="E56" s="81" t="s">
        <v>316</v>
      </c>
      <c r="H56" s="81" t="s">
        <v>317</v>
      </c>
    </row>
    <row r="57" spans="5:8" ht="15.75" customHeight="1">
      <c r="E57" s="81" t="s">
        <v>318</v>
      </c>
      <c r="H57" s="81" t="s">
        <v>319</v>
      </c>
    </row>
    <row r="58" spans="5:8" ht="15.75" customHeight="1">
      <c r="E58" s="81" t="s">
        <v>320</v>
      </c>
      <c r="H58" s="81" t="s">
        <v>321</v>
      </c>
    </row>
    <row r="59" spans="5:8" ht="15.75" customHeight="1">
      <c r="E59" s="81" t="s">
        <v>322</v>
      </c>
      <c r="H59" s="81" t="s">
        <v>323</v>
      </c>
    </row>
    <row r="60" spans="5:8" ht="15.75" customHeight="1">
      <c r="E60" s="81" t="s">
        <v>324</v>
      </c>
      <c r="H60" s="81" t="s">
        <v>325</v>
      </c>
    </row>
    <row r="61" spans="5:8" ht="15.75" customHeight="1">
      <c r="E61" s="81" t="s">
        <v>326</v>
      </c>
      <c r="H61" s="81" t="s">
        <v>327</v>
      </c>
    </row>
    <row r="62" spans="5:8" ht="15.75" customHeight="1">
      <c r="E62" s="81" t="s">
        <v>328</v>
      </c>
      <c r="H62" s="81" t="s">
        <v>329</v>
      </c>
    </row>
    <row r="63" spans="5:8" ht="15.75" customHeight="1">
      <c r="E63" s="81" t="s">
        <v>330</v>
      </c>
      <c r="H63" s="81" t="s">
        <v>331</v>
      </c>
    </row>
    <row r="64" spans="5:8" ht="15.75" customHeight="1">
      <c r="H64" s="81" t="s">
        <v>332</v>
      </c>
    </row>
    <row r="65" spans="8:8" ht="15.75" customHeight="1">
      <c r="H65" s="81" t="s">
        <v>333</v>
      </c>
    </row>
    <row r="66" spans="8:8" ht="15.75" customHeight="1">
      <c r="H66" s="81" t="s">
        <v>334</v>
      </c>
    </row>
    <row r="67" spans="8:8" ht="15.75" customHeight="1">
      <c r="H67" s="81" t="s">
        <v>335</v>
      </c>
    </row>
    <row r="68" spans="8:8" ht="15.75" customHeight="1">
      <c r="H68" s="81" t="s">
        <v>336</v>
      </c>
    </row>
    <row r="69" spans="8:8" ht="15.75" customHeight="1">
      <c r="H69" s="81" t="s">
        <v>337</v>
      </c>
    </row>
    <row r="70" spans="8:8" ht="15.75" customHeight="1">
      <c r="H70" s="81" t="s">
        <v>338</v>
      </c>
    </row>
    <row r="71" spans="8:8" ht="15.75" customHeight="1">
      <c r="H71" s="81" t="s">
        <v>339</v>
      </c>
    </row>
    <row r="72" spans="8:8" ht="15.75" customHeight="1">
      <c r="H72" s="81" t="s">
        <v>340</v>
      </c>
    </row>
    <row r="73" spans="8:8" ht="15.75" customHeight="1">
      <c r="H73" s="81" t="s">
        <v>341</v>
      </c>
    </row>
    <row r="74" spans="8:8" ht="15.75" customHeight="1">
      <c r="H74" s="81" t="s">
        <v>342</v>
      </c>
    </row>
    <row r="75" spans="8:8" ht="15.75" customHeight="1">
      <c r="H75" s="81" t="s">
        <v>343</v>
      </c>
    </row>
    <row r="76" spans="8:8" ht="15.75" customHeight="1">
      <c r="H76" s="81" t="s">
        <v>344</v>
      </c>
    </row>
    <row r="77" spans="8:8" ht="15.75" customHeight="1">
      <c r="H77" s="81" t="s">
        <v>345</v>
      </c>
    </row>
    <row r="78" spans="8:8" ht="15.75" customHeight="1">
      <c r="H78" s="81" t="s">
        <v>346</v>
      </c>
    </row>
    <row r="79" spans="8:8" ht="15.75" customHeight="1">
      <c r="H79" s="81" t="s">
        <v>347</v>
      </c>
    </row>
    <row r="80" spans="8:8" ht="15.75" customHeight="1">
      <c r="H80" s="81" t="s">
        <v>348</v>
      </c>
    </row>
    <row r="81" spans="8:8" ht="15.75" customHeight="1">
      <c r="H81" s="81" t="s">
        <v>349</v>
      </c>
    </row>
    <row r="82" spans="8:8" ht="15.75" customHeight="1">
      <c r="H82" s="81" t="s">
        <v>350</v>
      </c>
    </row>
    <row r="83" spans="8:8" ht="15.75" customHeight="1">
      <c r="H83" s="81" t="s">
        <v>351</v>
      </c>
    </row>
    <row r="84" spans="8:8" ht="15.75" customHeight="1">
      <c r="H84" s="81" t="s">
        <v>352</v>
      </c>
    </row>
    <row r="85" spans="8:8" ht="15.75" customHeight="1">
      <c r="H85" s="81" t="s">
        <v>353</v>
      </c>
    </row>
    <row r="86" spans="8:8" ht="15.75" customHeight="1">
      <c r="H86" s="81" t="s">
        <v>354</v>
      </c>
    </row>
    <row r="87" spans="8:8" ht="15.75" customHeight="1">
      <c r="H87" s="81" t="s">
        <v>355</v>
      </c>
    </row>
    <row r="88" spans="8:8" ht="15.75" customHeight="1">
      <c r="H88" s="81" t="s">
        <v>356</v>
      </c>
    </row>
    <row r="89" spans="8:8" ht="15.75" customHeight="1">
      <c r="H89" s="81" t="s">
        <v>357</v>
      </c>
    </row>
    <row r="90" spans="8:8" ht="15.75" customHeight="1">
      <c r="H90" s="81" t="s">
        <v>358</v>
      </c>
    </row>
    <row r="91" spans="8:8" ht="15.75" customHeight="1">
      <c r="H91" s="81" t="s">
        <v>359</v>
      </c>
    </row>
    <row r="92" spans="8:8" ht="15.75" customHeight="1">
      <c r="H92" s="81" t="s">
        <v>360</v>
      </c>
    </row>
    <row r="93" spans="8:8" ht="15.75" customHeight="1">
      <c r="H93" s="81" t="s">
        <v>361</v>
      </c>
    </row>
    <row r="94" spans="8:8" ht="15.75" customHeight="1">
      <c r="H94" s="81" t="s">
        <v>362</v>
      </c>
    </row>
    <row r="95" spans="8:8" ht="15.75" customHeight="1">
      <c r="H95" s="81" t="s">
        <v>363</v>
      </c>
    </row>
    <row r="96" spans="8:8" ht="15.75" customHeight="1">
      <c r="H96" s="81" t="s">
        <v>364</v>
      </c>
    </row>
    <row r="97" spans="8:8" ht="15.75" customHeight="1">
      <c r="H97" s="81" t="s">
        <v>365</v>
      </c>
    </row>
    <row r="98" spans="8:8" ht="15.75" customHeight="1">
      <c r="H98" s="81" t="s">
        <v>366</v>
      </c>
    </row>
    <row r="99" spans="8:8" ht="15.75" customHeight="1">
      <c r="H99" s="81" t="s">
        <v>367</v>
      </c>
    </row>
    <row r="100" spans="8:8" ht="15.75" customHeight="1">
      <c r="H100" s="81" t="s">
        <v>368</v>
      </c>
    </row>
    <row r="101" spans="8:8" ht="15.75" customHeight="1">
      <c r="H101" s="81" t="s">
        <v>369</v>
      </c>
    </row>
    <row r="102" spans="8:8" ht="15.75" customHeight="1">
      <c r="H102" s="81" t="s">
        <v>370</v>
      </c>
    </row>
    <row r="103" spans="8:8" ht="15.75" customHeight="1">
      <c r="H103" s="81" t="s">
        <v>371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2026-07-29T12:55:45Z</dcterms:modified>
</cp:coreProperties>
</file>