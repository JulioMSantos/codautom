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o de Trabalho" sheetId="1" r:id="rId4"/>
    <sheet state="hidden" name="Dados" sheetId="2" r:id="rId5"/>
  </sheets>
  <definedNames/>
  <calcPr/>
  <extLst>
    <ext uri="GoogleSheetsCustomDataVersion2">
      <go:sheetsCustomData xmlns:go="http://customooxmlschemas.google.com/" r:id="rId6" roundtripDataChecksum="plvOQJd1HiMLjN7RRohMn941Fms4EUdCEaHE4vedFNY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33">
      <text>
        <t xml:space="preserve">======
ID#AAAB1_7c5eQ
pccli    (2025-12-16 12:39:19)
(descreva aqui a fase da meta de execução)</t>
      </text>
    </comment>
    <comment authorId="0" ref="A33">
      <text>
        <t xml:space="preserve">======
ID#AAAB1_7cxDQ
Fernanda Azevedo    (2025-12-16 12:39:19)
Informar também o Coordenador Adjunto</t>
      </text>
    </comment>
    <comment authorId="0" ref="A42">
      <text>
        <t xml:space="preserve">======
ID#AAAB1_7c5do
Fernanda Azevedo    (2025-12-16 12:39:19)
Incluir aqui as informações:
- Área: (Ex: Engenharia Elétrica)
- Sub Área:</t>
      </text>
    </comment>
    <comment authorId="0" ref="D230">
      <text>
        <t xml:space="preserve">======
ID#AAAB1_7c5eM
pccli    (2025-12-16 12:39:19)
(descreva aqui a fase da meta de execução)</t>
      </text>
    </comment>
    <comment authorId="0" ref="A318">
      <text>
        <t xml:space="preserve">======
ID#AAAB1_7cxDU
pccli    (2025-12-16 12:39:19)
(Aqui descreva o material permanente)</t>
      </text>
    </comment>
    <comment authorId="0" ref="K213">
      <text>
        <t xml:space="preserve">======
ID#AAAB1_7c5dk
pccli    (2025-12-16 12:39:19)
PERCENTUAL FUNDAÇÃO :
De R$ 0,00 (zero reais) a R$ 2.000.000,00 (dois
milhões de reais) =  9,95%
De R$ 2.000.001,00 (dois milhões e um real) a R$
5.000.000,00 (cinco milhões de reais) = 9,45%
De R$ 5.000.001,00 (cinco milhões e um real) a R$ 7.500.000,00 (sete milhões e quinhentos mil reais) = 9,20%
De R$7.500.001,00 (sete milhões, quinhentos mil e
um real) até R$ 10.000.000,00 (dez milhões de reais) = 9%
Acima de R$ 10.000.000,00 (dez milhões de reais) = 8%
*VALOR TOTAL DO PROJETO</t>
      </text>
    </comment>
    <comment authorId="0" ref="A308">
      <text>
        <t xml:space="preserve">======
ID#AAAB1_7c5eY
pccli    (2025-12-16 12:39:19)
(Aqui descreva o material permanente)</t>
      </text>
    </comment>
    <comment authorId="0" ref="B66">
      <text>
        <t xml:space="preserve">======
ID#AAAB1_7cxDI
pccli    (2025-12-16 12:39:19)
(Informe o título e registro do projeto de prestação de serviços que aportará recursos no projeto, na forma prevista pelo Art. 14, §3º, III, da Res. 025/2012 da UFSM.)</t>
      </text>
    </comment>
    <comment authorId="0" ref="K208">
      <text>
        <t xml:space="preserve">======
ID#AAAB1_7c5dw
pccli    (2025-12-16 12:39:19)
PERCENTUAL UFSM :
De R$ 0,00 (zero reais) a R$ 200.000,00 (duzentos mil reais) = 5%
ACIMA DE R$ 200.001,00 (duzentos mil e um reias reais) = 8%
*VALOR TOTAL DO PROJETO</t>
      </text>
    </comment>
    <comment authorId="0" ref="D223">
      <text>
        <t xml:space="preserve">======
ID#AAAB1_7c5eU
pccli    (2025-12-16 12:39:19)
(descreva aqui a fase da meta de execução)</t>
      </text>
    </comment>
    <comment authorId="0" ref="D32">
      <text>
        <t xml:space="preserve">======
ID#AAAB1_7cxDM
pccli    (2025-12-16 12:39:19)
(Ou insira aqui a data de término do projeto)</t>
      </text>
    </comment>
    <comment authorId="0" ref="D229">
      <text>
        <t xml:space="preserve">======
ID#AAAB1_7c5ds
pccli    (2025-12-16 12:39:19)
(descreva aqui a fase da meta de execução)</t>
      </text>
    </comment>
    <comment authorId="0" ref="D234">
      <text>
        <t xml:space="preserve">======
ID#AAAB1_7c5fA
pccli    (2025-12-16 12:39:19)
(descreva aqui a fase da meta de execução)</t>
      </text>
    </comment>
    <comment authorId="0" ref="A323">
      <text>
        <t xml:space="preserve">======
ID#AAAB1_7cxDc
pccli    (2025-12-16 12:39:19)
(Aqui descreva o material permanente)</t>
      </text>
    </comment>
    <comment authorId="0" ref="D231">
      <text>
        <t xml:space="preserve">======
ID#AAAB1_7cxDY
pccli    (2025-12-16 12:39:19)
(descreva aqui a fase da meta de execução)</t>
      </text>
    </comment>
    <comment authorId="0" ref="A320">
      <text>
        <t xml:space="preserve">======
ID#AAAB1_7c5fI
pccli    (2025-12-16 12:39:19)
(Aqui descreva o material permanente)</t>
      </text>
    </comment>
    <comment authorId="0" ref="D232">
      <text>
        <t xml:space="preserve">======
ID#AAAB1_7c5eg
pccli    (2025-12-16 12:39:19)
(descreva aqui a fase da meta de execução)</t>
      </text>
    </comment>
    <comment authorId="0" ref="A319">
      <text>
        <t xml:space="preserve">======
ID#AAAB1_7c5fE
pccli    (2025-12-16 12:39:19)
(Aqui descreva o material permanente)</t>
      </text>
    </comment>
    <comment authorId="0" ref="A306">
      <text>
        <t xml:space="preserve">======
ID#AAAB1_7c5ec
pccli    (2025-12-16 12:39:19)
(Aqui descreva o material permanente)</t>
      </text>
    </comment>
    <comment authorId="0" ref="D226">
      <text>
        <t xml:space="preserve">======
ID#AAAB1_7cxDo
pccli    (2025-12-16 12:39:19)
(descreva aqui a fase da meta de execução)</t>
      </text>
    </comment>
    <comment authorId="0" ref="A305">
      <text>
        <t xml:space="preserve">======
ID#AAAB2ADPuTE
pccli    (2025-12-16 12:39:19)
(Aqui descreva o material permanente)</t>
      </text>
    </comment>
    <comment authorId="0" ref="K209">
      <text>
        <t xml:space="preserve">======
ID#AAAB1_7c5fQ
PERCENTUAL UFSM    (2025-12-16 12:39:19)
De R$ 0,00 (zero reais) a R$ 200.000,00 (duzentos mil reais) = 5%
ACIMA DE R$ 200.001,00 (duzentos mil e um reias reais) = 8%
*VALOR TOTAL DO PROJETO</t>
      </text>
    </comment>
    <comment authorId="0" ref="A328">
      <text>
        <t xml:space="preserve">======
ID#AAAB1_7c5eo
pccli    (2025-12-16 12:39:19)
(Aqui descreva o material permanente)</t>
      </text>
    </comment>
    <comment authorId="0" ref="A307">
      <text>
        <t xml:space="preserve">======
ID#AAAB2ADPuTI
pccli    (2025-12-16 12:39:19)
(Aqui descreva o material permanente)</t>
      </text>
    </comment>
    <comment authorId="0" ref="D228">
      <text>
        <t xml:space="preserve">======
ID#AAAB1_7c5fM
pccli    (2025-12-16 12:39:19)
(descreva aqui a fase da meta de execução)</t>
      </text>
    </comment>
    <comment authorId="0" ref="A322">
      <text>
        <t xml:space="preserve">======
ID#AAAB1_7c5ek
pccli    (2025-12-16 12:39:19)
(Aqui descreva o material permanente)</t>
      </text>
    </comment>
    <comment authorId="0" ref="A300">
      <text>
        <t xml:space="preserve">======
ID#AAAB1_7cxDg
pccli    (2025-12-16 12:39:19)
(Aqui descreva o material permanente)</t>
      </text>
    </comment>
    <comment authorId="0" ref="A321">
      <text>
        <t xml:space="preserve">======
ID#AAAB1_7c5ew
pccli    (2025-12-16 12:39:19)
(Aqui descreva o material permanente)</t>
      </text>
    </comment>
    <comment authorId="0" ref="A311">
      <text>
        <t xml:space="preserve">======
ID#AAAB1_7cxDk
pccli    (2025-12-16 12:39:19)
(Aqui descreva o material permanente)</t>
      </text>
    </comment>
    <comment authorId="0" ref="A327">
      <text>
        <t xml:space="preserve">======
ID#AAAB2ADPuTA
pccli    (2025-12-16 12:39:19)
(Aqui descreva o material permanente)</t>
      </text>
    </comment>
    <comment authorId="0" ref="A309">
      <text>
        <t xml:space="preserve">======
ID#AAAB1_7c5fU
pccli    (2025-12-16 12:39:19)
(Aqui descreva o material permanente)</t>
      </text>
    </comment>
    <comment authorId="0" ref="A329">
      <text>
        <t xml:space="preserve">======
ID#AAAB1_7c5es
pccli    (2025-12-16 12:39:19)
(Aqui descreva o material permanente)</t>
      </text>
    </comment>
    <comment authorId="0" ref="A304">
      <text>
        <t xml:space="preserve">======
ID#AAAB2ADPuSs
pccli    (2025-12-16 12:39:19)
(Aqui descreva o material permanente)</t>
      </text>
    </comment>
    <comment authorId="0" ref="A324">
      <text>
        <t xml:space="preserve">======
ID#AAAB2ADPuSw
pccli    (2025-12-16 12:39:19)
(Aqui descreva o material permanente)</t>
      </text>
    </comment>
    <comment authorId="0" ref="A302">
      <text>
        <t xml:space="preserve">======
ID#AAAB1_7c5d0
pccli    (2025-12-16 12:39:19)
(Aqui descreva o material permanente)</t>
      </text>
    </comment>
    <comment authorId="0" ref="D224">
      <text>
        <t xml:space="preserve">======
ID#AAAB1_7cxC0
pccli    (2025-12-16 12:39:19)
(descreva aqui a fase da meta de execução)</t>
      </text>
    </comment>
    <comment authorId="0" ref="A315">
      <text>
        <t xml:space="preserve">======
ID#AAAB1_7cxC4
pccli    (2025-12-16 12:39:19)
(Aqui descreva o material permanente)</t>
      </text>
    </comment>
    <comment authorId="0" ref="A317">
      <text>
        <t xml:space="preserve">======
ID#AAAB1_7c5d8
pccli    (2025-12-16 12:39:19)
(Aqui descreva o material permanente)</t>
      </text>
    </comment>
    <comment authorId="0" ref="D227">
      <text>
        <t xml:space="preserve">======
ID#AAAB1_7c5d4
pccli    (2025-12-16 12:39:19)
(descreva aqui a fase da meta de execução)</t>
      </text>
    </comment>
    <comment authorId="0" ref="A105">
      <text>
        <t xml:space="preserve">======
ID#AAAB1_7cxC8
pccli    (2025-12-16 12:39:19)
(Informe o título e registro do projeto de pesquisa que receberá aportes de recursos, na forma prevista pelo Art. 14, §3º, III, da Res. 025/2012 da UFSM.)</t>
      </text>
    </comment>
    <comment authorId="0" ref="A326">
      <text>
        <t xml:space="preserve">======
ID#AAAB1_7c5e0
pccli    (2025-12-16 12:39:19)
(Aqui descreva o material permanente)</t>
      </text>
    </comment>
    <comment authorId="0" ref="A301">
      <text>
        <t xml:space="preserve">======
ID#AAAB1_7c5dY
pccli    (2025-12-16 12:39:19)
(Aqui descreva o material permanente)</t>
      </text>
    </comment>
    <comment authorId="0" ref="A303">
      <text>
        <t xml:space="preserve">======
ID#AAAB1_7c5e8
pccli    (2025-12-16 12:39:19)
(Aqui descreva o material permanente)</t>
      </text>
    </comment>
    <comment authorId="0" ref="D31">
      <text>
        <t xml:space="preserve">======
ID#AAAB1_7c5e4
pccli    (2025-12-16 12:39:19)
(insira aqui o nº de meses de execução do projeto, Global: 60 meses)</t>
      </text>
    </comment>
    <comment authorId="0" ref="A310">
      <text>
        <t xml:space="preserve">======
ID#AAAB2ADPuS4
pccli    (2025-12-16 12:39:19)
(Aqui descreva o material permanente)</t>
      </text>
    </comment>
    <comment authorId="0" ref="A312">
      <text>
        <t xml:space="preserve">======
ID#AAAB1_7c5eA
pccli    (2025-12-16 12:39:19)
(Aqui descreva o material permanente)</t>
      </text>
    </comment>
    <comment authorId="0" ref="D225">
      <text>
        <t xml:space="preserve">======
ID#AAAB1_7cxDA
pccli    (2025-12-16 12:39:19)
(descreva aqui a fase da meta de execução)</t>
      </text>
    </comment>
    <comment authorId="0" ref="A299">
      <text>
        <t xml:space="preserve">======
ID#AAAB2ADPuS8
pccli    (2025-12-16 12:39:19)
(Aqui descreva o material permanente)</t>
      </text>
    </comment>
    <comment authorId="0" ref="K214">
      <text>
        <t xml:space="preserve">======
ID#AAAB1_7cxDE
PERCENTUAL FUNDAÇÃO    (2025-12-16 12:39:19)
De R$ 0,00 (zero reais) a R$ 2.000.000,00 (dois
milhões de reais) =  9,45%
De R$ 2.000.001,00 (dois milhões e um real) a R$
5.000.000,00 (cinco milhões de reais) = 8,95%
De R$ 5.000.001,00 (cinco milhões e um real) a R$ 7.500.000,00 (sete milhões e quinhentos mil reais) = 8,70%
De R$7.500.001,00 (sete milhões, quinhentos mil e
um real) até R$ 10.000.000,00 (dez milhões de reais) = 8,50%
Acima de R$ 10.000.000,00 (dez milhões de reais) = 7,50%
*VALOR TOTAL DO PROJETO</t>
      </text>
    </comment>
    <comment authorId="0" ref="A316">
      <text>
        <t xml:space="preserve">======
ID#AAAB1_7c5eI
pccli    (2025-12-16 12:39:19)
(Aqui descreva o material permanente)</t>
      </text>
    </comment>
    <comment authorId="0" ref="A313">
      <text>
        <t xml:space="preserve">======
ID#AAAB1_7c5dg
pccli    (2025-12-16 12:39:19)
(Aqui descreva o material permanente)</t>
      </text>
    </comment>
    <comment authorId="0" ref="A325">
      <text>
        <t xml:space="preserve">======
ID#AAAB2ADPuS0
pccli    (2025-12-16 12:39:19)
(Aqui descreva o material permanente)</t>
      </text>
    </comment>
    <comment authorId="0" ref="A314">
      <text>
        <t xml:space="preserve">======
ID#AAAB1_7c5eE
pccli    (2025-12-16 12:39:19)
(Aqui descreva o material permanente)</t>
      </text>
    </comment>
    <comment authorId="0" ref="A330">
      <text>
        <t xml:space="preserve">======
ID#AAAB1_7c5dc
pccli    (2025-12-16 12:39:19)
(Aqui descreva o material permanente)</t>
      </text>
    </comment>
  </commentList>
  <extLst>
    <ext uri="GoogleSheetsCustomDataVersion2">
      <go:sheetsCustomData xmlns:go="http://customooxmlschemas.google.com/" r:id="rId1" roundtripDataSignature="AMtx7mjI9yrnSBEi6SL/HyVPlGJKyB/vTg=="/>
    </ext>
  </extLst>
</comments>
</file>

<file path=xl/sharedStrings.xml><?xml version="1.0" encoding="utf-8"?>
<sst xmlns="http://schemas.openxmlformats.org/spreadsheetml/2006/main" count="486" uniqueCount="382">
  <si>
    <t>Plano de Trabalho - FDMS</t>
  </si>
  <si>
    <t>1 - DADOS CADASTRAIS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</si>
  <si>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</si>
  <si>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</si>
  <si>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</si>
  <si>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</si>
  <si>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</si>
  <si>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</si>
  <si>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</si>
  <si>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</si>
  <si>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</si>
  <si>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</si>
  <si>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>FUNÇÃO: REITORA</t>
  </si>
  <si>
    <t>MATRÍCULA NO SIAPE: 379536</t>
  </si>
  <si>
    <t>1.2- FUNDAÇÃO</t>
  </si>
  <si>
    <t>NOME: FUNDAÇÃO DELFIM MENDES SILVEIRA - FDMS</t>
  </si>
  <si>
    <t>C.N.P.J.: 03.703.102/0001-61</t>
  </si>
  <si>
    <t>ENDEREÇO: RUA LOBO DA COSTA Nº 447, BAIRRO CENTRO</t>
  </si>
  <si>
    <t>CIDADE: PELOTAS - RS</t>
  </si>
  <si>
    <t>CEP: 96010-150</t>
  </si>
  <si>
    <t>DDD/FONE: (31) 3409-4200</t>
  </si>
  <si>
    <t>ESF. ADMINISTRATIVA: PRIVADA</t>
  </si>
  <si>
    <t>NOME DO DIRIGENTE DA ENTIDADE PROPONENTE: CÉSAR DALMOLIN BERGOLI</t>
  </si>
  <si>
    <t>FUNÇÃO: DIRETOR PRESIDENTE</t>
  </si>
  <si>
    <t>PREENCHER APENAS SE TRIPARTITE</t>
  </si>
  <si>
    <t xml:space="preserve">1.3 – CONCEDENTE/FINANCIADOR: DADOS EMPRESA </t>
  </si>
  <si>
    <t>Nome:</t>
  </si>
  <si>
    <t>C.N.P.J.</t>
  </si>
  <si>
    <t>Endereço:</t>
  </si>
  <si>
    <t>Cidade:</t>
  </si>
  <si>
    <t xml:space="preserve">UF: </t>
  </si>
  <si>
    <t>CEP</t>
  </si>
  <si>
    <t xml:space="preserve">DADOS DO PROJETO </t>
  </si>
  <si>
    <t>2.1.1 - TÍTULO</t>
  </si>
  <si>
    <t>(insira aqui o título do projeto)</t>
  </si>
  <si>
    <t>2.1.2 - INÍCIO</t>
  </si>
  <si>
    <t>A PARTIR DA ASSINATURA DO CONTRATO</t>
  </si>
  <si>
    <t>2.1.3 - TÉRMINO</t>
  </si>
  <si>
    <t>(nº de meses)</t>
  </si>
  <si>
    <t>Meses, a contar da assinatura do contrato</t>
  </si>
  <si>
    <t>(Ou insira aqui a data de término do projeto)</t>
  </si>
  <si>
    <t>2.1.4 - COORDENADOR</t>
  </si>
  <si>
    <t>(insira aqui o nome do coordenador do projeto)</t>
  </si>
  <si>
    <t>(insira aqui o CPF do coordenador)</t>
  </si>
  <si>
    <t>(insira aqui o e-mail do coordenador)</t>
  </si>
  <si>
    <t>(insira aqui o telefone do coordenador)</t>
  </si>
  <si>
    <t>2.1.5 - FISCAL</t>
  </si>
  <si>
    <t>(insira aqui o nome do fiscal)</t>
  </si>
  <si>
    <t>(insira aqui o e-mail do fiscal)</t>
  </si>
  <si>
    <t xml:space="preserve">2.1.6 - COORDENADOR ADMINISTRATIVO </t>
  </si>
  <si>
    <t>(insira aqui o nome do coordenador administrativo )</t>
  </si>
  <si>
    <t>(insira aqui o e-mail do coordenador administrativo)</t>
  </si>
  <si>
    <t>2.1.7 - N° DE REGISTRO</t>
  </si>
  <si>
    <t>(insira aqui o número do projeto na Plataforma Web)</t>
  </si>
  <si>
    <t>2.1.8 - CLASSIFICAÇÃO DO PROJETO</t>
  </si>
  <si>
    <t>Selecione o enquadramento do projeto</t>
  </si>
  <si>
    <t>2.2 - OBJETO/OBJETIVOS</t>
  </si>
  <si>
    <t xml:space="preserve">Conforme registro do portal de projetos </t>
  </si>
  <si>
    <t>2.3 - JUSTIFICATIVA</t>
  </si>
  <si>
    <t>2.4 - RESULTADOS ESPERADOS</t>
  </si>
  <si>
    <t>2.5 - Experiência da UFSM para executar o projeto e capacidade operacional (Citar brevemente experiência em projetos e infraestrutura disponível para desenvolver o projeto)</t>
  </si>
  <si>
    <t>(insira aqui o texto)</t>
  </si>
  <si>
    <t>3 - FONTES E USOS</t>
  </si>
  <si>
    <t>3.1 - FONTES</t>
  </si>
  <si>
    <t>ESPECIFICAÇÃO DOS RECURSOS FINANCEIROS PROVENIENTES:</t>
  </si>
  <si>
    <t>TOTAL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</si>
  <si>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</si>
  <si>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</si>
  <si>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</si>
  <si>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</si>
  <si>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</si>
  <si>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</si>
  <si>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</si>
  <si>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</si>
  <si>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repasse de outras fontes de recursos orçamentários da União (TED)</t>
  </si>
  <si>
    <t>do compartilhamento de infraestrutura</t>
  </si>
  <si>
    <t>3.2 - USOS</t>
  </si>
  <si>
    <t>ESPECIFICAÇÃO</t>
  </si>
  <si>
    <t>VALOR</t>
  </si>
  <si>
    <t>DESPESAS DE CUSTEIO</t>
  </si>
  <si>
    <t>DESPESAS DE CAPITAL</t>
  </si>
  <si>
    <t>RESSARCIMENTO INFRAESTRUTURA UFSM (5% a 8% CUSTEIO)</t>
  </si>
  <si>
    <t xml:space="preserve">DESPESAS OPERACIONAIS FUNDAÇÃO </t>
  </si>
  <si>
    <t>4 - PLANO DE APLICAÇÃO</t>
  </si>
  <si>
    <r>
      <rPr>
        <rFont val="Calibri"/>
        <b/>
        <color rgb="FFFF0000"/>
        <sz val="14.0"/>
      </rPr>
      <t>SOMENTE SE PROJETO DE PRESTAÇÃO DE SERVIÇOS:</t>
    </r>
    <r>
      <rPr>
        <rFont val="Calibri"/>
        <b/>
        <color theme="1"/>
        <sz val="14.0"/>
      </rPr>
      <t xml:space="preserve">
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</si>
  <si>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</si>
  <si>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4.1 - Equipe Executora</t>
  </si>
  <si>
    <r>
      <rPr>
        <rFont val="Calibri"/>
        <b/>
        <color rgb="FFFF0000"/>
        <sz val="14.0"/>
      </rPr>
      <t xml:space="preserve">A equipe executora da UFSM deve representar, no mínimo, 2/3 do total de pessoas vinculadas às ICTs participantes do projeto, conforme art. 6º do Decreto 7.423/2010:  </t>
    </r>
    <r>
      <rPr>
        <rFont val="Calibri"/>
        <b/>
        <color rgb="FF1E4E79"/>
        <sz val="14.0"/>
      </rPr>
      <t xml:space="preserve">                                           
</t>
    </r>
    <r>
      <rPr>
        <rFont val="Calibri"/>
        <b/>
        <color rgb="FFFF0000"/>
        <sz val="14.0"/>
      </rPr>
      <t>- § 3o.  Os projetos devem ser realizados por no mínimo dois terços de pessoas vinculadas à instituição apoiada, incluindo docentes, servidores técnico-administrativos, estudantes regulares, pesquisadores de pós-doutorado e bolsistas com vínculo formal a programas de pesquisa da instituição apoiada.
- § 10.  No caso de projetos desenvolvidos em conjunto por mais de uma instituição, o percentual referido no § 3o poderá ser alcançado por meio da soma da participação de pessoas vinculadas às instituições envolvidas.</t>
    </r>
    <r>
      <rPr>
        <rFont val="Calibri"/>
        <b/>
        <color rgb="FF1E4E79"/>
        <sz val="14.0"/>
      </rPr>
      <t xml:space="preserve">
</t>
    </r>
    <r>
      <rPr>
        <rFont val="Calibri"/>
        <b/>
        <color rgb="FFFF0000"/>
        <sz val="14.0"/>
      </rPr>
      <t xml:space="preserve">
Também, conforme Art. 5 da Portaria nº 191 de 2012, a Fundação de Apoio precisa comprovar o atendimento à regra acima para fins de renovação do credenciamento junto ao Ministério da Educação e IFE apoiada.
Em caso de alterações na equipe executora, </t>
    </r>
    <r>
      <rPr>
        <rFont val="Calibri"/>
        <b/>
        <color rgb="FFFF0000"/>
        <sz val="14.0"/>
      </rPr>
      <t>o Coordenador deverá preencher a</t>
    </r>
    <r>
      <rPr>
        <rFont val="Calibri"/>
        <b/>
        <color rgb="FFFF0000"/>
        <sz val="14.0"/>
      </rPr>
      <t xml:space="preserve"> Ficha de Gestão "Retificadora", </t>
    </r>
    <r>
      <rPr>
        <rFont val="Calibri"/>
        <b/>
        <color rgb="FFFF0000"/>
        <sz val="14.0"/>
      </rPr>
      <t xml:space="preserve">que deverá ser devidamente assinada e aprovada pelas instâncias competentes. A ficha deve incluir a equipe completa, ou seja, mesmo que um membro tenha deixado o projeto, sua participação e o período correspondente devem ser registrados.   </t>
    </r>
    <r>
      <rPr>
        <rFont val="Calibri"/>
        <b/>
        <color rgb="FFFF0000"/>
        <sz val="14.0"/>
      </rPr>
      <t xml:space="preserve">   </t>
    </r>
  </si>
  <si>
    <t>4.1.1 - Equipe executora vinculada à UFSM e outras ICTs envolvidas no acordo/contrato (professores, taes e alunos regulares)</t>
  </si>
  <si>
    <t xml:space="preserve">Pessoal Envolvido 
(Tipo de Remuneração) </t>
  </si>
  <si>
    <t>NOME</t>
  </si>
  <si>
    <t>SIAPE/MAT.</t>
  </si>
  <si>
    <t>CPF</t>
  </si>
  <si>
    <t>Carga Horária (Semanal)</t>
  </si>
  <si>
    <t>Nº de Pagtos</t>
  </si>
  <si>
    <t>Valor de cada Pagto</t>
  </si>
  <si>
    <t>4.1.2 - Equipe executora não vinculada à UFSM (colaboradores de empresas, participantes de outras ICTs, CLT, entre outros não envolvidos no acordo/contrato)</t>
  </si>
  <si>
    <t>FORMA DE CONTRATAÇÃO</t>
  </si>
  <si>
    <t>Carga Horária (semanal)</t>
  </si>
  <si>
    <t>4.2 - Diárias</t>
  </si>
  <si>
    <t>4.3 - Serviços de Terceiros Pessoa Jurídica</t>
  </si>
  <si>
    <t>4.4 - Serviços de Terceiros - Pessoa Física</t>
  </si>
  <si>
    <t>4.4.1 - Obrigações Tributárias e Contributivas</t>
  </si>
  <si>
    <t>Incide 20% de INSS Patronal do total de Serviços de Terceiros Pessoa Física - docentes e TAEs que receberem RPA</t>
  </si>
  <si>
    <t>4.5 - Passagens e Despesas de Locomoção</t>
  </si>
  <si>
    <t>4.6 - Material de Consumo</t>
  </si>
  <si>
    <t>4.7 - Equipamento e Material Permanente (Anexo I)</t>
  </si>
  <si>
    <t>4.8 - Obras e Instalações</t>
  </si>
  <si>
    <t>4.9 - Ressarcimento pelo Uso da Infraestrutura da UFSM</t>
  </si>
  <si>
    <t>Ressarcimento pelo Uso da Infraestrutura da UFSM</t>
  </si>
  <si>
    <t>4.10 - Despesas operacionais e administravas da FUNDAÇÃO DE APOIO</t>
  </si>
  <si>
    <t>Despesas operacionais e administravas da FUNDAÇÃO DE APOIO</t>
  </si>
  <si>
    <t>TOTAL GERAL</t>
  </si>
  <si>
    <t>5 - CRONOGRAMA DE EXECUÇÃO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</si>
  <si>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</si>
  <si>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</si>
  <si>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</si>
  <si>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</si>
  <si>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</si>
  <si>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INÍCIO</t>
  </si>
  <si>
    <t>TÉRMINO</t>
  </si>
  <si>
    <t>(descreva aqui a fase da meta de execução)</t>
  </si>
  <si>
    <t>5.1 DESCRIÇÃO DAS ATIVIDADES</t>
  </si>
  <si>
    <t>Descrição das atividades de cada membro da equipe relacionando com a meta/fase do projeto:</t>
  </si>
  <si>
    <t>Nome</t>
  </si>
  <si>
    <t>(descreva as atividades por meta/fase)</t>
  </si>
  <si>
    <r>
      <rPr>
        <rFont val="Calibri"/>
        <b/>
        <color rgb="FFFFFF00"/>
        <sz val="14.0"/>
      </rPr>
      <t xml:space="preserve">ESCOLHA APENAS UMA DAS OPÇÕES </t>
    </r>
    <r>
      <rPr>
        <rFont val="Calibri"/>
        <b/>
        <color rgb="FFFFFFFF"/>
        <sz val="14.0"/>
      </rPr>
      <t xml:space="preserve">DE PERÍODO DE REMBOLSO ABAIXO: </t>
    </r>
  </si>
  <si>
    <t>MENSAL OU SEMESTRAL OU ANUAL</t>
  </si>
  <si>
    <t>6 - CRONOGRAMA DE DESEMBOLSO</t>
  </si>
  <si>
    <t xml:space="preserve">MENSAL 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</si>
  <si>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</si>
  <si>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</si>
  <si>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</si>
  <si>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</si>
  <si>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</si>
  <si>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</si>
  <si>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</si>
  <si>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</si>
  <si>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</si>
  <si>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</si>
  <si>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</si>
  <si>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ANUAL</t>
  </si>
  <si>
    <t>ANO 1</t>
  </si>
  <si>
    <t>ANO 2</t>
  </si>
  <si>
    <t>ANO 3</t>
  </si>
  <si>
    <t>ANO 4</t>
  </si>
  <si>
    <t>ANO 5</t>
  </si>
  <si>
    <t>ANEXO I - MATERIAL E EQUIPAMENTO PERMANENTE</t>
  </si>
  <si>
    <t>QUANTIDADE</t>
  </si>
  <si>
    <t>VALOR UNITÁRIO</t>
  </si>
  <si>
    <t>VALOR TOTAL</t>
  </si>
  <si>
    <t>(Aqui descreva o material permanente)</t>
  </si>
  <si>
    <t>Anexo II</t>
  </si>
  <si>
    <t xml:space="preserve">LISTA DE LABORATÓRIOS OU INFRAESTRUTURAS QUE EXIGEM AUTORIZAÇÃO PARA USO </t>
  </si>
  <si>
    <t>laboratório/infraestrutura</t>
  </si>
  <si>
    <t>unidade acadêmica ou pró-reitoria</t>
  </si>
  <si>
    <t xml:space="preserve"> Departamento/Órgão/Setor</t>
  </si>
  <si>
    <t>Responsável pelo local</t>
  </si>
  <si>
    <t>(nome do servidor ou colegiado)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</si>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</sst>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000\.000\.000\-00"/>
    <numFmt numFmtId="165" formatCode="0#####"/>
    <numFmt numFmtId="166" formatCode="_-&quot;R$&quot;\ * #,##0.00_-;\-&quot;R$&quot;\ * #,##0.00_-;_-&quot;R$&quot;\ * &quot;-&quot;??_-;_-@"/>
    <numFmt numFmtId="167" formatCode="_-[$R$-416]\ * #,##0.00_-;\-[$R$-416]\ * #,##0.00_-;_-[$R$-416]\ * &quot;-&quot;??_-;_-@"/>
    <numFmt numFmtId="168" formatCode="_-* #,##0.00_-;\-* #,##0.00_-;_-* &quot;-&quot;??_-;_-@"/>
  </numFmts>
  <fonts count="11">
    <font>
      <sz val="11.0"/>
      <color theme="1"/>
      <name val="Calibri"/>
      <scheme val="minor"/>
    </font>
    <font>
      <b/>
      <sz val="14.0"/>
      <color theme="1"/>
      <name val="Calibri"/>
    </font>
    <font>
      <sz val="14.0"/>
      <color theme="1"/>
      <name val="Calibri"/>
    </font>
    <font/>
    <font>
      <sz val="11.0"/>
      <color theme="1"/>
      <name val="Calibri"/>
    </font>
    <font>
      <sz val="14.0"/>
      <color theme="1"/>
      <name val="Arial"/>
    </font>
    <font>
      <b/>
      <sz val="14.0"/>
      <color rgb="FFFF0000"/>
      <name val="Calibri"/>
    </font>
    <font>
      <b/>
      <sz val="12.0"/>
      <color theme="1"/>
      <name val="Calibri"/>
    </font>
    <font>
      <sz val="12.0"/>
      <color theme="1"/>
      <name val="Calibri"/>
    </font>
    <font>
      <b/>
      <sz val="14.0"/>
      <color rgb="FFFFFFFF"/>
      <name val="Calibri"/>
    </font>
    <font>
      <color theme="1"/>
      <name val="Calibri"/>
    </font>
  </fonts>
  <fills count="15">
    <fill>
      <patternFill patternType="none"/>
    </fill>
    <fill>
      <patternFill patternType="lightGray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F2F2F2"/>
        <bgColor rgb="FFF2F2F2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FFFFF"/>
        <bgColor rgb="FFFFFFFF"/>
      </patternFill>
    </fill>
    <fill>
      <patternFill patternType="solid">
        <fgColor rgb="FFDEEAF6"/>
        <bgColor rgb="FFDEEAF6"/>
      </patternFill>
    </fill>
    <fill>
      <patternFill patternType="solid">
        <fgColor rgb="FFE7E6E6"/>
        <bgColor rgb="FFE7E6E6"/>
      </patternFill>
    </fill>
    <fill>
      <patternFill patternType="solid">
        <fgColor rgb="FFD8D8D8"/>
        <bgColor rgb="FFD8D8D8"/>
      </patternFill>
    </fill>
  </fills>
  <borders count="118">
    <border/>
    <border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/>
      <top style="thin">
        <color rgb="FF000000"/>
      </top>
      <bottom style="thin">
        <color rgb="FF000000"/>
      </bottom>
    </border>
    <border>
      <left style="medium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medium">
        <color rgb="FF000000"/>
      </right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medium">
        <color rgb="FF000000"/>
      </right>
      <top style="thin">
        <color rgb="FF000000"/>
      </top>
      <bottom/>
    </border>
    <border>
      <left/>
      <right/>
      <top/>
      <bottom/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/>
    </border>
    <border>
      <bottom/>
    </border>
    <border>
      <right style="medium">
        <color rgb="FF000000"/>
      </right>
      <bottom/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top/>
    </border>
    <border>
      <top/>
    </border>
    <border>
      <right style="thin">
        <color rgb="FF000000"/>
      </right>
      <top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/>
      <right/>
      <bottom/>
    </border>
    <border>
      <left style="medium">
        <color rgb="FF000000"/>
      </left>
      <top/>
    </border>
    <border>
      <right style="medium">
        <color rgb="FF000000"/>
      </right>
      <top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/>
      <bottom style="thin">
        <color rgb="FF000000"/>
      </bottom>
    </border>
    <border>
      <right style="thick">
        <color rgb="FF000000"/>
      </right>
    </border>
    <border>
      <left style="medium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/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/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</border>
    <border>
      <left/>
      <right/>
      <top/>
    </border>
    <border>
      <right style="thin">
        <color rgb="FF000000"/>
      </right>
      <top style="medium">
        <color rgb="FF000000"/>
      </top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thin">
        <color rgb="FF000000"/>
      </right>
      <top/>
      <bottom style="medium">
        <color rgb="FF000000"/>
      </bottom>
    </border>
    <border>
      <right style="medium">
        <color rgb="FF000000"/>
      </right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/>
    </border>
    <border>
      <left style="thin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/>
      <right style="medium">
        <color rgb="FF000000"/>
      </right>
      <top/>
      <bottom/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</borders>
  <cellStyleXfs count="1">
    <xf borderId="0" fillId="0" fontId="0" numFmtId="0" applyAlignment="1" applyFont="1"/>
  </cellStyleXfs>
  <cellXfs count="29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vertical="center"/>
    </xf>
    <xf borderId="1" fillId="0" fontId="3" numFmtId="0" xfId="0" applyBorder="1" applyFont="1"/>
    <xf borderId="2" fillId="2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5" fillId="2" fontId="2" numFmtId="0" xfId="0" applyAlignment="1" applyBorder="1" applyFont="1">
      <alignment horizontal="left" vertical="center"/>
    </xf>
    <xf borderId="6" fillId="0" fontId="3" numFmtId="0" xfId="0" applyBorder="1" applyFont="1"/>
    <xf borderId="7" fillId="0" fontId="3" numFmtId="0" xfId="0" applyBorder="1" applyFont="1"/>
    <xf borderId="8" fillId="2" fontId="1" numFmtId="0" xfId="0" applyAlignment="1" applyBorder="1" applyFont="1">
      <alignment horizontal="left" shrinkToFit="0" vertical="center" wrapText="1"/>
    </xf>
    <xf borderId="9" fillId="0" fontId="3" numFmtId="0" xfId="0" applyBorder="1" applyFont="1"/>
    <xf borderId="10" fillId="0" fontId="3" numFmtId="0" xfId="0" applyBorder="1" applyFont="1"/>
    <xf borderId="11" fillId="2" fontId="2" numFmtId="0" xfId="0" applyAlignment="1" applyBorder="1" applyFont="1">
      <alignment horizontal="left" vertical="center"/>
    </xf>
    <xf borderId="12" fillId="2" fontId="2" numFmtId="0" xfId="0" applyAlignment="1" applyBorder="1" applyFont="1">
      <alignment horizontal="left" shrinkToFit="0" vertical="center" wrapText="1"/>
    </xf>
    <xf borderId="13" fillId="0" fontId="3" numFmtId="0" xfId="0" applyBorder="1" applyFont="1"/>
    <xf borderId="14" fillId="0" fontId="3" numFmtId="0" xfId="0" applyBorder="1" applyFont="1"/>
    <xf borderId="5" fillId="2" fontId="2" numFmtId="0" xfId="0" applyAlignment="1" applyBorder="1" applyFont="1">
      <alignment horizontal="center" shrinkToFit="0" vertical="center" wrapText="1"/>
    </xf>
    <xf borderId="15" fillId="0" fontId="3" numFmtId="0" xfId="0" applyBorder="1" applyFont="1"/>
    <xf borderId="16" fillId="2" fontId="2" numFmtId="0" xfId="0" applyAlignment="1" applyBorder="1" applyFont="1">
      <alignment horizontal="center" vertical="center"/>
    </xf>
    <xf borderId="17" fillId="2" fontId="2" numFmtId="0" xfId="0" applyAlignment="1" applyBorder="1" applyFont="1">
      <alignment shrinkToFit="0" vertical="center" wrapText="1"/>
    </xf>
    <xf borderId="16" fillId="2" fontId="2" numFmtId="0" xfId="0" applyAlignment="1" applyBorder="1" applyFont="1">
      <alignment horizontal="left" shrinkToFit="0" vertical="center" wrapText="1"/>
    </xf>
    <xf borderId="5" fillId="2" fontId="2" numFmtId="0" xfId="0" applyAlignment="1" applyBorder="1" applyFont="1">
      <alignment shrinkToFit="0" vertical="center" wrapText="1"/>
    </xf>
    <xf borderId="17" fillId="2" fontId="2" numFmtId="0" xfId="0" applyAlignment="1" applyBorder="1" applyFont="1">
      <alignment readingOrder="0" shrinkToFit="0" vertical="center" wrapText="1"/>
    </xf>
    <xf borderId="16" fillId="2" fontId="2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8" fillId="2" fontId="2" numFmtId="0" xfId="0" applyAlignment="1" applyBorder="1" applyFont="1">
      <alignment horizontal="left" vertical="center"/>
    </xf>
    <xf borderId="19" fillId="0" fontId="3" numFmtId="0" xfId="0" applyBorder="1" applyFont="1"/>
    <xf borderId="20" fillId="0" fontId="3" numFmtId="0" xfId="0" applyBorder="1" applyFont="1"/>
    <xf borderId="8" fillId="2" fontId="2" numFmtId="0" xfId="0" applyAlignment="1" applyBorder="1" applyFont="1">
      <alignment horizontal="center" vertical="center"/>
    </xf>
    <xf borderId="12" fillId="2" fontId="2" numFmtId="0" xfId="0" applyAlignment="1" applyBorder="1" applyFont="1">
      <alignment horizontal="center"/>
    </xf>
    <xf borderId="16" fillId="2" fontId="2" numFmtId="0" xfId="0" applyAlignment="1" applyBorder="1" applyFont="1">
      <alignment horizontal="center" shrinkToFit="0" vertical="center" wrapText="1"/>
    </xf>
    <xf borderId="21" fillId="3" fontId="2" numFmtId="0" xfId="0" applyAlignment="1" applyBorder="1" applyFill="1" applyFont="1">
      <alignment vertical="center"/>
    </xf>
    <xf borderId="22" fillId="4" fontId="1" numFmtId="0" xfId="0" applyAlignment="1" applyBorder="1" applyFill="1" applyFont="1">
      <alignment horizontal="center" vertical="center"/>
    </xf>
    <xf borderId="23" fillId="0" fontId="3" numFmtId="0" xfId="0" applyBorder="1" applyFont="1"/>
    <xf borderId="24" fillId="0" fontId="3" numFmtId="0" xfId="0" applyBorder="1" applyFont="1"/>
    <xf borderId="25" fillId="0" fontId="3" numFmtId="0" xfId="0" applyBorder="1" applyFont="1"/>
    <xf borderId="26" fillId="0" fontId="3" numFmtId="0" xfId="0" applyBorder="1" applyFont="1"/>
    <xf borderId="27" fillId="0" fontId="3" numFmtId="0" xfId="0" applyBorder="1" applyFont="1"/>
    <xf borderId="8" fillId="2" fontId="2" numFmtId="0" xfId="0" applyAlignment="1" applyBorder="1" applyFont="1">
      <alignment horizontal="center" readingOrder="0" vertical="center"/>
    </xf>
    <xf borderId="28" fillId="5" fontId="2" numFmtId="0" xfId="0" applyAlignment="1" applyBorder="1" applyFill="1" applyFont="1">
      <alignment horizontal="center" shrinkToFit="0" vertical="center" wrapText="1"/>
    </xf>
    <xf borderId="29" fillId="3" fontId="5" numFmtId="0" xfId="0" applyAlignment="1" applyBorder="1" applyFont="1">
      <alignment horizontal="center" shrinkToFit="0" vertical="center" wrapText="1"/>
    </xf>
    <xf borderId="30" fillId="0" fontId="3" numFmtId="0" xfId="0" applyBorder="1" applyFont="1"/>
    <xf borderId="31" fillId="0" fontId="3" numFmtId="0" xfId="0" applyBorder="1" applyFont="1"/>
    <xf borderId="28" fillId="5" fontId="5" numFmtId="0" xfId="0" applyAlignment="1" applyBorder="1" applyFont="1">
      <alignment horizontal="left" shrinkToFit="0" vertical="center" wrapText="1"/>
    </xf>
    <xf borderId="32" fillId="0" fontId="2" numFmtId="12" xfId="0" applyAlignment="1" applyBorder="1" applyFont="1" applyNumberFormat="1">
      <alignment horizontal="center" vertical="center"/>
    </xf>
    <xf borderId="33" fillId="0" fontId="3" numFmtId="0" xfId="0" applyBorder="1" applyFont="1"/>
    <xf borderId="34" fillId="0" fontId="3" numFmtId="0" xfId="0" applyBorder="1" applyFont="1"/>
    <xf borderId="35" fillId="0" fontId="3" numFmtId="0" xfId="0" applyBorder="1" applyFont="1"/>
    <xf borderId="36" fillId="0" fontId="3" numFmtId="0" xfId="0" applyBorder="1" applyFont="1"/>
    <xf borderId="37" fillId="0" fontId="3" numFmtId="0" xfId="0" applyBorder="1" applyFont="1"/>
    <xf borderId="16" fillId="5" fontId="2" numFmtId="0" xfId="0" applyAlignment="1" applyBorder="1" applyFont="1">
      <alignment horizontal="center" shrinkToFit="0" vertical="center" wrapText="1"/>
    </xf>
    <xf borderId="16" fillId="0" fontId="2" numFmtId="0" xfId="0" applyAlignment="1" applyBorder="1" applyFont="1">
      <alignment horizontal="center" shrinkToFit="0" vertical="center" wrapText="1"/>
    </xf>
    <xf borderId="17" fillId="5" fontId="2" numFmtId="0" xfId="0" applyAlignment="1" applyBorder="1" applyFont="1">
      <alignment shrinkToFit="0" vertical="center" wrapText="1"/>
    </xf>
    <xf borderId="16" fillId="3" fontId="5" numFmtId="0" xfId="0" applyAlignment="1" applyBorder="1" applyFont="1">
      <alignment horizontal="center" shrinkToFit="0" vertical="center" wrapText="1"/>
    </xf>
    <xf borderId="16" fillId="0" fontId="2" numFmtId="0" xfId="0" applyAlignment="1" applyBorder="1" applyFont="1">
      <alignment horizontal="center" vertical="center"/>
    </xf>
    <xf borderId="16" fillId="3" fontId="2" numFmtId="0" xfId="0" applyAlignment="1" applyBorder="1" applyFont="1">
      <alignment horizontal="center" vertical="center"/>
    </xf>
    <xf borderId="21" fillId="3" fontId="2" numFmtId="0" xfId="0" applyAlignment="1" applyBorder="1" applyFont="1">
      <alignment shrinkToFit="0" vertical="center" wrapText="1"/>
    </xf>
    <xf borderId="21" fillId="3" fontId="2" numFmtId="0" xfId="0" applyAlignment="1" applyBorder="1" applyFont="1">
      <alignment horizontal="center" vertical="center"/>
    </xf>
    <xf borderId="38" fillId="0" fontId="3" numFmtId="0" xfId="0" applyBorder="1" applyFont="1"/>
    <xf borderId="39" fillId="0" fontId="3" numFmtId="0" xfId="0" applyBorder="1" applyFont="1"/>
    <xf borderId="40" fillId="2" fontId="2" numFmtId="0" xfId="0" applyAlignment="1" applyBorder="1" applyFont="1">
      <alignment horizontal="left" vertical="center"/>
    </xf>
    <xf borderId="41" fillId="0" fontId="3" numFmtId="0" xfId="0" applyBorder="1" applyFont="1"/>
    <xf borderId="42" fillId="0" fontId="2" numFmtId="0" xfId="0" applyAlignment="1" applyBorder="1" applyFont="1">
      <alignment horizontal="left" vertical="center"/>
    </xf>
    <xf borderId="43" fillId="0" fontId="3" numFmtId="0" xfId="0" applyBorder="1" applyFont="1"/>
    <xf borderId="44" fillId="0" fontId="3" numFmtId="0" xfId="0" applyBorder="1" applyFont="1"/>
    <xf borderId="16" fillId="2" fontId="2" numFmtId="0" xfId="0" applyAlignment="1" applyBorder="1" applyFont="1">
      <alignment horizontal="left" vertical="center"/>
    </xf>
    <xf borderId="17" fillId="0" fontId="2" numFmtId="0" xfId="0" applyAlignment="1" applyBorder="1" applyFont="1">
      <alignment horizontal="left" vertical="center"/>
    </xf>
    <xf borderId="16" fillId="0" fontId="2" numFmtId="0" xfId="0" applyAlignment="1" applyBorder="1" applyFont="1">
      <alignment horizontal="left" vertical="center"/>
    </xf>
    <xf borderId="40" fillId="2" fontId="2" numFmtId="0" xfId="0" applyAlignment="1" applyBorder="1" applyFont="1">
      <alignment horizontal="left" shrinkToFit="0" vertical="center" wrapText="1"/>
    </xf>
    <xf borderId="45" fillId="0" fontId="3" numFmtId="0" xfId="0" applyBorder="1" applyFont="1"/>
    <xf borderId="16" fillId="3" fontId="2" numFmtId="164" xfId="0" applyAlignment="1" applyBorder="1" applyFont="1" applyNumberFormat="1">
      <alignment horizontal="left" vertical="center"/>
    </xf>
    <xf borderId="5" fillId="2" fontId="2" numFmtId="0" xfId="0" applyAlignment="1" applyBorder="1" applyFont="1">
      <alignment horizontal="left" shrinkToFit="0" vertical="center" wrapText="1"/>
    </xf>
    <xf borderId="16" fillId="0" fontId="2" numFmtId="165" xfId="0" applyAlignment="1" applyBorder="1" applyFont="1" applyNumberFormat="1">
      <alignment horizontal="left" vertical="center"/>
    </xf>
    <xf borderId="46" fillId="2" fontId="2" numFmtId="0" xfId="0" applyAlignment="1" applyBorder="1" applyFont="1">
      <alignment horizontal="left" shrinkToFit="0" vertical="center" wrapText="1"/>
    </xf>
    <xf borderId="47" fillId="0" fontId="3" numFmtId="0" xfId="0" applyBorder="1" applyFont="1"/>
    <xf borderId="48" fillId="0" fontId="2" numFmtId="0" xfId="0" applyAlignment="1" applyBorder="1" applyFont="1">
      <alignment horizontal="left" vertical="center"/>
    </xf>
    <xf borderId="49" fillId="0" fontId="3" numFmtId="0" xfId="0" applyBorder="1" applyFont="1"/>
    <xf borderId="50" fillId="0" fontId="3" numFmtId="0" xfId="0" applyBorder="1" applyFont="1"/>
    <xf borderId="22" fillId="2" fontId="1" numFmtId="0" xfId="0" applyAlignment="1" applyBorder="1" applyFont="1">
      <alignment horizontal="left" vertical="center"/>
    </xf>
    <xf borderId="51" fillId="0" fontId="3" numFmtId="0" xfId="0" applyBorder="1" applyFont="1"/>
    <xf borderId="52" fillId="0" fontId="3" numFmtId="0" xfId="0" applyBorder="1" applyFont="1"/>
    <xf borderId="8" fillId="0" fontId="2" numFmtId="0" xfId="0" applyAlignment="1" applyBorder="1" applyFont="1">
      <alignment shrinkToFit="0" vertical="center" wrapText="1"/>
    </xf>
    <xf borderId="53" fillId="3" fontId="2" numFmtId="0" xfId="0" applyAlignment="1" applyBorder="1" applyFont="1">
      <alignment vertical="center"/>
    </xf>
    <xf borderId="8" fillId="0" fontId="2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8" fillId="2" fontId="1" numFmtId="0" xfId="0" applyAlignment="1" applyBorder="1" applyFont="1">
      <alignment horizontal="left" vertical="center"/>
    </xf>
    <xf borderId="54" fillId="2" fontId="2" numFmtId="0" xfId="0" applyAlignment="1" applyBorder="1" applyFont="1">
      <alignment horizontal="left" vertical="center"/>
    </xf>
    <xf borderId="55" fillId="0" fontId="3" numFmtId="0" xfId="0" applyBorder="1" applyFont="1"/>
    <xf borderId="5" fillId="2" fontId="2" numFmtId="0" xfId="0" applyAlignment="1" applyBorder="1" applyFont="1">
      <alignment horizontal="center" vertical="center"/>
    </xf>
    <xf borderId="56" fillId="0" fontId="2" numFmtId="0" xfId="0" applyAlignment="1" applyBorder="1" applyFont="1">
      <alignment vertical="center"/>
    </xf>
    <xf borderId="57" fillId="2" fontId="2" numFmtId="0" xfId="0" applyAlignment="1" applyBorder="1" applyFont="1">
      <alignment horizontal="left" vertical="center"/>
    </xf>
    <xf borderId="42" fillId="2" fontId="2" numFmtId="166" xfId="0" applyAlignment="1" applyBorder="1" applyFont="1" applyNumberFormat="1">
      <alignment horizontal="center" vertical="center"/>
    </xf>
    <xf borderId="58" fillId="0" fontId="3" numFmtId="0" xfId="0" applyBorder="1" applyFont="1"/>
    <xf borderId="59" fillId="0" fontId="2" numFmtId="0" xfId="0" applyAlignment="1" applyBorder="1" applyFont="1">
      <alignment vertical="center"/>
    </xf>
    <xf borderId="60" fillId="0" fontId="3" numFmtId="0" xfId="0" applyBorder="1" applyFont="1"/>
    <xf borderId="32" fillId="0" fontId="3" numFmtId="0" xfId="0" applyBorder="1" applyFont="1"/>
    <xf borderId="61" fillId="0" fontId="3" numFmtId="0" xfId="0" applyBorder="1" applyFont="1"/>
    <xf borderId="57" fillId="3" fontId="2" numFmtId="0" xfId="0" applyAlignment="1" applyBorder="1" applyFont="1">
      <alignment horizontal="left" shrinkToFit="0" vertical="center" wrapText="1"/>
    </xf>
    <xf borderId="34" fillId="0" fontId="2" numFmtId="0" xfId="0" applyAlignment="1" applyBorder="1" applyFont="1">
      <alignment vertical="center"/>
    </xf>
    <xf borderId="62" fillId="0" fontId="2" numFmtId="0" xfId="0" applyAlignment="1" applyBorder="1" applyFont="1">
      <alignment horizontal="center" vertical="center"/>
    </xf>
    <xf borderId="42" fillId="2" fontId="2" numFmtId="0" xfId="0" applyAlignment="1" applyBorder="1" applyFont="1">
      <alignment horizontal="left" vertical="center"/>
    </xf>
    <xf borderId="63" fillId="0" fontId="3" numFmtId="0" xfId="0" applyBorder="1" applyFont="1"/>
    <xf borderId="64" fillId="0" fontId="2" numFmtId="0" xfId="0" applyAlignment="1" applyBorder="1" applyFont="1">
      <alignment horizontal="center" vertical="center"/>
    </xf>
    <xf borderId="42" fillId="2" fontId="2" numFmtId="0" xfId="0" applyAlignment="1" applyBorder="1" applyFont="1">
      <alignment horizontal="left" shrinkToFit="0" vertical="center" wrapText="1"/>
    </xf>
    <xf borderId="32" fillId="2" fontId="2" numFmtId="0" xfId="0" applyAlignment="1" applyBorder="1" applyFont="1">
      <alignment shrinkToFit="0" vertical="center" wrapText="1"/>
    </xf>
    <xf borderId="65" fillId="0" fontId="3" numFmtId="0" xfId="0" applyBorder="1" applyFont="1"/>
    <xf borderId="66" fillId="0" fontId="3" numFmtId="0" xfId="0" applyBorder="1" applyFont="1"/>
    <xf borderId="67" fillId="0" fontId="3" numFmtId="0" xfId="0" applyBorder="1" applyFont="1"/>
    <xf borderId="68" fillId="0" fontId="3" numFmtId="0" xfId="0" applyBorder="1" applyFont="1"/>
    <xf borderId="54" fillId="2" fontId="1" numFmtId="0" xfId="0" applyAlignment="1" applyBorder="1" applyFont="1">
      <alignment horizontal="center" vertical="center"/>
    </xf>
    <xf borderId="29" fillId="2" fontId="1" numFmtId="0" xfId="0" applyAlignment="1" applyBorder="1" applyFont="1">
      <alignment horizontal="center" vertical="center"/>
    </xf>
    <xf borderId="40" fillId="2" fontId="1" numFmtId="0" xfId="0" applyAlignment="1" applyBorder="1" applyFont="1">
      <alignment horizontal="left" vertical="center"/>
    </xf>
    <xf borderId="42" fillId="2" fontId="1" numFmtId="166" xfId="0" applyAlignment="1" applyBorder="1" applyFont="1" applyNumberFormat="1">
      <alignment horizontal="center" vertical="center"/>
    </xf>
    <xf borderId="69" fillId="0" fontId="3" numFmtId="0" xfId="0" applyBorder="1" applyFont="1"/>
    <xf borderId="70" fillId="0" fontId="3" numFmtId="0" xfId="0" applyBorder="1" applyFont="1"/>
    <xf borderId="22" fillId="2" fontId="1" numFmtId="0" xfId="0" applyAlignment="1" applyBorder="1" applyFont="1">
      <alignment horizontal="center" vertical="center"/>
    </xf>
    <xf borderId="22" fillId="2" fontId="1" numFmtId="0" xfId="0" applyAlignment="1" applyBorder="1" applyFont="1">
      <alignment horizontal="center" shrinkToFit="0" vertical="center" wrapText="1"/>
    </xf>
    <xf borderId="71" fillId="0" fontId="3" numFmtId="0" xfId="0" applyBorder="1" applyFont="1"/>
    <xf borderId="72" fillId="2" fontId="1" numFmtId="166" xfId="0" applyAlignment="1" applyBorder="1" applyFont="1" applyNumberFormat="1">
      <alignment horizontal="center" shrinkToFit="0" vertical="center" wrapText="1"/>
    </xf>
    <xf borderId="40" fillId="3" fontId="1" numFmtId="0" xfId="0" applyAlignment="1" applyBorder="1" applyFont="1">
      <alignment horizontal="center" shrinkToFit="0" vertical="center" wrapText="1"/>
    </xf>
    <xf borderId="42" fillId="3" fontId="1" numFmtId="166" xfId="0" applyAlignment="1" applyBorder="1" applyFont="1" applyNumberFormat="1">
      <alignment horizontal="left" shrinkToFit="0" vertical="center" wrapText="1"/>
    </xf>
    <xf borderId="73" fillId="3" fontId="1" numFmtId="0" xfId="0" applyAlignment="1" applyBorder="1" applyFont="1">
      <alignment horizontal="center" shrinkToFit="0" vertical="center" wrapText="1"/>
    </xf>
    <xf borderId="74" fillId="3" fontId="1" numFmtId="0" xfId="0" applyAlignment="1" applyBorder="1" applyFont="1">
      <alignment horizontal="center" shrinkToFit="0" vertical="center" wrapText="1"/>
    </xf>
    <xf borderId="74" fillId="3" fontId="1" numFmtId="166" xfId="0" applyAlignment="1" applyBorder="1" applyFont="1" applyNumberFormat="1">
      <alignment horizontal="center" vertical="center"/>
    </xf>
    <xf borderId="75" fillId="3" fontId="1" numFmtId="166" xfId="0" applyAlignment="1" applyBorder="1" applyFont="1" applyNumberFormat="1">
      <alignment horizontal="center" vertical="center"/>
    </xf>
    <xf borderId="8" fillId="3" fontId="1" numFmtId="0" xfId="0" applyAlignment="1" applyBorder="1" applyFont="1">
      <alignment horizontal="center" vertical="center"/>
    </xf>
    <xf borderId="8" fillId="6" fontId="6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8" fillId="7" fontId="1" numFmtId="0" xfId="0" applyAlignment="1" applyBorder="1" applyFill="1" applyFont="1">
      <alignment horizontal="center" shrinkToFit="0" vertical="center" wrapText="1"/>
    </xf>
    <xf borderId="72" fillId="2" fontId="1" numFmtId="0" xfId="0" applyAlignment="1" applyBorder="1" applyFont="1">
      <alignment horizontal="center" shrinkToFit="0" vertical="center" wrapText="1"/>
    </xf>
    <xf borderId="76" fillId="2" fontId="1" numFmtId="0" xfId="0" applyAlignment="1" applyBorder="1" applyFont="1">
      <alignment horizontal="center" shrinkToFit="0" vertical="center" wrapText="1"/>
    </xf>
    <xf borderId="77" fillId="2" fontId="7" numFmtId="166" xfId="0" applyAlignment="1" applyBorder="1" applyFont="1" applyNumberFormat="1">
      <alignment horizontal="center" shrinkToFit="1" vertical="center" wrapText="0"/>
    </xf>
    <xf borderId="78" fillId="0" fontId="3" numFmtId="0" xfId="0" applyBorder="1" applyFont="1"/>
    <xf borderId="79" fillId="0" fontId="3" numFmtId="0" xfId="0" applyBorder="1" applyFont="1"/>
    <xf borderId="22" fillId="3" fontId="4" numFmtId="0" xfId="0" applyAlignment="1" applyBorder="1" applyFont="1">
      <alignment horizontal="center" shrinkToFit="1" vertical="center" wrapText="0"/>
    </xf>
    <xf borderId="80" fillId="3" fontId="8" numFmtId="0" xfId="0" applyAlignment="1" applyBorder="1" applyFont="1">
      <alignment horizontal="center" shrinkToFit="0" vertical="center" wrapText="1"/>
    </xf>
    <xf borderId="81" fillId="0" fontId="3" numFmtId="0" xfId="0" applyBorder="1" applyFont="1"/>
    <xf borderId="80" fillId="3" fontId="8" numFmtId="49" xfId="0" applyAlignment="1" applyBorder="1" applyFont="1" applyNumberFormat="1">
      <alignment horizontal="center" shrinkToFit="0" vertical="center" wrapText="1"/>
    </xf>
    <xf borderId="82" fillId="3" fontId="8" numFmtId="49" xfId="0" applyAlignment="1" applyBorder="1" applyFont="1" applyNumberFormat="1">
      <alignment horizontal="center" shrinkToFit="0" vertical="center" wrapText="1"/>
    </xf>
    <xf borderId="82" fillId="3" fontId="2" numFmtId="0" xfId="0" applyAlignment="1" applyBorder="1" applyFont="1">
      <alignment horizontal="center" shrinkToFit="0" vertical="center" wrapText="1"/>
    </xf>
    <xf borderId="82" fillId="3" fontId="8" numFmtId="0" xfId="0" applyAlignment="1" applyBorder="1" applyFont="1">
      <alignment horizontal="center" shrinkToFit="0" vertical="center" wrapText="1"/>
    </xf>
    <xf borderId="82" fillId="3" fontId="8" numFmtId="167" xfId="0" applyAlignment="1" applyBorder="1" applyFont="1" applyNumberFormat="1">
      <alignment horizontal="center" shrinkToFit="1" vertical="center" wrapText="0"/>
    </xf>
    <xf borderId="83" fillId="2" fontId="2" numFmtId="166" xfId="0" applyAlignment="1" applyBorder="1" applyFont="1" applyNumberFormat="1">
      <alignment shrinkToFit="1" vertical="center" wrapText="0"/>
    </xf>
    <xf borderId="16" fillId="3" fontId="8" numFmtId="0" xfId="0" applyAlignment="1" applyBorder="1" applyFont="1">
      <alignment horizontal="center" shrinkToFit="0" vertical="center" wrapText="1"/>
    </xf>
    <xf borderId="16" fillId="3" fontId="8" numFmtId="49" xfId="0" applyAlignment="1" applyBorder="1" applyFont="1" applyNumberFormat="1">
      <alignment horizontal="center" shrinkToFit="0" vertical="center" wrapText="1"/>
    </xf>
    <xf borderId="17" fillId="3" fontId="8" numFmtId="49" xfId="0" applyAlignment="1" applyBorder="1" applyFont="1" applyNumberFormat="1">
      <alignment horizontal="center" shrinkToFit="0" vertical="center" wrapText="1"/>
    </xf>
    <xf borderId="17" fillId="3" fontId="2" numFmtId="0" xfId="0" applyAlignment="1" applyBorder="1" applyFont="1">
      <alignment horizontal="center" shrinkToFit="0" vertical="center" wrapText="1"/>
    </xf>
    <xf borderId="17" fillId="3" fontId="8" numFmtId="167" xfId="0" applyAlignment="1" applyBorder="1" applyFont="1" applyNumberFormat="1">
      <alignment horizontal="center" shrinkToFit="1" vertical="center" wrapText="0"/>
    </xf>
    <xf borderId="17" fillId="3" fontId="2" numFmtId="49" xfId="0" applyAlignment="1" applyBorder="1" applyFont="1" applyNumberFormat="1">
      <alignment horizontal="center" shrinkToFit="0" vertical="center" wrapText="1"/>
    </xf>
    <xf borderId="16" fillId="3" fontId="2" numFmtId="49" xfId="0" applyAlignment="1" applyBorder="1" applyFont="1" applyNumberFormat="1">
      <alignment horizontal="center" shrinkToFit="0" vertical="center" wrapText="1"/>
    </xf>
    <xf borderId="17" fillId="3" fontId="2" numFmtId="168" xfId="0" applyAlignment="1" applyBorder="1" applyFont="1" applyNumberFormat="1">
      <alignment shrinkToFit="0" vertical="center" wrapText="1"/>
    </xf>
    <xf borderId="16" fillId="3" fontId="2" numFmtId="0" xfId="0" applyAlignment="1" applyBorder="1" applyFont="1">
      <alignment horizontal="center" shrinkToFit="0" vertical="center" wrapText="1"/>
    </xf>
    <xf borderId="16" fillId="3" fontId="4" numFmtId="0" xfId="0" applyAlignment="1" applyBorder="1" applyFont="1">
      <alignment horizontal="center" shrinkToFit="1" vertical="center" wrapText="0"/>
    </xf>
    <xf borderId="48" fillId="3" fontId="2" numFmtId="0" xfId="0" applyAlignment="1" applyBorder="1" applyFont="1">
      <alignment horizontal="center" shrinkToFit="0" vertical="center" wrapText="1"/>
    </xf>
    <xf borderId="48" fillId="3" fontId="2" numFmtId="49" xfId="0" applyAlignment="1" applyBorder="1" applyFont="1" applyNumberFormat="1">
      <alignment horizontal="center" shrinkToFit="0" vertical="center" wrapText="1"/>
    </xf>
    <xf borderId="84" fillId="3" fontId="2" numFmtId="49" xfId="0" applyAlignment="1" applyBorder="1" applyFont="1" applyNumberFormat="1">
      <alignment horizontal="center" shrinkToFit="0" vertical="center" wrapText="1"/>
    </xf>
    <xf borderId="84" fillId="3" fontId="2" numFmtId="0" xfId="0" applyAlignment="1" applyBorder="1" applyFont="1">
      <alignment horizontal="center" shrinkToFit="0" vertical="center" wrapText="1"/>
    </xf>
    <xf borderId="84" fillId="3" fontId="2" numFmtId="168" xfId="0" applyAlignment="1" applyBorder="1" applyFont="1" applyNumberFormat="1">
      <alignment shrinkToFit="0" vertical="center" wrapText="1"/>
    </xf>
    <xf borderId="85" fillId="2" fontId="2" numFmtId="166" xfId="0" applyAlignment="1" applyBorder="1" applyFont="1" applyNumberFormat="1">
      <alignment shrinkToFit="1" vertical="center" wrapText="0"/>
    </xf>
    <xf borderId="86" fillId="3" fontId="2" numFmtId="0" xfId="0" applyAlignment="1" applyBorder="1" applyFont="1">
      <alignment vertical="center"/>
    </xf>
    <xf borderId="87" fillId="7" fontId="1" numFmtId="0" xfId="0" applyAlignment="1" applyBorder="1" applyFont="1">
      <alignment horizontal="center" shrinkToFit="0" vertical="center" wrapText="1"/>
    </xf>
    <xf borderId="88" fillId="0" fontId="3" numFmtId="0" xfId="0" applyBorder="1" applyFont="1"/>
    <xf borderId="89" fillId="0" fontId="3" numFmtId="0" xfId="0" applyBorder="1" applyFont="1"/>
    <xf borderId="90" fillId="2" fontId="1" numFmtId="0" xfId="0" applyAlignment="1" applyBorder="1" applyFont="1">
      <alignment horizontal="center" shrinkToFit="0" vertical="center" wrapText="1"/>
    </xf>
    <xf borderId="77" fillId="2" fontId="1" numFmtId="0" xfId="0" applyAlignment="1" applyBorder="1" applyFont="1">
      <alignment horizontal="center" shrinkToFit="0" vertical="center" wrapText="1"/>
    </xf>
    <xf borderId="91" fillId="2" fontId="1" numFmtId="166" xfId="0" applyAlignment="1" applyBorder="1" applyFont="1" applyNumberFormat="1">
      <alignment horizontal="center" shrinkToFit="1" vertical="center" wrapText="0"/>
    </xf>
    <xf borderId="92" fillId="0" fontId="3" numFmtId="0" xfId="0" applyBorder="1" applyFont="1"/>
    <xf borderId="93" fillId="0" fontId="3" numFmtId="0" xfId="0" applyBorder="1" applyFont="1"/>
    <xf borderId="80" fillId="3" fontId="2" numFmtId="0" xfId="0" applyAlignment="1" applyBorder="1" applyFont="1">
      <alignment horizontal="center" shrinkToFit="0" vertical="center" wrapText="1"/>
    </xf>
    <xf borderId="94" fillId="3" fontId="2" numFmtId="49" xfId="0" applyAlignment="1" applyBorder="1" applyFont="1" applyNumberFormat="1">
      <alignment horizontal="center" shrinkToFit="0" vertical="center" wrapText="1"/>
    </xf>
    <xf borderId="94" fillId="3" fontId="2" numFmtId="0" xfId="0" applyAlignment="1" applyBorder="1" applyFont="1">
      <alignment horizontal="center" shrinkToFit="0" vertical="center" wrapText="1"/>
    </xf>
    <xf borderId="94" fillId="3" fontId="2" numFmtId="168" xfId="0" applyAlignment="1" applyBorder="1" applyFont="1" applyNumberFormat="1">
      <alignment shrinkToFit="0" vertical="center" wrapText="1"/>
    </xf>
    <xf borderId="94" fillId="3" fontId="2" numFmtId="167" xfId="0" applyAlignment="1" applyBorder="1" applyFont="1" applyNumberFormat="1">
      <alignment horizontal="center" shrinkToFit="1" vertical="center" wrapText="0"/>
    </xf>
    <xf borderId="17" fillId="3" fontId="2" numFmtId="167" xfId="0" applyAlignment="1" applyBorder="1" applyFont="1" applyNumberFormat="1">
      <alignment horizontal="center" shrinkToFit="1" vertical="center" wrapText="0"/>
    </xf>
    <xf borderId="84" fillId="3" fontId="2" numFmtId="167" xfId="0" applyAlignment="1" applyBorder="1" applyFont="1" applyNumberFormat="1">
      <alignment horizontal="center" shrinkToFit="1" vertical="center" wrapText="0"/>
    </xf>
    <xf borderId="95" fillId="2" fontId="2" numFmtId="166" xfId="0" applyAlignment="1" applyBorder="1" applyFont="1" applyNumberFormat="1">
      <alignment shrinkToFit="1" vertical="center" wrapText="0"/>
    </xf>
    <xf borderId="96" fillId="3" fontId="2" numFmtId="0" xfId="0" applyAlignment="1" applyBorder="1" applyFont="1">
      <alignment shrinkToFit="0" vertical="center" wrapText="1"/>
    </xf>
    <xf borderId="97" fillId="3" fontId="2" numFmtId="0" xfId="0" applyAlignment="1" applyBorder="1" applyFont="1">
      <alignment horizontal="center" shrinkToFit="0" vertical="center" wrapText="1"/>
    </xf>
    <xf borderId="97" fillId="3" fontId="2" numFmtId="49" xfId="0" applyAlignment="1" applyBorder="1" applyFont="1" applyNumberFormat="1">
      <alignment horizontal="center" shrinkToFit="0" vertical="center" wrapText="1"/>
    </xf>
    <xf borderId="97" fillId="3" fontId="2" numFmtId="168" xfId="0" applyAlignment="1" applyBorder="1" applyFont="1" applyNumberFormat="1">
      <alignment shrinkToFit="0" vertical="center" wrapText="1"/>
    </xf>
    <xf borderId="97" fillId="3" fontId="2" numFmtId="167" xfId="0" applyAlignment="1" applyBorder="1" applyFont="1" applyNumberFormat="1">
      <alignment horizontal="center" shrinkToFit="1" vertical="center" wrapText="0"/>
    </xf>
    <xf borderId="97" fillId="3" fontId="2" numFmtId="166" xfId="0" applyAlignment="1" applyBorder="1" applyFont="1" applyNumberFormat="1">
      <alignment shrinkToFit="1" vertical="center" wrapText="0"/>
    </xf>
    <xf borderId="22" fillId="7" fontId="1" numFmtId="0" xfId="0" applyAlignment="1" applyBorder="1" applyFont="1">
      <alignment horizontal="center" shrinkToFit="0" vertical="center" wrapText="1"/>
    </xf>
    <xf borderId="22" fillId="3" fontId="2" numFmtId="166" xfId="0" applyAlignment="1" applyBorder="1" applyFont="1" applyNumberFormat="1">
      <alignment horizontal="center" readingOrder="0" vertical="center"/>
    </xf>
    <xf borderId="22" fillId="7" fontId="1" numFmtId="0" xfId="0" applyAlignment="1" applyBorder="1" applyFont="1">
      <alignment horizontal="center" vertical="center"/>
    </xf>
    <xf borderId="72" fillId="3" fontId="2" numFmtId="167" xfId="0" applyAlignment="1" applyBorder="1" applyFont="1" applyNumberFormat="1">
      <alignment horizontal="center" vertical="center"/>
    </xf>
    <xf borderId="72" fillId="3" fontId="2" numFmtId="167" xfId="0" applyAlignment="1" applyBorder="1" applyFont="1" applyNumberFormat="1">
      <alignment horizontal="center" readingOrder="0" vertical="center"/>
    </xf>
    <xf borderId="87" fillId="7" fontId="1" numFmtId="0" xfId="0" applyAlignment="1" applyBorder="1" applyFont="1">
      <alignment horizontal="center" vertical="center"/>
    </xf>
    <xf borderId="98" fillId="0" fontId="3" numFmtId="0" xfId="0" applyBorder="1" applyFont="1"/>
    <xf borderId="99" fillId="7" fontId="1" numFmtId="0" xfId="0" applyAlignment="1" applyBorder="1" applyFont="1">
      <alignment horizontal="center" vertical="center"/>
    </xf>
    <xf borderId="100" fillId="0" fontId="3" numFmtId="0" xfId="0" applyBorder="1" applyFont="1"/>
    <xf borderId="101" fillId="0" fontId="3" numFmtId="0" xfId="0" applyBorder="1" applyFont="1"/>
    <xf borderId="72" fillId="3" fontId="2" numFmtId="166" xfId="0" applyAlignment="1" applyBorder="1" applyFont="1" applyNumberFormat="1">
      <alignment horizontal="center" vertical="center"/>
    </xf>
    <xf borderId="72" fillId="2" fontId="2" numFmtId="166" xfId="0" applyAlignment="1" applyBorder="1" applyFont="1" applyNumberFormat="1">
      <alignment horizontal="center" vertical="center"/>
    </xf>
    <xf borderId="40" fillId="8" fontId="2" numFmtId="0" xfId="0" applyAlignment="1" applyBorder="1" applyFill="1" applyFont="1">
      <alignment horizontal="center" vertical="center"/>
    </xf>
    <xf borderId="42" fillId="3" fontId="2" numFmtId="10" xfId="0" applyAlignment="1" applyBorder="1" applyFont="1" applyNumberFormat="1">
      <alignment vertical="center"/>
    </xf>
    <xf borderId="40" fillId="2" fontId="1" numFmtId="0" xfId="0" applyAlignment="1" applyBorder="1" applyFont="1">
      <alignment horizontal="center" shrinkToFit="0" vertical="center" wrapText="1"/>
    </xf>
    <xf borderId="102" fillId="0" fontId="3" numFmtId="0" xfId="0" applyBorder="1" applyFont="1"/>
    <xf borderId="42" fillId="3" fontId="2" numFmtId="10" xfId="0" applyAlignment="1" applyBorder="1" applyFont="1" applyNumberFormat="1">
      <alignment readingOrder="0"/>
    </xf>
    <xf borderId="40" fillId="2" fontId="1" numFmtId="0" xfId="0" applyAlignment="1" applyBorder="1" applyFont="1">
      <alignment horizontal="center" vertical="center"/>
    </xf>
    <xf borderId="56" fillId="2" fontId="1" numFmtId="0" xfId="0" applyAlignment="1" applyBorder="1" applyFont="1">
      <alignment horizontal="center" vertical="center"/>
    </xf>
    <xf borderId="42" fillId="2" fontId="1" numFmtId="0" xfId="0" applyAlignment="1" applyBorder="1" applyFont="1">
      <alignment horizontal="center" vertical="center"/>
    </xf>
    <xf borderId="16" fillId="2" fontId="1" numFmtId="0" xfId="0" applyAlignment="1" applyBorder="1" applyFont="1">
      <alignment horizontal="center" vertical="center"/>
    </xf>
    <xf borderId="59" fillId="0" fontId="3" numFmtId="0" xfId="0" applyBorder="1" applyFont="1"/>
    <xf borderId="16" fillId="2" fontId="4" numFmtId="0" xfId="0" applyAlignment="1" applyBorder="1" applyFont="1">
      <alignment horizontal="center" shrinkToFit="0" vertical="center" wrapText="1"/>
    </xf>
    <xf borderId="17" fillId="2" fontId="1" numFmtId="0" xfId="0" applyAlignment="1" applyBorder="1" applyFont="1">
      <alignment horizontal="center" vertical="center"/>
    </xf>
    <xf borderId="83" fillId="2" fontId="1" numFmtId="0" xfId="0" applyAlignment="1" applyBorder="1" applyFont="1">
      <alignment horizontal="center" vertical="center"/>
    </xf>
    <xf borderId="5" fillId="3" fontId="2" numFmtId="0" xfId="0" applyAlignment="1" applyBorder="1" applyFont="1">
      <alignment horizontal="center" vertical="center"/>
    </xf>
    <xf borderId="103" fillId="3" fontId="2" numFmtId="0" xfId="0" applyAlignment="1" applyBorder="1" applyFont="1">
      <alignment horizontal="center" vertical="center"/>
    </xf>
    <xf borderId="17" fillId="3" fontId="2" numFmtId="14" xfId="0" applyAlignment="1" applyBorder="1" applyFont="1" applyNumberFormat="1">
      <alignment vertical="center"/>
    </xf>
    <xf borderId="83" fillId="3" fontId="2" numFmtId="14" xfId="0" applyAlignment="1" applyBorder="1" applyFont="1" applyNumberFormat="1">
      <alignment vertical="center"/>
    </xf>
    <xf borderId="16" fillId="3" fontId="2" numFmtId="0" xfId="0" applyAlignment="1" applyBorder="1" applyFont="1">
      <alignment horizontal="center" shrinkToFit="1" vertical="center" wrapText="0"/>
    </xf>
    <xf borderId="104" fillId="3" fontId="2" numFmtId="0" xfId="0" applyAlignment="1" applyBorder="1" applyFont="1">
      <alignment horizontal="center" vertical="center"/>
    </xf>
    <xf borderId="86" fillId="3" fontId="2" numFmtId="0" xfId="0" applyAlignment="1" applyBorder="1" applyFont="1">
      <alignment horizontal="center" vertical="center"/>
    </xf>
    <xf borderId="103" fillId="3" fontId="2" numFmtId="0" xfId="0" applyAlignment="1" applyBorder="1" applyFont="1">
      <alignment vertical="center"/>
    </xf>
    <xf borderId="17" fillId="3" fontId="2" numFmtId="0" xfId="0" applyAlignment="1" applyBorder="1" applyFont="1">
      <alignment vertical="center"/>
    </xf>
    <xf borderId="83" fillId="3" fontId="2" numFmtId="0" xfId="0" applyAlignment="1" applyBorder="1" applyFont="1">
      <alignment vertical="center"/>
    </xf>
    <xf borderId="46" fillId="2" fontId="2" numFmtId="0" xfId="0" applyAlignment="1" applyBorder="1" applyFont="1">
      <alignment horizontal="center" vertical="center"/>
    </xf>
    <xf borderId="48" fillId="2" fontId="2" numFmtId="166" xfId="0" applyAlignment="1" applyBorder="1" applyFont="1" applyNumberFormat="1">
      <alignment horizontal="center" vertical="center"/>
    </xf>
    <xf borderId="21" fillId="3" fontId="2" numFmtId="166" xfId="0" applyAlignment="1" applyBorder="1" applyFont="1" applyNumberFormat="1">
      <alignment horizontal="center" vertical="center"/>
    </xf>
    <xf borderId="16" fillId="9" fontId="2" numFmtId="0" xfId="0" applyAlignment="1" applyBorder="1" applyFill="1" applyFont="1">
      <alignment horizontal="center" vertical="center"/>
    </xf>
    <xf borderId="103" fillId="2" fontId="2" numFmtId="0" xfId="0" applyAlignment="1" applyBorder="1" applyFont="1">
      <alignment horizontal="center" vertical="center"/>
    </xf>
    <xf borderId="8" fillId="10" fontId="9" numFmtId="0" xfId="0" applyAlignment="1" applyBorder="1" applyFill="1" applyFont="1">
      <alignment horizontal="center" vertical="center"/>
    </xf>
    <xf borderId="21" fillId="11" fontId="2" numFmtId="0" xfId="0" applyAlignment="1" applyBorder="1" applyFill="1" applyFont="1">
      <alignment vertical="center"/>
    </xf>
    <xf borderId="22" fillId="0" fontId="2" numFmtId="0" xfId="0" applyAlignment="1" applyBorder="1" applyFont="1">
      <alignment vertical="center"/>
    </xf>
    <xf borderId="8" fillId="8" fontId="1" numFmtId="0" xfId="0" applyAlignment="1" applyBorder="1" applyFont="1">
      <alignment horizontal="center" vertical="center"/>
    </xf>
    <xf borderId="74" fillId="3" fontId="1" numFmtId="0" xfId="0" applyAlignment="1" applyBorder="1" applyFont="1">
      <alignment horizontal="center" vertical="center"/>
    </xf>
    <xf borderId="2" fillId="7" fontId="1" numFmtId="0" xfId="0" applyAlignment="1" applyBorder="1" applyFont="1">
      <alignment horizontal="center" vertical="center"/>
    </xf>
    <xf borderId="24" fillId="0" fontId="2" numFmtId="0" xfId="0" applyAlignment="1" applyBorder="1" applyFont="1">
      <alignment vertical="center"/>
    </xf>
    <xf borderId="45" fillId="0" fontId="2" numFmtId="0" xfId="0" applyAlignment="1" applyBorder="1" applyFont="1">
      <alignment vertical="center"/>
    </xf>
    <xf borderId="105" fillId="8" fontId="1" numFmtId="0" xfId="0" applyAlignment="1" applyBorder="1" applyFont="1">
      <alignment horizontal="center" vertical="center"/>
    </xf>
    <xf borderId="94" fillId="8" fontId="1" numFmtId="0" xfId="0" applyAlignment="1" applyBorder="1" applyFont="1">
      <alignment horizontal="center" vertical="center"/>
    </xf>
    <xf borderId="106" fillId="8" fontId="1" numFmtId="0" xfId="0" applyAlignment="1" applyBorder="1" applyFont="1">
      <alignment horizontal="center" vertical="center"/>
    </xf>
    <xf borderId="107" fillId="7" fontId="1" numFmtId="0" xfId="0" applyAlignment="1" applyBorder="1" applyFont="1">
      <alignment horizontal="center" vertical="center"/>
    </xf>
    <xf borderId="48" fillId="7" fontId="1" numFmtId="0" xfId="0" applyAlignment="1" applyBorder="1" applyFont="1">
      <alignment horizontal="center" vertical="center"/>
    </xf>
    <xf borderId="102" fillId="0" fontId="2" numFmtId="0" xfId="0" applyAlignment="1" applyBorder="1" applyFont="1">
      <alignment vertical="center"/>
    </xf>
    <xf borderId="108" fillId="8" fontId="2" numFmtId="0" xfId="0" applyAlignment="1" applyBorder="1" applyFont="1">
      <alignment horizontal="center" vertical="center"/>
    </xf>
    <xf borderId="83" fillId="8" fontId="2" numFmtId="166" xfId="0" applyAlignment="1" applyBorder="1" applyFont="1" applyNumberFormat="1">
      <alignment shrinkToFit="1" vertical="center" wrapText="0"/>
    </xf>
    <xf borderId="86" fillId="8" fontId="2" numFmtId="0" xfId="0" applyAlignment="1" applyBorder="1" applyFont="1">
      <alignment horizontal="center" vertical="center"/>
    </xf>
    <xf borderId="22" fillId="7" fontId="2" numFmtId="0" xfId="0" applyAlignment="1" applyBorder="1" applyFont="1">
      <alignment horizontal="center" vertical="center"/>
    </xf>
    <xf borderId="64" fillId="7" fontId="2" numFmtId="0" xfId="0" applyAlignment="1" applyBorder="1" applyFont="1">
      <alignment horizontal="center" vertical="center"/>
    </xf>
    <xf borderId="16" fillId="7" fontId="2" numFmtId="0" xfId="0" applyAlignment="1" applyBorder="1" applyFont="1">
      <alignment horizontal="center" vertical="center"/>
    </xf>
    <xf borderId="16" fillId="7" fontId="2" numFmtId="166" xfId="0" applyAlignment="1" applyBorder="1" applyFont="1" applyNumberFormat="1">
      <alignment horizontal="center" vertical="center"/>
    </xf>
    <xf borderId="109" fillId="0" fontId="3" numFmtId="0" xfId="0" applyBorder="1" applyFont="1"/>
    <xf borderId="48" fillId="7" fontId="2" numFmtId="0" xfId="0" applyAlignment="1" applyBorder="1" applyFont="1">
      <alignment horizontal="center" vertical="center"/>
    </xf>
    <xf borderId="48" fillId="7" fontId="2" numFmtId="166" xfId="0" applyAlignment="1" applyBorder="1" applyFont="1" applyNumberFormat="1">
      <alignment horizontal="center" vertical="center"/>
    </xf>
    <xf borderId="29" fillId="7" fontId="2" numFmtId="0" xfId="0" applyAlignment="1" applyBorder="1" applyFont="1">
      <alignment horizontal="center" vertical="center"/>
    </xf>
    <xf borderId="110" fillId="7" fontId="2" numFmtId="0" xfId="0" applyAlignment="1" applyBorder="1" applyFont="1">
      <alignment horizontal="center" vertical="center"/>
    </xf>
    <xf borderId="111" fillId="7" fontId="2" numFmtId="0" xfId="0" applyAlignment="1" applyBorder="1" applyFont="1">
      <alignment horizontal="center" vertical="center"/>
    </xf>
    <xf borderId="112" fillId="0" fontId="3" numFmtId="0" xfId="0" applyBorder="1" applyFont="1"/>
    <xf borderId="111" fillId="7" fontId="2" numFmtId="166" xfId="0" applyAlignment="1" applyBorder="1" applyFont="1" applyNumberFormat="1">
      <alignment horizontal="center" vertical="center"/>
    </xf>
    <xf borderId="99" fillId="7" fontId="2" numFmtId="0" xfId="0" applyAlignment="1" applyBorder="1" applyFont="1">
      <alignment horizontal="center" vertical="center"/>
    </xf>
    <xf borderId="113" fillId="7" fontId="2" numFmtId="166" xfId="0" applyAlignment="1" applyBorder="1" applyFont="1" applyNumberFormat="1">
      <alignment horizontal="center" vertical="center"/>
    </xf>
    <xf borderId="114" fillId="0" fontId="3" numFmtId="0" xfId="0" applyBorder="1" applyFont="1"/>
    <xf borderId="115" fillId="11" fontId="2" numFmtId="0" xfId="0" applyAlignment="1" applyBorder="1" applyFont="1">
      <alignment vertical="center"/>
    </xf>
    <xf borderId="8" fillId="12" fontId="1" numFmtId="0" xfId="0" applyAlignment="1" applyBorder="1" applyFill="1" applyFont="1">
      <alignment horizontal="center" vertical="center"/>
    </xf>
    <xf borderId="2" fillId="12" fontId="1" numFmtId="0" xfId="0" applyAlignment="1" applyBorder="1" applyFont="1">
      <alignment horizontal="center" vertical="center"/>
    </xf>
    <xf borderId="80" fillId="12" fontId="1" numFmtId="0" xfId="0" applyAlignment="1" applyBorder="1" applyFont="1">
      <alignment horizontal="center" vertical="center"/>
    </xf>
    <xf borderId="5" fillId="12" fontId="2" numFmtId="0" xfId="0" applyAlignment="1" applyBorder="1" applyFont="1">
      <alignment horizontal="center" vertical="center"/>
    </xf>
    <xf borderId="16" fillId="12" fontId="2" numFmtId="167" xfId="0" applyAlignment="1" applyBorder="1" applyFont="1" applyNumberFormat="1">
      <alignment horizontal="center" vertical="center"/>
    </xf>
    <xf borderId="46" fillId="12" fontId="1" numFmtId="0" xfId="0" applyAlignment="1" applyBorder="1" applyFont="1">
      <alignment horizontal="center" vertical="center"/>
    </xf>
    <xf borderId="48" fillId="12" fontId="2" numFmtId="167" xfId="0" applyAlignment="1" applyBorder="1" applyFont="1" applyNumberFormat="1">
      <alignment horizontal="center" shrinkToFit="1" vertical="center" wrapText="0"/>
    </xf>
    <xf borderId="93" fillId="0" fontId="2" numFmtId="0" xfId="0" applyAlignment="1" applyBorder="1" applyFont="1">
      <alignment vertical="center"/>
    </xf>
    <xf borderId="46" fillId="8" fontId="2" numFmtId="0" xfId="0" applyAlignment="1" applyBorder="1" applyFont="1">
      <alignment horizontal="center" vertical="center"/>
    </xf>
    <xf borderId="95" fillId="8" fontId="2" numFmtId="166" xfId="0" applyAlignment="1" applyBorder="1" applyFont="1" applyNumberFormat="1">
      <alignment shrinkToFit="1" vertical="center" wrapText="0"/>
    </xf>
    <xf borderId="116" fillId="11" fontId="2" numFmtId="0" xfId="0" applyAlignment="1" applyBorder="1" applyFont="1">
      <alignment vertical="center"/>
    </xf>
    <xf borderId="117" fillId="11" fontId="2" numFmtId="0" xfId="0" applyAlignment="1" applyBorder="1" applyFont="1">
      <alignment vertical="center"/>
    </xf>
    <xf borderId="2" fillId="8" fontId="1" numFmtId="168" xfId="0" applyAlignment="1" applyBorder="1" applyFont="1" applyNumberFormat="1">
      <alignment horizontal="center" vertical="center"/>
    </xf>
    <xf borderId="94" fillId="8" fontId="1" numFmtId="168" xfId="0" applyAlignment="1" applyBorder="1" applyFont="1" applyNumberFormat="1">
      <alignment vertical="center"/>
    </xf>
    <xf borderId="80" fillId="8" fontId="1" numFmtId="166" xfId="0" applyAlignment="1" applyBorder="1" applyFont="1" applyNumberFormat="1">
      <alignment horizontal="center" vertical="center"/>
    </xf>
    <xf borderId="80" fillId="2" fontId="1" numFmtId="166" xfId="0" applyAlignment="1" applyBorder="1" applyFont="1" applyNumberFormat="1">
      <alignment horizontal="center" vertical="center"/>
    </xf>
    <xf borderId="17" fillId="3" fontId="2" numFmtId="168" xfId="0" applyAlignment="1" applyBorder="1" applyFont="1" applyNumberFormat="1">
      <alignment vertical="center"/>
    </xf>
    <xf borderId="16" fillId="3" fontId="2" numFmtId="166" xfId="0" applyAlignment="1" applyBorder="1" applyFont="1" applyNumberFormat="1">
      <alignment horizontal="center" vertical="center"/>
    </xf>
    <xf borderId="16" fillId="2" fontId="2" numFmtId="166" xfId="0" applyAlignment="1" applyBorder="1" applyFont="1" applyNumberFormat="1">
      <alignment horizontal="center" vertical="center"/>
    </xf>
    <xf borderId="46" fillId="13" fontId="1" numFmtId="0" xfId="0" applyAlignment="1" applyBorder="1" applyFill="1" applyFont="1">
      <alignment horizontal="center" vertical="center"/>
    </xf>
    <xf borderId="48" fillId="13" fontId="2" numFmtId="166" xfId="0" applyAlignment="1" applyBorder="1" applyFont="1" applyNumberFormat="1">
      <alignment horizontal="center" vertical="center"/>
    </xf>
    <xf borderId="8" fillId="14" fontId="1" numFmtId="0" xfId="0" applyAlignment="1" applyBorder="1" applyFill="1" applyFont="1">
      <alignment horizontal="center" vertical="center"/>
    </xf>
    <xf borderId="2" fillId="14" fontId="1" numFmtId="0" xfId="0" applyAlignment="1" applyBorder="1" applyFont="1">
      <alignment horizontal="center" vertical="center"/>
    </xf>
    <xf borderId="5" fillId="14" fontId="1" numFmtId="0" xfId="0" applyAlignment="1" applyBorder="1" applyFont="1">
      <alignment horizontal="center" vertical="center"/>
    </xf>
    <xf borderId="16" fillId="14" fontId="1" numFmtId="0" xfId="0" applyAlignment="1" applyBorder="1" applyFont="1">
      <alignment horizontal="center" shrinkToFit="0" vertical="center" wrapText="1"/>
    </xf>
    <xf borderId="16" fillId="14" fontId="1" numFmtId="0" xfId="0" applyAlignment="1" applyBorder="1" applyFont="1">
      <alignment horizontal="center" vertical="center"/>
    </xf>
    <xf borderId="5" fillId="0" fontId="2" numFmtId="0" xfId="0" applyAlignment="1" applyBorder="1" applyFont="1">
      <alignment horizontal="center" shrinkToFit="0" vertical="center" wrapText="1"/>
    </xf>
    <xf borderId="46" fillId="0" fontId="2" numFmtId="0" xfId="0" applyAlignment="1" applyBorder="1" applyFont="1">
      <alignment horizontal="center" shrinkToFit="0" vertical="center" wrapText="1"/>
    </xf>
    <xf borderId="48" fillId="0" fontId="2" numFmtId="0" xfId="0" applyAlignment="1" applyBorder="1" applyFont="1">
      <alignment horizontal="center" shrinkToFit="0" vertical="center" wrapText="1"/>
    </xf>
    <xf borderId="48" fillId="0" fontId="2" numFmtId="0" xfId="0" applyAlignment="1" applyBorder="1" applyFont="1">
      <alignment horizontal="center" vertical="center"/>
    </xf>
    <xf borderId="0" fillId="0" fontId="10" numFmtId="0" xfId="0" applyAlignment="1" applyFont="1">
      <alignment horizontal="left" vertical="center"/>
    </xf>
    <xf borderId="0" fillId="0" fontId="10" numFmtId="0" xfId="0" applyFont="1"/>
    <xf borderId="0" fillId="0" fontId="10" numFmtId="0" xfId="0" applyAlignment="1" applyFont="1">
      <alignment vertical="center"/>
    </xf>
    <xf borderId="0" fillId="0" fontId="4" numFmtId="0" xfId="0" applyAlignment="1" applyFont="1">
      <alignment vertical="bottom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rgb="FFA5A5A5"/>
          <bgColor rgb="FFA5A5A5"/>
        </patternFill>
      </fill>
      <border/>
    </dxf>
  </dxfs>
  <tableStyles count="1">
    <tableStyle count="3" pivot="0" name="Dados-style">
      <tableStyleElement dxfId="1" type="headerRow"/>
      <tableStyleElement dxfId="2" type="firstRowStripe"/>
      <tableStyleElement dxfId="1" type="secondRowStrip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:A9" displayName="Table_1" name="Table_1" id="1">
  <tableColumns count="1">
    <tableColumn name="Selecione o enquadramento do projeto" id="1"/>
  </tableColumns>
  <tableStyleInfo name="Dado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3.71"/>
    <col customWidth="1" min="2" max="2" width="15.57"/>
    <col customWidth="1" min="3" max="3" width="20.0"/>
    <col customWidth="1" min="4" max="4" width="15.71"/>
    <col customWidth="1" min="5" max="5" width="23.86"/>
    <col customWidth="1" min="6" max="6" width="20.71"/>
    <col customWidth="1" min="7" max="7" width="18.29"/>
    <col customWidth="1" min="8" max="8" width="18.71"/>
    <col customWidth="1" min="9" max="9" width="16.57"/>
    <col customWidth="1" min="10" max="10" width="14.71"/>
    <col customWidth="1" min="11" max="11" width="19.86"/>
    <col customWidth="1" min="12" max="12" width="26.86"/>
    <col customWidth="1" min="13" max="26" width="8.86"/>
  </cols>
  <sheetData>
    <row r="1" ht="18.75" customHeight="1">
      <c r="A1" s="1" t="s">
        <v>0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8.75" customHeight="1"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8.7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8.75" customHeight="1">
      <c r="A4" s="4" t="s">
        <v>1</v>
      </c>
      <c r="B4" s="5"/>
      <c r="C4" s="5"/>
      <c r="D4" s="5"/>
      <c r="E4" s="5"/>
      <c r="F4" s="5"/>
      <c r="G4" s="5"/>
      <c r="H4" s="5"/>
      <c r="I4" s="5"/>
      <c r="J4" s="5"/>
      <c r="K4" s="5"/>
      <c r="L4" s="6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8.75" customHeight="1">
      <c r="A5" s="7" t="s">
        <v>2</v>
      </c>
      <c r="B5" s="8"/>
      <c r="C5" s="8"/>
      <c r="D5" s="8"/>
      <c r="E5" s="8"/>
      <c r="F5" s="8"/>
      <c r="G5" s="8"/>
      <c r="H5" s="8"/>
      <c r="I5" s="8"/>
      <c r="J5" s="8"/>
      <c r="K5" s="8"/>
      <c r="L5" s="9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8.75" customHeight="1">
      <c r="A6" s="10" t="s">
        <v>3</v>
      </c>
      <c r="B6" s="11"/>
      <c r="C6" s="11"/>
      <c r="D6" s="11"/>
      <c r="E6" s="11"/>
      <c r="F6" s="11"/>
      <c r="G6" s="12"/>
      <c r="H6" s="13" t="s">
        <v>4</v>
      </c>
      <c r="I6" s="8"/>
      <c r="J6" s="8"/>
      <c r="K6" s="8"/>
      <c r="L6" s="9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8.75" customHeight="1">
      <c r="A7" s="14" t="s">
        <v>5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6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8.75" customHeight="1">
      <c r="A8" s="17" t="s">
        <v>6</v>
      </c>
      <c r="B8" s="8"/>
      <c r="C8" s="18"/>
      <c r="D8" s="19" t="s">
        <v>7</v>
      </c>
      <c r="E8" s="18"/>
      <c r="F8" s="20" t="s">
        <v>8</v>
      </c>
      <c r="G8" s="20" t="s">
        <v>9</v>
      </c>
      <c r="H8" s="21" t="s">
        <v>9</v>
      </c>
      <c r="I8" s="8"/>
      <c r="J8" s="8"/>
      <c r="K8" s="8"/>
      <c r="L8" s="9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2" t="s">
        <v>10</v>
      </c>
      <c r="B9" s="8"/>
      <c r="C9" s="8"/>
      <c r="D9" s="8"/>
      <c r="E9" s="18"/>
      <c r="F9" s="20" t="s">
        <v>11</v>
      </c>
      <c r="G9" s="23" t="s">
        <v>12</v>
      </c>
      <c r="H9" s="24" t="s">
        <v>13</v>
      </c>
      <c r="I9" s="8"/>
      <c r="J9" s="8"/>
      <c r="K9" s="8"/>
      <c r="L9" s="9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</row>
    <row r="10" ht="18.75" customHeight="1">
      <c r="A10" s="26" t="s">
        <v>14</v>
      </c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8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8.0" customHeight="1">
      <c r="A11" s="10" t="s">
        <v>15</v>
      </c>
      <c r="B11" s="11"/>
      <c r="C11" s="11"/>
      <c r="D11" s="11"/>
      <c r="E11" s="11"/>
      <c r="F11" s="11"/>
      <c r="G11" s="12"/>
      <c r="H11" s="29" t="s">
        <v>16</v>
      </c>
      <c r="I11" s="11"/>
      <c r="J11" s="11"/>
      <c r="K11" s="11"/>
      <c r="L11" s="1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1.75" customHeight="1">
      <c r="A12" s="30" t="s">
        <v>17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6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36.0" customHeight="1">
      <c r="A13" s="17" t="s">
        <v>18</v>
      </c>
      <c r="B13" s="8"/>
      <c r="C13" s="18"/>
      <c r="D13" s="19" t="s">
        <v>19</v>
      </c>
      <c r="E13" s="18"/>
      <c r="F13" s="31" t="s">
        <v>20</v>
      </c>
      <c r="G13" s="18"/>
      <c r="H13" s="31" t="s">
        <v>21</v>
      </c>
      <c r="I13" s="8"/>
      <c r="J13" s="8"/>
      <c r="K13" s="8"/>
      <c r="L13" s="9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32.25" customHeight="1">
      <c r="A14" s="17" t="s">
        <v>22</v>
      </c>
      <c r="B14" s="8"/>
      <c r="C14" s="8"/>
      <c r="D14" s="8"/>
      <c r="E14" s="8"/>
      <c r="F14" s="18"/>
      <c r="G14" s="19" t="s">
        <v>23</v>
      </c>
      <c r="H14" s="8"/>
      <c r="I14" s="8"/>
      <c r="J14" s="8"/>
      <c r="K14" s="8"/>
      <c r="L14" s="9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8.75" customHeight="1">
      <c r="A15" s="32"/>
      <c r="B15" s="32"/>
      <c r="C15" s="32"/>
      <c r="D15" s="32"/>
      <c r="E15" s="32"/>
      <c r="F15" s="32"/>
      <c r="G15" s="32"/>
      <c r="H15" s="3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8.75" customHeight="1">
      <c r="A16" s="32"/>
      <c r="B16" s="32"/>
      <c r="C16" s="32"/>
      <c r="D16" s="32"/>
      <c r="E16" s="32"/>
      <c r="F16" s="32"/>
      <c r="G16" s="32"/>
      <c r="H16" s="3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0" customHeight="1">
      <c r="A17" s="33" t="s">
        <v>24</v>
      </c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5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0" customHeight="1">
      <c r="A18" s="36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8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8.75" customHeight="1">
      <c r="A19" s="39" t="s">
        <v>25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8.75" customHeight="1">
      <c r="A20" s="40" t="s">
        <v>26</v>
      </c>
      <c r="B20" s="41"/>
      <c r="C20" s="42"/>
      <c r="D20" s="42"/>
      <c r="E20" s="42"/>
      <c r="F20" s="42"/>
      <c r="G20" s="43"/>
      <c r="H20" s="44" t="s">
        <v>27</v>
      </c>
      <c r="I20" s="45"/>
      <c r="L20" s="46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8.75" customHeight="1">
      <c r="A21" s="47"/>
      <c r="B21" s="48"/>
      <c r="C21" s="49"/>
      <c r="D21" s="49"/>
      <c r="E21" s="49"/>
      <c r="F21" s="49"/>
      <c r="G21" s="50"/>
      <c r="H21" s="47"/>
      <c r="I21" s="48"/>
      <c r="J21" s="49"/>
      <c r="K21" s="49"/>
      <c r="L21" s="50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8.75" customHeight="1">
      <c r="A22" s="51" t="s">
        <v>28</v>
      </c>
      <c r="B22" s="18"/>
      <c r="C22" s="52"/>
      <c r="D22" s="8"/>
      <c r="E22" s="8"/>
      <c r="F22" s="8"/>
      <c r="G22" s="8"/>
      <c r="H22" s="8"/>
      <c r="I22" s="8"/>
      <c r="J22" s="8"/>
      <c r="K22" s="8"/>
      <c r="L22" s="18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8.75" customHeight="1">
      <c r="A23" s="53" t="s">
        <v>29</v>
      </c>
      <c r="B23" s="54"/>
      <c r="C23" s="8"/>
      <c r="D23" s="8"/>
      <c r="E23" s="8"/>
      <c r="F23" s="8"/>
      <c r="G23" s="8"/>
      <c r="H23" s="18"/>
      <c r="I23" s="53" t="s">
        <v>30</v>
      </c>
      <c r="J23" s="55"/>
      <c r="K23" s="8"/>
      <c r="L23" s="18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8.75" customHeight="1">
      <c r="A24" s="53" t="s">
        <v>31</v>
      </c>
      <c r="B24" s="56"/>
      <c r="C24" s="8"/>
      <c r="D24" s="8"/>
      <c r="E24" s="8"/>
      <c r="F24" s="8"/>
      <c r="G24" s="8"/>
      <c r="H24" s="8"/>
      <c r="I24" s="8"/>
      <c r="J24" s="8"/>
      <c r="K24" s="8"/>
      <c r="L24" s="18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8.75" customHeight="1">
      <c r="A25" s="57"/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8.75" customHeight="1">
      <c r="A26" s="33" t="s">
        <v>32</v>
      </c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5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8.75" customHeight="1">
      <c r="A27" s="59"/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60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0" customHeight="1">
      <c r="A28" s="61" t="s">
        <v>33</v>
      </c>
      <c r="B28" s="62"/>
      <c r="C28" s="63" t="s">
        <v>34</v>
      </c>
      <c r="D28" s="64"/>
      <c r="E28" s="64"/>
      <c r="F28" s="64"/>
      <c r="G28" s="64"/>
      <c r="H28" s="64"/>
      <c r="I28" s="64"/>
      <c r="J28" s="64"/>
      <c r="K28" s="64"/>
      <c r="L28" s="65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0" customHeight="1">
      <c r="A29" s="59"/>
      <c r="B29" s="50"/>
      <c r="C29" s="48"/>
      <c r="D29" s="49"/>
      <c r="E29" s="49"/>
      <c r="F29" s="49"/>
      <c r="G29" s="49"/>
      <c r="H29" s="49"/>
      <c r="I29" s="49"/>
      <c r="J29" s="49"/>
      <c r="K29" s="49"/>
      <c r="L29" s="60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8.75" customHeight="1">
      <c r="A30" s="7" t="s">
        <v>35</v>
      </c>
      <c r="B30" s="18"/>
      <c r="C30" s="66" t="s">
        <v>36</v>
      </c>
      <c r="D30" s="8"/>
      <c r="E30" s="8"/>
      <c r="F30" s="8"/>
      <c r="G30" s="8"/>
      <c r="H30" s="8"/>
      <c r="I30" s="8"/>
      <c r="J30" s="8"/>
      <c r="K30" s="8"/>
      <c r="L30" s="9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8.75" customHeight="1">
      <c r="A31" s="61" t="s">
        <v>37</v>
      </c>
      <c r="B31" s="62"/>
      <c r="C31" s="67"/>
      <c r="D31" s="67" t="s">
        <v>38</v>
      </c>
      <c r="E31" s="68" t="s">
        <v>39</v>
      </c>
      <c r="F31" s="8"/>
      <c r="G31" s="8"/>
      <c r="H31" s="8"/>
      <c r="I31" s="8"/>
      <c r="J31" s="8"/>
      <c r="K31" s="8"/>
      <c r="L31" s="9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8.75" customHeight="1">
      <c r="A32" s="59"/>
      <c r="B32" s="50"/>
      <c r="C32" s="67"/>
      <c r="D32" s="68" t="s">
        <v>40</v>
      </c>
      <c r="E32" s="8"/>
      <c r="F32" s="8"/>
      <c r="G32" s="8"/>
      <c r="H32" s="8"/>
      <c r="I32" s="8"/>
      <c r="J32" s="8"/>
      <c r="K32" s="8"/>
      <c r="L32" s="9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69" t="s">
        <v>41</v>
      </c>
      <c r="B33" s="62"/>
      <c r="C33" s="68" t="s">
        <v>42</v>
      </c>
      <c r="D33" s="8"/>
      <c r="E33" s="8"/>
      <c r="F33" s="8"/>
      <c r="G33" s="8"/>
      <c r="H33" s="8"/>
      <c r="I33" s="8"/>
      <c r="J33" s="8"/>
      <c r="K33" s="8"/>
      <c r="L33" s="9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8.75" customHeight="1">
      <c r="A34" s="70"/>
      <c r="B34" s="46"/>
      <c r="C34" s="71" t="s">
        <v>43</v>
      </c>
      <c r="D34" s="8"/>
      <c r="E34" s="8"/>
      <c r="F34" s="8"/>
      <c r="G34" s="8"/>
      <c r="H34" s="8"/>
      <c r="I34" s="8"/>
      <c r="J34" s="8"/>
      <c r="K34" s="8"/>
      <c r="L34" s="9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8.75" customHeight="1">
      <c r="A35" s="70"/>
      <c r="B35" s="46"/>
      <c r="C35" s="68" t="s">
        <v>44</v>
      </c>
      <c r="D35" s="8"/>
      <c r="E35" s="8"/>
      <c r="F35" s="8"/>
      <c r="G35" s="8"/>
      <c r="H35" s="8"/>
      <c r="I35" s="8"/>
      <c r="J35" s="8"/>
      <c r="K35" s="8"/>
      <c r="L35" s="9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8.75" customHeight="1">
      <c r="A36" s="59"/>
      <c r="B36" s="50"/>
      <c r="C36" s="68" t="s">
        <v>45</v>
      </c>
      <c r="D36" s="8"/>
      <c r="E36" s="8"/>
      <c r="F36" s="8"/>
      <c r="G36" s="8"/>
      <c r="H36" s="8"/>
      <c r="I36" s="8"/>
      <c r="J36" s="8"/>
      <c r="K36" s="8"/>
      <c r="L36" s="9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8.75" customHeight="1">
      <c r="A37" s="61" t="s">
        <v>46</v>
      </c>
      <c r="B37" s="62"/>
      <c r="C37" s="68" t="s">
        <v>47</v>
      </c>
      <c r="D37" s="8"/>
      <c r="E37" s="8"/>
      <c r="F37" s="8"/>
      <c r="G37" s="8"/>
      <c r="H37" s="8"/>
      <c r="I37" s="8"/>
      <c r="J37" s="8"/>
      <c r="K37" s="8"/>
      <c r="L37" s="9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8.75" customHeight="1">
      <c r="A38" s="59"/>
      <c r="B38" s="50"/>
      <c r="C38" s="68" t="s">
        <v>48</v>
      </c>
      <c r="D38" s="8"/>
      <c r="E38" s="8"/>
      <c r="F38" s="8"/>
      <c r="G38" s="8"/>
      <c r="H38" s="8"/>
      <c r="I38" s="8"/>
      <c r="J38" s="8"/>
      <c r="K38" s="8"/>
      <c r="L38" s="9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8.75" customHeight="1">
      <c r="A39" s="69" t="s">
        <v>49</v>
      </c>
      <c r="B39" s="62"/>
      <c r="C39" s="68" t="s">
        <v>50</v>
      </c>
      <c r="D39" s="8"/>
      <c r="E39" s="8"/>
      <c r="F39" s="8"/>
      <c r="G39" s="8"/>
      <c r="H39" s="8"/>
      <c r="I39" s="8"/>
      <c r="J39" s="8"/>
      <c r="K39" s="8"/>
      <c r="L39" s="9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8.75" customHeight="1">
      <c r="A40" s="59"/>
      <c r="B40" s="50"/>
      <c r="C40" s="68" t="s">
        <v>51</v>
      </c>
      <c r="D40" s="8"/>
      <c r="E40" s="8"/>
      <c r="F40" s="8"/>
      <c r="G40" s="8"/>
      <c r="H40" s="8"/>
      <c r="I40" s="8"/>
      <c r="J40" s="8"/>
      <c r="K40" s="8"/>
      <c r="L40" s="9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40.5" customHeight="1">
      <c r="A41" s="72" t="s">
        <v>52</v>
      </c>
      <c r="B41" s="18"/>
      <c r="C41" s="73" t="s">
        <v>53</v>
      </c>
      <c r="D41" s="8"/>
      <c r="E41" s="8"/>
      <c r="F41" s="8"/>
      <c r="G41" s="8"/>
      <c r="H41" s="8"/>
      <c r="I41" s="8"/>
      <c r="J41" s="8"/>
      <c r="K41" s="8"/>
      <c r="L41" s="9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58.5" customHeight="1">
      <c r="A42" s="74" t="s">
        <v>54</v>
      </c>
      <c r="B42" s="75"/>
      <c r="C42" s="76" t="s">
        <v>55</v>
      </c>
      <c r="D42" s="77"/>
      <c r="E42" s="77"/>
      <c r="F42" s="77"/>
      <c r="G42" s="77"/>
      <c r="H42" s="77"/>
      <c r="I42" s="77"/>
      <c r="J42" s="77"/>
      <c r="K42" s="77"/>
      <c r="L42" s="78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8.75" customHeight="1">
      <c r="A43" s="32"/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8.75" customHeight="1">
      <c r="A44" s="79" t="s">
        <v>56</v>
      </c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5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8.75" customHeight="1">
      <c r="A45" s="80"/>
      <c r="B45" s="3"/>
      <c r="C45" s="3"/>
      <c r="D45" s="3"/>
      <c r="E45" s="3"/>
      <c r="F45" s="3"/>
      <c r="G45" s="3"/>
      <c r="H45" s="3"/>
      <c r="I45" s="3"/>
      <c r="J45" s="3"/>
      <c r="K45" s="3"/>
      <c r="L45" s="81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40.5" customHeight="1">
      <c r="A46" s="82" t="s">
        <v>57</v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8.75" customHeight="1">
      <c r="A47" s="83"/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8.75" customHeight="1">
      <c r="A48" s="79" t="s">
        <v>58</v>
      </c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5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8.75" customHeight="1">
      <c r="A49" s="80"/>
      <c r="B49" s="3"/>
      <c r="C49" s="3"/>
      <c r="D49" s="3"/>
      <c r="E49" s="3"/>
      <c r="F49" s="3"/>
      <c r="G49" s="3"/>
      <c r="H49" s="3"/>
      <c r="I49" s="3"/>
      <c r="J49" s="3"/>
      <c r="K49" s="3"/>
      <c r="L49" s="81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37.5" customHeight="1">
      <c r="A50" s="82" t="s">
        <v>57</v>
      </c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8.75" customHeight="1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8.75" customHeight="1">
      <c r="A52" s="79" t="s">
        <v>59</v>
      </c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5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8.75" customHeight="1">
      <c r="A53" s="80"/>
      <c r="B53" s="3"/>
      <c r="C53" s="3"/>
      <c r="D53" s="3"/>
      <c r="E53" s="3"/>
      <c r="F53" s="3"/>
      <c r="G53" s="3"/>
      <c r="H53" s="3"/>
      <c r="I53" s="3"/>
      <c r="J53" s="3"/>
      <c r="K53" s="3"/>
      <c r="L53" s="81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48.75" customHeight="1">
      <c r="A54" s="82" t="s">
        <v>57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8.75" customHeight="1">
      <c r="A55" s="83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8.75" customHeight="1">
      <c r="A56" s="79" t="s">
        <v>60</v>
      </c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5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8.75" customHeight="1">
      <c r="A57" s="80"/>
      <c r="B57" s="3"/>
      <c r="C57" s="3"/>
      <c r="D57" s="3"/>
      <c r="E57" s="3"/>
      <c r="F57" s="3"/>
      <c r="G57" s="3"/>
      <c r="H57" s="3"/>
      <c r="I57" s="3"/>
      <c r="J57" s="3"/>
      <c r="K57" s="3"/>
      <c r="L57" s="81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44.0" customHeight="1">
      <c r="A58" s="84" t="s">
        <v>61</v>
      </c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8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8.75" customHeight="1">
      <c r="A60" s="86" t="s">
        <v>62</v>
      </c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8.75" customHeight="1">
      <c r="A61" s="87" t="s">
        <v>63</v>
      </c>
      <c r="B61" s="42"/>
      <c r="C61" s="42"/>
      <c r="D61" s="42"/>
      <c r="E61" s="42"/>
      <c r="F61" s="42"/>
      <c r="G61" s="42"/>
      <c r="H61" s="42"/>
      <c r="I61" s="42"/>
      <c r="J61" s="42"/>
      <c r="K61" s="42"/>
      <c r="L61" s="88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8.75" customHeight="1">
      <c r="A62" s="5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60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8.75" customHeight="1">
      <c r="A63" s="89" t="s">
        <v>64</v>
      </c>
      <c r="B63" s="8"/>
      <c r="C63" s="8"/>
      <c r="D63" s="8"/>
      <c r="E63" s="8"/>
      <c r="F63" s="8"/>
      <c r="G63" s="8"/>
      <c r="H63" s="8"/>
      <c r="I63" s="8"/>
      <c r="J63" s="18"/>
      <c r="K63" s="19" t="s">
        <v>65</v>
      </c>
      <c r="L63" s="9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8.0" customHeight="1">
      <c r="A64" s="90"/>
      <c r="B64" s="91" t="s">
        <v>66</v>
      </c>
      <c r="C64" s="64"/>
      <c r="D64" s="64"/>
      <c r="E64" s="64"/>
      <c r="F64" s="64"/>
      <c r="G64" s="64"/>
      <c r="H64" s="64"/>
      <c r="I64" s="64"/>
      <c r="J64" s="62"/>
      <c r="K64" s="92">
        <f>K97</f>
        <v>0</v>
      </c>
      <c r="L64" s="93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8.75" customHeight="1">
      <c r="A65" s="94"/>
      <c r="B65" s="95"/>
      <c r="C65" s="49"/>
      <c r="D65" s="49"/>
      <c r="E65" s="49"/>
      <c r="F65" s="49"/>
      <c r="G65" s="49"/>
      <c r="H65" s="49"/>
      <c r="I65" s="49"/>
      <c r="J65" s="50"/>
      <c r="K65" s="96"/>
      <c r="L65" s="97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8.75" customHeight="1">
      <c r="A66" s="94"/>
      <c r="B66" s="98" t="s">
        <v>67</v>
      </c>
      <c r="C66" s="64"/>
      <c r="D66" s="64"/>
      <c r="E66" s="64"/>
      <c r="F66" s="64"/>
      <c r="G66" s="64"/>
      <c r="H66" s="64"/>
      <c r="I66" s="64"/>
      <c r="J66" s="62"/>
      <c r="K66" s="96"/>
      <c r="L66" s="97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25.5" customHeight="1">
      <c r="A67" s="99"/>
      <c r="B67" s="95"/>
      <c r="C67" s="49"/>
      <c r="D67" s="49"/>
      <c r="E67" s="49"/>
      <c r="F67" s="49"/>
      <c r="G67" s="49"/>
      <c r="H67" s="49"/>
      <c r="I67" s="49"/>
      <c r="J67" s="50"/>
      <c r="K67" s="96"/>
      <c r="L67" s="97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8.75" customHeight="1">
      <c r="A68" s="100"/>
      <c r="B68" s="101" t="s">
        <v>68</v>
      </c>
      <c r="C68" s="64"/>
      <c r="D68" s="64"/>
      <c r="E68" s="64"/>
      <c r="F68" s="64"/>
      <c r="G68" s="64"/>
      <c r="H68" s="64"/>
      <c r="I68" s="64"/>
      <c r="J68" s="62"/>
      <c r="K68" s="96"/>
      <c r="L68" s="97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8.75" customHeight="1">
      <c r="A69" s="102"/>
      <c r="B69" s="48"/>
      <c r="C69" s="49"/>
      <c r="D69" s="49"/>
      <c r="E69" s="49"/>
      <c r="F69" s="49"/>
      <c r="G69" s="49"/>
      <c r="H69" s="49"/>
      <c r="I69" s="49"/>
      <c r="J69" s="50"/>
      <c r="K69" s="96"/>
      <c r="L69" s="97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8.75" customHeight="1">
      <c r="A70" s="103"/>
      <c r="B70" s="101" t="s">
        <v>69</v>
      </c>
      <c r="C70" s="64"/>
      <c r="D70" s="64"/>
      <c r="E70" s="64"/>
      <c r="F70" s="64"/>
      <c r="G70" s="64"/>
      <c r="H70" s="64"/>
      <c r="I70" s="64"/>
      <c r="J70" s="62"/>
      <c r="K70" s="96"/>
      <c r="L70" s="97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8.75" customHeight="1">
      <c r="A71" s="102"/>
      <c r="B71" s="48"/>
      <c r="C71" s="49"/>
      <c r="D71" s="49"/>
      <c r="E71" s="49"/>
      <c r="F71" s="49"/>
      <c r="G71" s="49"/>
      <c r="H71" s="49"/>
      <c r="I71" s="49"/>
      <c r="J71" s="50"/>
      <c r="K71" s="96"/>
      <c r="L71" s="97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8.75" customHeight="1">
      <c r="A72" s="103"/>
      <c r="B72" s="104" t="s">
        <v>70</v>
      </c>
      <c r="C72" s="64"/>
      <c r="D72" s="64"/>
      <c r="E72" s="64"/>
      <c r="F72" s="64"/>
      <c r="G72" s="64"/>
      <c r="H72" s="64"/>
      <c r="I72" s="64"/>
      <c r="J72" s="62"/>
      <c r="K72" s="96"/>
      <c r="L72" s="97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23.25" customHeight="1">
      <c r="A73" s="102"/>
      <c r="B73" s="48"/>
      <c r="C73" s="49"/>
      <c r="D73" s="49"/>
      <c r="E73" s="49"/>
      <c r="F73" s="49"/>
      <c r="G73" s="49"/>
      <c r="H73" s="49"/>
      <c r="I73" s="49"/>
      <c r="J73" s="50"/>
      <c r="K73" s="96"/>
      <c r="L73" s="97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8.75" customHeight="1">
      <c r="A74" s="103"/>
      <c r="B74" s="101" t="s">
        <v>71</v>
      </c>
      <c r="C74" s="64"/>
      <c r="D74" s="64"/>
      <c r="E74" s="64"/>
      <c r="F74" s="64"/>
      <c r="G74" s="64"/>
      <c r="H74" s="64"/>
      <c r="I74" s="64"/>
      <c r="J74" s="62"/>
      <c r="K74" s="96"/>
      <c r="L74" s="97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8.75" customHeight="1">
      <c r="A75" s="102"/>
      <c r="B75" s="48"/>
      <c r="C75" s="49"/>
      <c r="D75" s="49"/>
      <c r="E75" s="49"/>
      <c r="F75" s="49"/>
      <c r="G75" s="49"/>
      <c r="H75" s="49"/>
      <c r="I75" s="49"/>
      <c r="J75" s="50"/>
      <c r="K75" s="96"/>
      <c r="L75" s="97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8.75" customHeight="1">
      <c r="A76" s="103"/>
      <c r="B76" s="101" t="s">
        <v>72</v>
      </c>
      <c r="C76" s="64"/>
      <c r="D76" s="64"/>
      <c r="E76" s="64"/>
      <c r="F76" s="64"/>
      <c r="G76" s="64"/>
      <c r="H76" s="64"/>
      <c r="I76" s="64"/>
      <c r="J76" s="62"/>
      <c r="K76" s="96"/>
      <c r="L76" s="97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8.75" customHeight="1">
      <c r="A77" s="102"/>
      <c r="B77" s="48"/>
      <c r="C77" s="49"/>
      <c r="D77" s="49"/>
      <c r="E77" s="49"/>
      <c r="F77" s="49"/>
      <c r="G77" s="49"/>
      <c r="H77" s="49"/>
      <c r="I77" s="49"/>
      <c r="J77" s="50"/>
      <c r="K77" s="96"/>
      <c r="L77" s="97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8.75" customHeight="1">
      <c r="A78" s="103"/>
      <c r="B78" s="101" t="s">
        <v>73</v>
      </c>
      <c r="C78" s="64"/>
      <c r="D78" s="64"/>
      <c r="E78" s="64"/>
      <c r="F78" s="64"/>
      <c r="G78" s="64"/>
      <c r="H78" s="64"/>
      <c r="I78" s="64"/>
      <c r="J78" s="62"/>
      <c r="K78" s="96"/>
      <c r="L78" s="97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8.75" customHeight="1">
      <c r="A79" s="102"/>
      <c r="B79" s="48"/>
      <c r="C79" s="49"/>
      <c r="D79" s="49"/>
      <c r="E79" s="49"/>
      <c r="F79" s="49"/>
      <c r="G79" s="49"/>
      <c r="H79" s="49"/>
      <c r="I79" s="49"/>
      <c r="J79" s="50"/>
      <c r="K79" s="96"/>
      <c r="L79" s="97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8.75" customHeight="1">
      <c r="A80" s="103"/>
      <c r="B80" s="101" t="s">
        <v>74</v>
      </c>
      <c r="C80" s="64"/>
      <c r="D80" s="64"/>
      <c r="E80" s="64"/>
      <c r="F80" s="64"/>
      <c r="G80" s="64"/>
      <c r="H80" s="64"/>
      <c r="I80" s="64"/>
      <c r="J80" s="62"/>
      <c r="K80" s="96"/>
      <c r="L80" s="97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8.75" customHeight="1">
      <c r="A81" s="102"/>
      <c r="B81" s="48"/>
      <c r="C81" s="49"/>
      <c r="D81" s="49"/>
      <c r="E81" s="49"/>
      <c r="F81" s="49"/>
      <c r="G81" s="49"/>
      <c r="H81" s="49"/>
      <c r="I81" s="49"/>
      <c r="J81" s="50"/>
      <c r="K81" s="96"/>
      <c r="L81" s="97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8.75" customHeight="1">
      <c r="A82" s="103"/>
      <c r="B82" s="105" t="s">
        <v>75</v>
      </c>
      <c r="J82" s="46"/>
      <c r="K82" s="96"/>
      <c r="L82" s="97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8.75" customHeight="1">
      <c r="A83" s="102"/>
      <c r="B83" s="106"/>
      <c r="C83" s="107"/>
      <c r="D83" s="107"/>
      <c r="E83" s="107"/>
      <c r="F83" s="107"/>
      <c r="G83" s="107"/>
      <c r="H83" s="107"/>
      <c r="I83" s="107"/>
      <c r="J83" s="108"/>
      <c r="K83" s="106"/>
      <c r="L83" s="109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8.75" customHeight="1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8.75" customHeight="1">
      <c r="A85" s="79" t="s">
        <v>76</v>
      </c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5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8.75" customHeight="1">
      <c r="A86" s="80"/>
      <c r="B86" s="3"/>
      <c r="C86" s="3"/>
      <c r="D86" s="3"/>
      <c r="E86" s="3"/>
      <c r="F86" s="3"/>
      <c r="G86" s="3"/>
      <c r="H86" s="3"/>
      <c r="I86" s="3"/>
      <c r="J86" s="3"/>
      <c r="K86" s="3"/>
      <c r="L86" s="81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8.75" customHeight="1">
      <c r="A87" s="110" t="s">
        <v>77</v>
      </c>
      <c r="B87" s="42"/>
      <c r="C87" s="42"/>
      <c r="D87" s="42"/>
      <c r="E87" s="42"/>
      <c r="F87" s="42"/>
      <c r="G87" s="42"/>
      <c r="H87" s="42"/>
      <c r="I87" s="42"/>
      <c r="J87" s="43"/>
      <c r="K87" s="111" t="s">
        <v>78</v>
      </c>
      <c r="L87" s="88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8.75" customHeight="1">
      <c r="A88" s="59"/>
      <c r="B88" s="49"/>
      <c r="C88" s="49"/>
      <c r="D88" s="49"/>
      <c r="E88" s="49"/>
      <c r="F88" s="49"/>
      <c r="G88" s="49"/>
      <c r="H88" s="49"/>
      <c r="I88" s="49"/>
      <c r="J88" s="50"/>
      <c r="K88" s="48"/>
      <c r="L88" s="60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8.75" customHeight="1">
      <c r="A89" s="61" t="s">
        <v>79</v>
      </c>
      <c r="B89" s="64"/>
      <c r="C89" s="64"/>
      <c r="D89" s="64"/>
      <c r="E89" s="64"/>
      <c r="F89" s="64"/>
      <c r="G89" s="64"/>
      <c r="H89" s="64"/>
      <c r="I89" s="64"/>
      <c r="J89" s="62"/>
      <c r="K89" s="92">
        <f>SUM(K183,L112,L147,K186,K189,K195,K198,K192)</f>
        <v>0</v>
      </c>
      <c r="L89" s="65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8.75" customHeight="1">
      <c r="A90" s="59"/>
      <c r="B90" s="49"/>
      <c r="C90" s="49"/>
      <c r="D90" s="49"/>
      <c r="E90" s="49"/>
      <c r="F90" s="49"/>
      <c r="G90" s="49"/>
      <c r="H90" s="49"/>
      <c r="I90" s="49"/>
      <c r="J90" s="50"/>
      <c r="K90" s="48"/>
      <c r="L90" s="60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8.75" customHeight="1">
      <c r="A91" s="61" t="s">
        <v>80</v>
      </c>
      <c r="B91" s="64"/>
      <c r="C91" s="64"/>
      <c r="D91" s="64"/>
      <c r="E91" s="64"/>
      <c r="F91" s="64"/>
      <c r="G91" s="64"/>
      <c r="H91" s="64"/>
      <c r="I91" s="64"/>
      <c r="J91" s="62"/>
      <c r="K91" s="92">
        <f>SUM(K201,K204)</f>
        <v>0</v>
      </c>
      <c r="L91" s="65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8.75" customHeight="1">
      <c r="A92" s="59"/>
      <c r="B92" s="49"/>
      <c r="C92" s="49"/>
      <c r="D92" s="49"/>
      <c r="E92" s="49"/>
      <c r="F92" s="49"/>
      <c r="G92" s="49"/>
      <c r="H92" s="49"/>
      <c r="I92" s="49"/>
      <c r="J92" s="50"/>
      <c r="K92" s="48"/>
      <c r="L92" s="60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8.75" customHeight="1">
      <c r="A93" s="61" t="s">
        <v>81</v>
      </c>
      <c r="B93" s="64"/>
      <c r="C93" s="64"/>
      <c r="D93" s="64"/>
      <c r="E93" s="64"/>
      <c r="F93" s="64"/>
      <c r="G93" s="64"/>
      <c r="H93" s="64"/>
      <c r="I93" s="64"/>
      <c r="J93" s="62"/>
      <c r="K93" s="92">
        <f>K207</f>
        <v>0</v>
      </c>
      <c r="L93" s="65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8.75" customHeight="1">
      <c r="A94" s="59"/>
      <c r="B94" s="49"/>
      <c r="C94" s="49"/>
      <c r="D94" s="49"/>
      <c r="E94" s="49"/>
      <c r="F94" s="49"/>
      <c r="G94" s="49"/>
      <c r="H94" s="49"/>
      <c r="I94" s="49"/>
      <c r="J94" s="50"/>
      <c r="K94" s="48"/>
      <c r="L94" s="60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8.75" customHeight="1">
      <c r="A95" s="61" t="s">
        <v>82</v>
      </c>
      <c r="B95" s="64"/>
      <c r="C95" s="64"/>
      <c r="D95" s="64"/>
      <c r="E95" s="64"/>
      <c r="F95" s="64"/>
      <c r="G95" s="64"/>
      <c r="H95" s="64"/>
      <c r="I95" s="64"/>
      <c r="J95" s="62"/>
      <c r="K95" s="92">
        <f>K211</f>
        <v>0</v>
      </c>
      <c r="L95" s="65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8.75" customHeight="1">
      <c r="A96" s="59"/>
      <c r="B96" s="49"/>
      <c r="C96" s="49"/>
      <c r="D96" s="49"/>
      <c r="E96" s="49"/>
      <c r="F96" s="49"/>
      <c r="G96" s="49"/>
      <c r="H96" s="49"/>
      <c r="I96" s="49"/>
      <c r="J96" s="50"/>
      <c r="K96" s="48"/>
      <c r="L96" s="60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8.75" customHeight="1">
      <c r="A97" s="112" t="s">
        <v>65</v>
      </c>
      <c r="B97" s="64"/>
      <c r="C97" s="64"/>
      <c r="D97" s="64"/>
      <c r="E97" s="64"/>
      <c r="F97" s="64"/>
      <c r="G97" s="64"/>
      <c r="H97" s="64"/>
      <c r="I97" s="64"/>
      <c r="J97" s="62"/>
      <c r="K97" s="113">
        <f>SUM(K89:L96)</f>
        <v>0</v>
      </c>
      <c r="L97" s="65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8.75" customHeight="1">
      <c r="A98" s="80"/>
      <c r="B98" s="3"/>
      <c r="C98" s="3"/>
      <c r="D98" s="3"/>
      <c r="E98" s="3"/>
      <c r="F98" s="3"/>
      <c r="G98" s="3"/>
      <c r="H98" s="3"/>
      <c r="I98" s="3"/>
      <c r="J98" s="114"/>
      <c r="K98" s="115"/>
      <c r="L98" s="81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8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4.25" customHeight="1">
      <c r="A100" s="116" t="s">
        <v>83</v>
      </c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5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0" customHeight="1">
      <c r="A101" s="80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81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8.75" customHeight="1">
      <c r="A102" s="32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8.0" customHeight="1">
      <c r="A103" s="117" t="s">
        <v>84</v>
      </c>
      <c r="B103" s="34"/>
      <c r="C103" s="34"/>
      <c r="D103" s="34"/>
      <c r="E103" s="34"/>
      <c r="F103" s="34"/>
      <c r="G103" s="34"/>
      <c r="H103" s="34"/>
      <c r="I103" s="34"/>
      <c r="J103" s="118"/>
      <c r="K103" s="119" t="str">
        <f>K105</f>
        <v/>
      </c>
      <c r="L103" s="35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8.75" customHeight="1">
      <c r="A104" s="59"/>
      <c r="B104" s="49"/>
      <c r="C104" s="49"/>
      <c r="D104" s="49"/>
      <c r="E104" s="49"/>
      <c r="F104" s="49"/>
      <c r="G104" s="49"/>
      <c r="H104" s="49"/>
      <c r="I104" s="49"/>
      <c r="J104" s="50"/>
      <c r="K104" s="48"/>
      <c r="L104" s="60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8.0" customHeight="1">
      <c r="A105" s="120" t="s">
        <v>85</v>
      </c>
      <c r="B105" s="64"/>
      <c r="C105" s="64"/>
      <c r="D105" s="64"/>
      <c r="E105" s="64"/>
      <c r="F105" s="64"/>
      <c r="G105" s="64"/>
      <c r="H105" s="64"/>
      <c r="I105" s="64"/>
      <c r="J105" s="62"/>
      <c r="K105" s="121"/>
      <c r="L105" s="65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8.75" customHeight="1">
      <c r="A106" s="80"/>
      <c r="B106" s="3"/>
      <c r="C106" s="3"/>
      <c r="D106" s="3"/>
      <c r="E106" s="3"/>
      <c r="F106" s="3"/>
      <c r="G106" s="3"/>
      <c r="H106" s="3"/>
      <c r="I106" s="3"/>
      <c r="J106" s="114"/>
      <c r="K106" s="115"/>
      <c r="L106" s="81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8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8.75" customHeight="1">
      <c r="A108" s="122"/>
      <c r="B108" s="123"/>
      <c r="C108" s="123"/>
      <c r="D108" s="123"/>
      <c r="E108" s="123"/>
      <c r="F108" s="123"/>
      <c r="G108" s="123"/>
      <c r="H108" s="123"/>
      <c r="I108" s="123"/>
      <c r="J108" s="123"/>
      <c r="K108" s="124"/>
      <c r="L108" s="125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</row>
    <row r="109" ht="32.25" customHeight="1">
      <c r="A109" s="126" t="s">
        <v>86</v>
      </c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222.0" customHeight="1">
      <c r="A110" s="127" t="s">
        <v>87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2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</row>
    <row r="111" ht="33.0" customHeight="1">
      <c r="A111" s="129" t="s">
        <v>88</v>
      </c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2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</row>
    <row r="112" ht="30.0" customHeight="1">
      <c r="A112" s="117" t="s">
        <v>89</v>
      </c>
      <c r="B112" s="118"/>
      <c r="C112" s="130" t="s">
        <v>90</v>
      </c>
      <c r="D112" s="34"/>
      <c r="E112" s="118"/>
      <c r="F112" s="130" t="s">
        <v>91</v>
      </c>
      <c r="G112" s="118"/>
      <c r="H112" s="131" t="s">
        <v>92</v>
      </c>
      <c r="I112" s="131" t="s">
        <v>93</v>
      </c>
      <c r="J112" s="131" t="s">
        <v>94</v>
      </c>
      <c r="K112" s="131" t="s">
        <v>95</v>
      </c>
      <c r="L112" s="132">
        <f>SUM(L114:L144)</f>
        <v>0</v>
      </c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</row>
    <row r="113" ht="27.0" customHeight="1">
      <c r="A113" s="80"/>
      <c r="B113" s="114"/>
      <c r="C113" s="115"/>
      <c r="D113" s="3"/>
      <c r="E113" s="114"/>
      <c r="F113" s="115"/>
      <c r="G113" s="114"/>
      <c r="H113" s="133"/>
      <c r="I113" s="133"/>
      <c r="J113" s="133"/>
      <c r="K113" s="133"/>
      <c r="L113" s="134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</row>
    <row r="114" ht="24.75" customHeight="1">
      <c r="A114" s="135"/>
      <c r="B114" s="118"/>
      <c r="C114" s="136"/>
      <c r="D114" s="5"/>
      <c r="E114" s="137"/>
      <c r="F114" s="138"/>
      <c r="G114" s="137"/>
      <c r="H114" s="139"/>
      <c r="I114" s="140"/>
      <c r="J114" s="141"/>
      <c r="K114" s="142"/>
      <c r="L114" s="143">
        <f t="shared" ref="L114:L144" si="1">J114*K114</f>
        <v>0</v>
      </c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</row>
    <row r="115" ht="24.75" customHeight="1">
      <c r="A115" s="135"/>
      <c r="B115" s="118"/>
      <c r="C115" s="144"/>
      <c r="D115" s="8"/>
      <c r="E115" s="18"/>
      <c r="F115" s="145"/>
      <c r="G115" s="18"/>
      <c r="H115" s="146"/>
      <c r="I115" s="147"/>
      <c r="J115" s="147"/>
      <c r="K115" s="148"/>
      <c r="L115" s="143">
        <f t="shared" si="1"/>
        <v>0</v>
      </c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</row>
    <row r="116" ht="24.75" customHeight="1">
      <c r="A116" s="135"/>
      <c r="B116" s="118"/>
      <c r="C116" s="144"/>
      <c r="D116" s="8"/>
      <c r="E116" s="18"/>
      <c r="F116" s="145"/>
      <c r="G116" s="18"/>
      <c r="H116" s="146"/>
      <c r="I116" s="147"/>
      <c r="J116" s="147"/>
      <c r="K116" s="148"/>
      <c r="L116" s="143">
        <f t="shared" si="1"/>
        <v>0</v>
      </c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</row>
    <row r="117" ht="24.75" customHeight="1">
      <c r="A117" s="135"/>
      <c r="B117" s="118"/>
      <c r="C117" s="144"/>
      <c r="D117" s="8"/>
      <c r="E117" s="18"/>
      <c r="F117" s="145"/>
      <c r="G117" s="18"/>
      <c r="H117" s="146"/>
      <c r="I117" s="147"/>
      <c r="J117" s="147"/>
      <c r="K117" s="148"/>
      <c r="L117" s="143">
        <f t="shared" si="1"/>
        <v>0</v>
      </c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</row>
    <row r="118" ht="24.75" customHeight="1">
      <c r="A118" s="135"/>
      <c r="B118" s="118"/>
      <c r="C118" s="144"/>
      <c r="D118" s="8"/>
      <c r="E118" s="18"/>
      <c r="F118" s="145"/>
      <c r="G118" s="18"/>
      <c r="H118" s="149"/>
      <c r="I118" s="147"/>
      <c r="J118" s="147"/>
      <c r="K118" s="148"/>
      <c r="L118" s="143">
        <f t="shared" si="1"/>
        <v>0</v>
      </c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</row>
    <row r="119" ht="24.75" customHeight="1">
      <c r="A119" s="135"/>
      <c r="B119" s="118"/>
      <c r="C119" s="144"/>
      <c r="D119" s="8"/>
      <c r="E119" s="18"/>
      <c r="F119" s="150"/>
      <c r="G119" s="18"/>
      <c r="H119" s="149"/>
      <c r="I119" s="147"/>
      <c r="J119" s="147"/>
      <c r="K119" s="148"/>
      <c r="L119" s="143">
        <f t="shared" si="1"/>
        <v>0</v>
      </c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</row>
    <row r="120" ht="24.75" customHeight="1">
      <c r="A120" s="135"/>
      <c r="B120" s="118"/>
      <c r="C120" s="144"/>
      <c r="D120" s="8"/>
      <c r="E120" s="18"/>
      <c r="F120" s="150"/>
      <c r="G120" s="18"/>
      <c r="H120" s="149"/>
      <c r="I120" s="147"/>
      <c r="J120" s="147"/>
      <c r="K120" s="148"/>
      <c r="L120" s="143">
        <f t="shared" si="1"/>
        <v>0</v>
      </c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</row>
    <row r="121" ht="24.75" customHeight="1">
      <c r="A121" s="135"/>
      <c r="B121" s="118"/>
      <c r="C121" s="144"/>
      <c r="D121" s="8"/>
      <c r="E121" s="18"/>
      <c r="F121" s="150"/>
      <c r="G121" s="18"/>
      <c r="H121" s="149"/>
      <c r="I121" s="147"/>
      <c r="J121" s="147"/>
      <c r="K121" s="148"/>
      <c r="L121" s="143">
        <f t="shared" si="1"/>
        <v>0</v>
      </c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</row>
    <row r="122" ht="24.75" customHeight="1">
      <c r="A122" s="135"/>
      <c r="B122" s="118"/>
      <c r="C122" s="144"/>
      <c r="D122" s="8"/>
      <c r="E122" s="18"/>
      <c r="F122" s="150"/>
      <c r="G122" s="18"/>
      <c r="H122" s="149"/>
      <c r="I122" s="147"/>
      <c r="J122" s="151"/>
      <c r="K122" s="148"/>
      <c r="L122" s="143">
        <f t="shared" si="1"/>
        <v>0</v>
      </c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</row>
    <row r="123" ht="24.75" customHeight="1">
      <c r="A123" s="135"/>
      <c r="B123" s="118"/>
      <c r="C123" s="144"/>
      <c r="D123" s="8"/>
      <c r="E123" s="18"/>
      <c r="F123" s="150"/>
      <c r="G123" s="18"/>
      <c r="H123" s="149"/>
      <c r="I123" s="147"/>
      <c r="J123" s="151"/>
      <c r="K123" s="148"/>
      <c r="L123" s="143">
        <f t="shared" si="1"/>
        <v>0</v>
      </c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</row>
    <row r="124" ht="24.75" customHeight="1">
      <c r="A124" s="135"/>
      <c r="B124" s="118"/>
      <c r="C124" s="152"/>
      <c r="D124" s="8"/>
      <c r="E124" s="18"/>
      <c r="F124" s="150"/>
      <c r="G124" s="18"/>
      <c r="H124" s="149"/>
      <c r="I124" s="147"/>
      <c r="J124" s="151"/>
      <c r="K124" s="148"/>
      <c r="L124" s="143">
        <f t="shared" si="1"/>
        <v>0</v>
      </c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</row>
    <row r="125" ht="24.75" customHeight="1">
      <c r="A125" s="135"/>
      <c r="B125" s="118"/>
      <c r="C125" s="152"/>
      <c r="D125" s="8"/>
      <c r="E125" s="18"/>
      <c r="F125" s="150"/>
      <c r="G125" s="18"/>
      <c r="H125" s="149"/>
      <c r="I125" s="147"/>
      <c r="J125" s="151"/>
      <c r="K125" s="148"/>
      <c r="L125" s="143">
        <f t="shared" si="1"/>
        <v>0</v>
      </c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</row>
    <row r="126" ht="24.75" customHeight="1">
      <c r="A126" s="135"/>
      <c r="B126" s="118"/>
      <c r="C126" s="152"/>
      <c r="D126" s="8"/>
      <c r="E126" s="18"/>
      <c r="F126" s="150"/>
      <c r="G126" s="18"/>
      <c r="H126" s="149"/>
      <c r="I126" s="147"/>
      <c r="J126" s="151"/>
      <c r="K126" s="148"/>
      <c r="L126" s="143">
        <f t="shared" si="1"/>
        <v>0</v>
      </c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</row>
    <row r="127" ht="24.75" customHeight="1">
      <c r="A127" s="135"/>
      <c r="B127" s="118"/>
      <c r="C127" s="152"/>
      <c r="D127" s="8"/>
      <c r="E127" s="18"/>
      <c r="F127" s="150"/>
      <c r="G127" s="18"/>
      <c r="H127" s="149"/>
      <c r="I127" s="147"/>
      <c r="J127" s="151"/>
      <c r="K127" s="148"/>
      <c r="L127" s="143">
        <f t="shared" si="1"/>
        <v>0</v>
      </c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</row>
    <row r="128" ht="24.75" customHeight="1">
      <c r="A128" s="135"/>
      <c r="B128" s="118"/>
      <c r="C128" s="152"/>
      <c r="D128" s="8"/>
      <c r="E128" s="18"/>
      <c r="F128" s="150"/>
      <c r="G128" s="18"/>
      <c r="H128" s="149"/>
      <c r="I128" s="147"/>
      <c r="J128" s="151"/>
      <c r="K128" s="148"/>
      <c r="L128" s="143">
        <f t="shared" si="1"/>
        <v>0</v>
      </c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</row>
    <row r="129" ht="24.75" customHeight="1">
      <c r="A129" s="135"/>
      <c r="B129" s="118"/>
      <c r="C129" s="152"/>
      <c r="D129" s="8"/>
      <c r="E129" s="18"/>
      <c r="F129" s="150"/>
      <c r="G129" s="18"/>
      <c r="H129" s="149"/>
      <c r="I129" s="147"/>
      <c r="J129" s="151"/>
      <c r="K129" s="148"/>
      <c r="L129" s="143">
        <f t="shared" si="1"/>
        <v>0</v>
      </c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</row>
    <row r="130" ht="24.75" customHeight="1">
      <c r="A130" s="135"/>
      <c r="B130" s="118"/>
      <c r="C130" s="152"/>
      <c r="D130" s="8"/>
      <c r="E130" s="18"/>
      <c r="F130" s="150"/>
      <c r="G130" s="18"/>
      <c r="H130" s="149"/>
      <c r="I130" s="147"/>
      <c r="J130" s="151"/>
      <c r="K130" s="148"/>
      <c r="L130" s="143">
        <f t="shared" si="1"/>
        <v>0</v>
      </c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</row>
    <row r="131" ht="24.75" customHeight="1">
      <c r="A131" s="135"/>
      <c r="B131" s="118"/>
      <c r="C131" s="152"/>
      <c r="D131" s="8"/>
      <c r="E131" s="18"/>
      <c r="F131" s="150"/>
      <c r="G131" s="18"/>
      <c r="H131" s="149"/>
      <c r="I131" s="147"/>
      <c r="J131" s="151"/>
      <c r="K131" s="148"/>
      <c r="L131" s="143">
        <f t="shared" si="1"/>
        <v>0</v>
      </c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</row>
    <row r="132" ht="24.75" customHeight="1">
      <c r="A132" s="135"/>
      <c r="B132" s="118"/>
      <c r="C132" s="152"/>
      <c r="D132" s="8"/>
      <c r="E132" s="18"/>
      <c r="F132" s="150"/>
      <c r="G132" s="18"/>
      <c r="H132" s="149"/>
      <c r="I132" s="147"/>
      <c r="J132" s="151"/>
      <c r="K132" s="148"/>
      <c r="L132" s="143">
        <f t="shared" si="1"/>
        <v>0</v>
      </c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</row>
    <row r="133" ht="24.75" customHeight="1">
      <c r="A133" s="135"/>
      <c r="B133" s="118"/>
      <c r="C133" s="152"/>
      <c r="D133" s="8"/>
      <c r="E133" s="18"/>
      <c r="F133" s="150"/>
      <c r="G133" s="18"/>
      <c r="H133" s="149"/>
      <c r="I133" s="147"/>
      <c r="J133" s="151"/>
      <c r="K133" s="148"/>
      <c r="L133" s="143">
        <f t="shared" si="1"/>
        <v>0</v>
      </c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</row>
    <row r="134" ht="24.75" customHeight="1">
      <c r="A134" s="135"/>
      <c r="B134" s="118"/>
      <c r="C134" s="152"/>
      <c r="D134" s="8"/>
      <c r="E134" s="18"/>
      <c r="F134" s="150"/>
      <c r="G134" s="18"/>
      <c r="H134" s="149"/>
      <c r="I134" s="147"/>
      <c r="J134" s="151"/>
      <c r="K134" s="148"/>
      <c r="L134" s="143">
        <f t="shared" si="1"/>
        <v>0</v>
      </c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</row>
    <row r="135" ht="24.75" customHeight="1">
      <c r="A135" s="135"/>
      <c r="B135" s="118"/>
      <c r="C135" s="152"/>
      <c r="D135" s="8"/>
      <c r="E135" s="18"/>
      <c r="F135" s="150"/>
      <c r="G135" s="18"/>
      <c r="H135" s="149"/>
      <c r="I135" s="147"/>
      <c r="J135" s="151"/>
      <c r="K135" s="148"/>
      <c r="L135" s="143">
        <f t="shared" si="1"/>
        <v>0</v>
      </c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</row>
    <row r="136" ht="24.75" customHeight="1">
      <c r="A136" s="135"/>
      <c r="B136" s="118"/>
      <c r="C136" s="152"/>
      <c r="D136" s="8"/>
      <c r="E136" s="18"/>
      <c r="F136" s="150"/>
      <c r="G136" s="18"/>
      <c r="H136" s="149"/>
      <c r="I136" s="147"/>
      <c r="J136" s="151"/>
      <c r="K136" s="148"/>
      <c r="L136" s="143">
        <f t="shared" si="1"/>
        <v>0</v>
      </c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</row>
    <row r="137" ht="24.75" customHeight="1">
      <c r="A137" s="135"/>
      <c r="B137" s="118"/>
      <c r="C137" s="152"/>
      <c r="D137" s="8"/>
      <c r="E137" s="18"/>
      <c r="F137" s="150"/>
      <c r="G137" s="18"/>
      <c r="H137" s="149"/>
      <c r="I137" s="147"/>
      <c r="J137" s="151"/>
      <c r="K137" s="148"/>
      <c r="L137" s="143">
        <f t="shared" si="1"/>
        <v>0</v>
      </c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</row>
    <row r="138" ht="24.75" customHeight="1">
      <c r="A138" s="135"/>
      <c r="B138" s="118"/>
      <c r="C138" s="152"/>
      <c r="D138" s="8"/>
      <c r="E138" s="18"/>
      <c r="F138" s="150"/>
      <c r="G138" s="18"/>
      <c r="H138" s="149"/>
      <c r="I138" s="147"/>
      <c r="J138" s="151"/>
      <c r="K138" s="148"/>
      <c r="L138" s="143">
        <f t="shared" si="1"/>
        <v>0</v>
      </c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</row>
    <row r="139" ht="24.75" customHeight="1">
      <c r="A139" s="135"/>
      <c r="B139" s="118"/>
      <c r="C139" s="152"/>
      <c r="D139" s="8"/>
      <c r="E139" s="18"/>
      <c r="F139" s="150"/>
      <c r="G139" s="18"/>
      <c r="H139" s="149"/>
      <c r="I139" s="147"/>
      <c r="J139" s="151"/>
      <c r="K139" s="148"/>
      <c r="L139" s="143">
        <f t="shared" si="1"/>
        <v>0</v>
      </c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</row>
    <row r="140" ht="24.75" customHeight="1">
      <c r="A140" s="135"/>
      <c r="B140" s="118"/>
      <c r="C140" s="152"/>
      <c r="D140" s="8"/>
      <c r="E140" s="18"/>
      <c r="F140" s="150"/>
      <c r="G140" s="18"/>
      <c r="H140" s="149"/>
      <c r="I140" s="147"/>
      <c r="J140" s="151"/>
      <c r="K140" s="148"/>
      <c r="L140" s="143">
        <f t="shared" si="1"/>
        <v>0</v>
      </c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</row>
    <row r="141" ht="23.25" customHeight="1">
      <c r="A141" s="135"/>
      <c r="B141" s="118"/>
      <c r="C141" s="152"/>
      <c r="D141" s="8"/>
      <c r="E141" s="18"/>
      <c r="F141" s="150"/>
      <c r="G141" s="18"/>
      <c r="H141" s="149"/>
      <c r="I141" s="147"/>
      <c r="J141" s="151"/>
      <c r="K141" s="148"/>
      <c r="L141" s="143">
        <f t="shared" si="1"/>
        <v>0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24.0" customHeight="1">
      <c r="A142" s="135"/>
      <c r="B142" s="118"/>
      <c r="C142" s="152"/>
      <c r="D142" s="8"/>
      <c r="E142" s="18"/>
      <c r="F142" s="150"/>
      <c r="G142" s="18"/>
      <c r="H142" s="149"/>
      <c r="I142" s="147"/>
      <c r="J142" s="151"/>
      <c r="K142" s="148"/>
      <c r="L142" s="143">
        <f t="shared" si="1"/>
        <v>0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21.75" customHeight="1">
      <c r="A143" s="135"/>
      <c r="B143" s="118"/>
      <c r="C143" s="152"/>
      <c r="D143" s="8"/>
      <c r="E143" s="18"/>
      <c r="F143" s="150"/>
      <c r="G143" s="18"/>
      <c r="H143" s="149"/>
      <c r="I143" s="147"/>
      <c r="J143" s="151"/>
      <c r="K143" s="148"/>
      <c r="L143" s="143">
        <f t="shared" si="1"/>
        <v>0</v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24.0" customHeight="1">
      <c r="A144" s="153"/>
      <c r="B144" s="18"/>
      <c r="C144" s="154"/>
      <c r="D144" s="77"/>
      <c r="E144" s="75"/>
      <c r="F144" s="155"/>
      <c r="G144" s="75"/>
      <c r="H144" s="156"/>
      <c r="I144" s="157"/>
      <c r="J144" s="158"/>
      <c r="K144" s="148"/>
      <c r="L144" s="159">
        <f t="shared" si="1"/>
        <v>0</v>
      </c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8.75" customHeight="1">
      <c r="A145" s="83"/>
      <c r="B145" s="83"/>
      <c r="C145" s="32"/>
      <c r="D145" s="32"/>
      <c r="E145" s="32"/>
      <c r="F145" s="32"/>
      <c r="G145" s="32"/>
      <c r="H145" s="32"/>
      <c r="I145" s="32"/>
      <c r="J145" s="32"/>
      <c r="K145" s="32"/>
      <c r="L145" s="160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41.25" customHeight="1">
      <c r="A146" s="161" t="s">
        <v>96</v>
      </c>
      <c r="B146" s="162"/>
      <c r="C146" s="162"/>
      <c r="D146" s="162"/>
      <c r="E146" s="162"/>
      <c r="F146" s="162"/>
      <c r="G146" s="162"/>
      <c r="H146" s="162"/>
      <c r="I146" s="162"/>
      <c r="J146" s="162"/>
      <c r="K146" s="162"/>
      <c r="L146" s="163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30.0" customHeight="1">
      <c r="A147" s="117" t="s">
        <v>89</v>
      </c>
      <c r="B147" s="118"/>
      <c r="C147" s="130" t="s">
        <v>90</v>
      </c>
      <c r="D147" s="34"/>
      <c r="E147" s="118"/>
      <c r="F147" s="164" t="s">
        <v>97</v>
      </c>
      <c r="G147" s="118"/>
      <c r="H147" s="131" t="s">
        <v>92</v>
      </c>
      <c r="I147" s="131" t="s">
        <v>98</v>
      </c>
      <c r="J147" s="131" t="s">
        <v>94</v>
      </c>
      <c r="K147" s="165" t="s">
        <v>95</v>
      </c>
      <c r="L147" s="166">
        <f>SUM(L149:L181)</f>
        <v>0</v>
      </c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29.25" customHeight="1">
      <c r="A148" s="80"/>
      <c r="B148" s="114"/>
      <c r="C148" s="115"/>
      <c r="D148" s="3"/>
      <c r="E148" s="114"/>
      <c r="F148" s="167"/>
      <c r="G148" s="114"/>
      <c r="H148" s="133"/>
      <c r="I148" s="133"/>
      <c r="J148" s="133"/>
      <c r="K148" s="134"/>
      <c r="L148" s="168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8.75" customHeight="1">
      <c r="A149" s="135"/>
      <c r="B149" s="118"/>
      <c r="C149" s="169"/>
      <c r="D149" s="5"/>
      <c r="E149" s="137"/>
      <c r="F149" s="169"/>
      <c r="G149" s="137"/>
      <c r="H149" s="170"/>
      <c r="I149" s="171"/>
      <c r="J149" s="172"/>
      <c r="K149" s="173"/>
      <c r="L149" s="143">
        <f t="shared" ref="L149:L181" si="2">J149*K149</f>
        <v>0</v>
      </c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8.75" customHeight="1">
      <c r="A150" s="135"/>
      <c r="B150" s="118"/>
      <c r="C150" s="152"/>
      <c r="D150" s="8"/>
      <c r="E150" s="18"/>
      <c r="F150" s="152"/>
      <c r="G150" s="18"/>
      <c r="H150" s="149"/>
      <c r="I150" s="147"/>
      <c r="J150" s="151"/>
      <c r="K150" s="174"/>
      <c r="L150" s="143">
        <f t="shared" si="2"/>
        <v>0</v>
      </c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8.75" customHeight="1">
      <c r="A151" s="135"/>
      <c r="B151" s="118"/>
      <c r="C151" s="152"/>
      <c r="D151" s="8"/>
      <c r="E151" s="18"/>
      <c r="F151" s="152"/>
      <c r="G151" s="18"/>
      <c r="H151" s="149"/>
      <c r="I151" s="147"/>
      <c r="J151" s="151"/>
      <c r="K151" s="174"/>
      <c r="L151" s="143">
        <f t="shared" si="2"/>
        <v>0</v>
      </c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8.75" customHeight="1">
      <c r="A152" s="135"/>
      <c r="B152" s="118"/>
      <c r="C152" s="152"/>
      <c r="D152" s="8"/>
      <c r="E152" s="18"/>
      <c r="F152" s="152"/>
      <c r="G152" s="18"/>
      <c r="H152" s="149"/>
      <c r="I152" s="147"/>
      <c r="J152" s="151"/>
      <c r="K152" s="174"/>
      <c r="L152" s="143">
        <f t="shared" si="2"/>
        <v>0</v>
      </c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8.75" customHeight="1">
      <c r="A153" s="135"/>
      <c r="B153" s="118"/>
      <c r="C153" s="152"/>
      <c r="D153" s="8"/>
      <c r="E153" s="18"/>
      <c r="F153" s="152"/>
      <c r="G153" s="18"/>
      <c r="H153" s="149"/>
      <c r="I153" s="147"/>
      <c r="J153" s="151"/>
      <c r="K153" s="174"/>
      <c r="L153" s="143">
        <f t="shared" si="2"/>
        <v>0</v>
      </c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8.75" customHeight="1">
      <c r="A154" s="135"/>
      <c r="B154" s="118"/>
      <c r="C154" s="152"/>
      <c r="D154" s="8"/>
      <c r="E154" s="18"/>
      <c r="F154" s="152"/>
      <c r="G154" s="18"/>
      <c r="H154" s="149"/>
      <c r="I154" s="147"/>
      <c r="J154" s="151"/>
      <c r="K154" s="174"/>
      <c r="L154" s="143">
        <f t="shared" si="2"/>
        <v>0</v>
      </c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8.75" customHeight="1">
      <c r="A155" s="135"/>
      <c r="B155" s="118"/>
      <c r="C155" s="152"/>
      <c r="D155" s="8"/>
      <c r="E155" s="18"/>
      <c r="F155" s="152"/>
      <c r="G155" s="18"/>
      <c r="H155" s="149"/>
      <c r="I155" s="147"/>
      <c r="J155" s="151"/>
      <c r="K155" s="174"/>
      <c r="L155" s="143">
        <f t="shared" si="2"/>
        <v>0</v>
      </c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8.75" customHeight="1">
      <c r="A156" s="135"/>
      <c r="B156" s="118"/>
      <c r="C156" s="152"/>
      <c r="D156" s="8"/>
      <c r="E156" s="18"/>
      <c r="F156" s="152"/>
      <c r="G156" s="18"/>
      <c r="H156" s="149"/>
      <c r="I156" s="147"/>
      <c r="J156" s="151"/>
      <c r="K156" s="174"/>
      <c r="L156" s="143">
        <f t="shared" si="2"/>
        <v>0</v>
      </c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8.75" customHeight="1">
      <c r="A157" s="135"/>
      <c r="B157" s="118"/>
      <c r="C157" s="152"/>
      <c r="D157" s="8"/>
      <c r="E157" s="18"/>
      <c r="F157" s="152"/>
      <c r="G157" s="18"/>
      <c r="H157" s="149"/>
      <c r="I157" s="147"/>
      <c r="J157" s="151"/>
      <c r="K157" s="174"/>
      <c r="L157" s="143">
        <f t="shared" si="2"/>
        <v>0</v>
      </c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8.75" customHeight="1">
      <c r="A158" s="135"/>
      <c r="B158" s="118"/>
      <c r="C158" s="152"/>
      <c r="D158" s="8"/>
      <c r="E158" s="18"/>
      <c r="F158" s="152"/>
      <c r="G158" s="18"/>
      <c r="H158" s="149"/>
      <c r="I158" s="147"/>
      <c r="J158" s="151"/>
      <c r="K158" s="174"/>
      <c r="L158" s="143">
        <f t="shared" si="2"/>
        <v>0</v>
      </c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8.75" customHeight="1">
      <c r="A159" s="135"/>
      <c r="B159" s="118"/>
      <c r="C159" s="152"/>
      <c r="D159" s="8"/>
      <c r="E159" s="18"/>
      <c r="F159" s="152"/>
      <c r="G159" s="18"/>
      <c r="H159" s="149"/>
      <c r="I159" s="147"/>
      <c r="J159" s="151"/>
      <c r="K159" s="174"/>
      <c r="L159" s="143">
        <f t="shared" si="2"/>
        <v>0</v>
      </c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8.75" customHeight="1">
      <c r="A160" s="135"/>
      <c r="B160" s="118"/>
      <c r="C160" s="152"/>
      <c r="D160" s="8"/>
      <c r="E160" s="18"/>
      <c r="F160" s="152"/>
      <c r="G160" s="18"/>
      <c r="H160" s="149"/>
      <c r="I160" s="147"/>
      <c r="J160" s="151"/>
      <c r="K160" s="174"/>
      <c r="L160" s="143">
        <f t="shared" si="2"/>
        <v>0</v>
      </c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8.75" customHeight="1">
      <c r="A161" s="135"/>
      <c r="B161" s="118"/>
      <c r="C161" s="152"/>
      <c r="D161" s="8"/>
      <c r="E161" s="18"/>
      <c r="F161" s="152"/>
      <c r="G161" s="18"/>
      <c r="H161" s="149"/>
      <c r="I161" s="147"/>
      <c r="J161" s="151"/>
      <c r="K161" s="174"/>
      <c r="L161" s="143">
        <f t="shared" si="2"/>
        <v>0</v>
      </c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8.75" customHeight="1">
      <c r="A162" s="135"/>
      <c r="B162" s="118"/>
      <c r="C162" s="152"/>
      <c r="D162" s="8"/>
      <c r="E162" s="18"/>
      <c r="F162" s="152"/>
      <c r="G162" s="18"/>
      <c r="H162" s="149"/>
      <c r="I162" s="147"/>
      <c r="J162" s="151"/>
      <c r="K162" s="174"/>
      <c r="L162" s="143">
        <f t="shared" si="2"/>
        <v>0</v>
      </c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8.75" customHeight="1">
      <c r="A163" s="135"/>
      <c r="B163" s="118"/>
      <c r="C163" s="152"/>
      <c r="D163" s="8"/>
      <c r="E163" s="18"/>
      <c r="F163" s="152"/>
      <c r="G163" s="18"/>
      <c r="H163" s="149"/>
      <c r="I163" s="147"/>
      <c r="J163" s="151"/>
      <c r="K163" s="174"/>
      <c r="L163" s="143">
        <f t="shared" si="2"/>
        <v>0</v>
      </c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8.75" customHeight="1">
      <c r="A164" s="135"/>
      <c r="B164" s="118"/>
      <c r="C164" s="152"/>
      <c r="D164" s="8"/>
      <c r="E164" s="18"/>
      <c r="F164" s="152"/>
      <c r="G164" s="18"/>
      <c r="H164" s="149"/>
      <c r="I164" s="147"/>
      <c r="J164" s="151"/>
      <c r="K164" s="174"/>
      <c r="L164" s="143">
        <f t="shared" si="2"/>
        <v>0</v>
      </c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8.75" customHeight="1">
      <c r="A165" s="135"/>
      <c r="B165" s="118"/>
      <c r="C165" s="152"/>
      <c r="D165" s="8"/>
      <c r="E165" s="18"/>
      <c r="F165" s="152"/>
      <c r="G165" s="18"/>
      <c r="H165" s="149"/>
      <c r="I165" s="147"/>
      <c r="J165" s="151"/>
      <c r="K165" s="174"/>
      <c r="L165" s="143">
        <f t="shared" si="2"/>
        <v>0</v>
      </c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8.75" customHeight="1">
      <c r="A166" s="135"/>
      <c r="B166" s="118"/>
      <c r="C166" s="152"/>
      <c r="D166" s="8"/>
      <c r="E166" s="18"/>
      <c r="F166" s="152"/>
      <c r="G166" s="18"/>
      <c r="H166" s="149"/>
      <c r="I166" s="147"/>
      <c r="J166" s="151"/>
      <c r="K166" s="174"/>
      <c r="L166" s="143">
        <f t="shared" si="2"/>
        <v>0</v>
      </c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8.75" customHeight="1">
      <c r="A167" s="135"/>
      <c r="B167" s="118"/>
      <c r="C167" s="152"/>
      <c r="D167" s="8"/>
      <c r="E167" s="18"/>
      <c r="F167" s="152"/>
      <c r="G167" s="18"/>
      <c r="H167" s="149"/>
      <c r="I167" s="147"/>
      <c r="J167" s="151"/>
      <c r="K167" s="174"/>
      <c r="L167" s="143">
        <f t="shared" si="2"/>
        <v>0</v>
      </c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8.75" customHeight="1">
      <c r="A168" s="135"/>
      <c r="B168" s="118"/>
      <c r="C168" s="152"/>
      <c r="D168" s="8"/>
      <c r="E168" s="18"/>
      <c r="F168" s="152"/>
      <c r="G168" s="18"/>
      <c r="H168" s="149"/>
      <c r="I168" s="147"/>
      <c r="J168" s="151"/>
      <c r="K168" s="174"/>
      <c r="L168" s="143">
        <f t="shared" si="2"/>
        <v>0</v>
      </c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8.75" customHeight="1">
      <c r="A169" s="135"/>
      <c r="B169" s="118"/>
      <c r="C169" s="152"/>
      <c r="D169" s="8"/>
      <c r="E169" s="18"/>
      <c r="F169" s="152"/>
      <c r="G169" s="18"/>
      <c r="H169" s="149"/>
      <c r="I169" s="147"/>
      <c r="J169" s="151"/>
      <c r="K169" s="174"/>
      <c r="L169" s="143">
        <f t="shared" si="2"/>
        <v>0</v>
      </c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8.75" customHeight="1">
      <c r="A170" s="135"/>
      <c r="B170" s="118"/>
      <c r="C170" s="152"/>
      <c r="D170" s="8"/>
      <c r="E170" s="18"/>
      <c r="F170" s="152"/>
      <c r="G170" s="18"/>
      <c r="H170" s="149"/>
      <c r="I170" s="147"/>
      <c r="J170" s="151"/>
      <c r="K170" s="174"/>
      <c r="L170" s="143">
        <f t="shared" si="2"/>
        <v>0</v>
      </c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8.75" customHeight="1">
      <c r="A171" s="135"/>
      <c r="B171" s="118"/>
      <c r="C171" s="152"/>
      <c r="D171" s="8"/>
      <c r="E171" s="18"/>
      <c r="F171" s="152"/>
      <c r="G171" s="18"/>
      <c r="H171" s="149"/>
      <c r="I171" s="147"/>
      <c r="J171" s="151"/>
      <c r="K171" s="174"/>
      <c r="L171" s="143">
        <f t="shared" si="2"/>
        <v>0</v>
      </c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8.75" customHeight="1">
      <c r="A172" s="135"/>
      <c r="B172" s="118"/>
      <c r="C172" s="152"/>
      <c r="D172" s="8"/>
      <c r="E172" s="18"/>
      <c r="F172" s="152"/>
      <c r="G172" s="18"/>
      <c r="H172" s="149"/>
      <c r="I172" s="147"/>
      <c r="J172" s="151"/>
      <c r="K172" s="174"/>
      <c r="L172" s="143">
        <f t="shared" si="2"/>
        <v>0</v>
      </c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8.75" customHeight="1">
      <c r="A173" s="135"/>
      <c r="B173" s="118"/>
      <c r="C173" s="152"/>
      <c r="D173" s="8"/>
      <c r="E173" s="18"/>
      <c r="F173" s="152"/>
      <c r="G173" s="18"/>
      <c r="H173" s="149"/>
      <c r="I173" s="147"/>
      <c r="J173" s="151"/>
      <c r="K173" s="174"/>
      <c r="L173" s="143">
        <f t="shared" si="2"/>
        <v>0</v>
      </c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8.75" customHeight="1">
      <c r="A174" s="135"/>
      <c r="B174" s="118"/>
      <c r="C174" s="152"/>
      <c r="D174" s="8"/>
      <c r="E174" s="18"/>
      <c r="F174" s="152"/>
      <c r="G174" s="18"/>
      <c r="H174" s="149"/>
      <c r="I174" s="147"/>
      <c r="J174" s="151"/>
      <c r="K174" s="174"/>
      <c r="L174" s="143">
        <f t="shared" si="2"/>
        <v>0</v>
      </c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8.75" customHeight="1">
      <c r="A175" s="135"/>
      <c r="B175" s="118"/>
      <c r="C175" s="152"/>
      <c r="D175" s="8"/>
      <c r="E175" s="18"/>
      <c r="F175" s="152"/>
      <c r="G175" s="18"/>
      <c r="H175" s="149"/>
      <c r="I175" s="147"/>
      <c r="J175" s="151"/>
      <c r="K175" s="174"/>
      <c r="L175" s="143">
        <f t="shared" si="2"/>
        <v>0</v>
      </c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8.75" customHeight="1">
      <c r="A176" s="135"/>
      <c r="B176" s="118"/>
      <c r="C176" s="152"/>
      <c r="D176" s="8"/>
      <c r="E176" s="18"/>
      <c r="F176" s="152"/>
      <c r="G176" s="18"/>
      <c r="H176" s="149"/>
      <c r="I176" s="147"/>
      <c r="J176" s="151"/>
      <c r="K176" s="174"/>
      <c r="L176" s="143">
        <f t="shared" si="2"/>
        <v>0</v>
      </c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8.75" customHeight="1">
      <c r="A177" s="135"/>
      <c r="B177" s="118"/>
      <c r="C177" s="152"/>
      <c r="D177" s="8"/>
      <c r="E177" s="18"/>
      <c r="F177" s="152"/>
      <c r="G177" s="18"/>
      <c r="H177" s="149"/>
      <c r="I177" s="147"/>
      <c r="J177" s="151"/>
      <c r="K177" s="174"/>
      <c r="L177" s="143">
        <f t="shared" si="2"/>
        <v>0</v>
      </c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8.75" customHeight="1">
      <c r="A178" s="135"/>
      <c r="B178" s="118"/>
      <c r="C178" s="152"/>
      <c r="D178" s="8"/>
      <c r="E178" s="18"/>
      <c r="F178" s="152"/>
      <c r="G178" s="18"/>
      <c r="H178" s="149"/>
      <c r="I178" s="147"/>
      <c r="J178" s="151"/>
      <c r="K178" s="174"/>
      <c r="L178" s="143">
        <f t="shared" si="2"/>
        <v>0</v>
      </c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8.75" customHeight="1">
      <c r="A179" s="135"/>
      <c r="B179" s="118"/>
      <c r="C179" s="152"/>
      <c r="D179" s="8"/>
      <c r="E179" s="18"/>
      <c r="F179" s="152"/>
      <c r="G179" s="18"/>
      <c r="H179" s="149"/>
      <c r="I179" s="147"/>
      <c r="J179" s="151"/>
      <c r="K179" s="174"/>
      <c r="L179" s="143">
        <f t="shared" si="2"/>
        <v>0</v>
      </c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8.75" customHeight="1">
      <c r="A180" s="135"/>
      <c r="B180" s="118"/>
      <c r="C180" s="152"/>
      <c r="D180" s="8"/>
      <c r="E180" s="18"/>
      <c r="F180" s="152"/>
      <c r="G180" s="18"/>
      <c r="H180" s="149"/>
      <c r="I180" s="147"/>
      <c r="J180" s="151"/>
      <c r="K180" s="174"/>
      <c r="L180" s="143">
        <f t="shared" si="2"/>
        <v>0</v>
      </c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8.75" customHeight="1">
      <c r="A181" s="153"/>
      <c r="B181" s="18"/>
      <c r="C181" s="154"/>
      <c r="D181" s="77"/>
      <c r="E181" s="75"/>
      <c r="F181" s="154"/>
      <c r="G181" s="75"/>
      <c r="H181" s="156"/>
      <c r="I181" s="157"/>
      <c r="J181" s="158"/>
      <c r="K181" s="175"/>
      <c r="L181" s="176">
        <f t="shared" si="2"/>
        <v>0</v>
      </c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8.75" customHeight="1">
      <c r="A182" s="177"/>
      <c r="B182" s="177"/>
      <c r="C182" s="178"/>
      <c r="D182" s="178"/>
      <c r="E182" s="178"/>
      <c r="F182" s="178"/>
      <c r="G182" s="178"/>
      <c r="H182" s="179"/>
      <c r="I182" s="178"/>
      <c r="J182" s="180"/>
      <c r="K182" s="181"/>
      <c r="L182" s="18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8.75" customHeight="1">
      <c r="A183" s="183" t="s">
        <v>99</v>
      </c>
      <c r="B183" s="34"/>
      <c r="C183" s="34"/>
      <c r="D183" s="34"/>
      <c r="E183" s="34"/>
      <c r="F183" s="34"/>
      <c r="G183" s="34"/>
      <c r="H183" s="34"/>
      <c r="I183" s="34"/>
      <c r="J183" s="35"/>
      <c r="K183" s="184"/>
      <c r="L183" s="35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8.75" customHeight="1">
      <c r="A184" s="80"/>
      <c r="B184" s="3"/>
      <c r="C184" s="3"/>
      <c r="D184" s="3"/>
      <c r="E184" s="3"/>
      <c r="F184" s="3"/>
      <c r="G184" s="3"/>
      <c r="H184" s="3"/>
      <c r="I184" s="3"/>
      <c r="J184" s="81"/>
      <c r="K184" s="80"/>
      <c r="L184" s="81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8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8.75" customHeight="1">
      <c r="A186" s="185" t="s">
        <v>100</v>
      </c>
      <c r="B186" s="34"/>
      <c r="C186" s="34"/>
      <c r="D186" s="34"/>
      <c r="E186" s="34"/>
      <c r="F186" s="34"/>
      <c r="G186" s="34"/>
      <c r="H186" s="34"/>
      <c r="I186" s="34"/>
      <c r="J186" s="118"/>
      <c r="K186" s="186"/>
      <c r="L186" s="35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8.75" customHeight="1">
      <c r="A187" s="80"/>
      <c r="B187" s="3"/>
      <c r="C187" s="3"/>
      <c r="D187" s="3"/>
      <c r="E187" s="3"/>
      <c r="F187" s="3"/>
      <c r="G187" s="3"/>
      <c r="H187" s="3"/>
      <c r="I187" s="3"/>
      <c r="J187" s="114"/>
      <c r="K187" s="115"/>
      <c r="L187" s="81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8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8.75" customHeight="1">
      <c r="A189" s="185" t="s">
        <v>101</v>
      </c>
      <c r="B189" s="34"/>
      <c r="C189" s="34"/>
      <c r="D189" s="34"/>
      <c r="E189" s="34"/>
      <c r="F189" s="34"/>
      <c r="G189" s="34"/>
      <c r="H189" s="34"/>
      <c r="I189" s="34"/>
      <c r="J189" s="118"/>
      <c r="K189" s="187"/>
      <c r="L189" s="35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8.75" customHeight="1">
      <c r="A190" s="80"/>
      <c r="B190" s="3"/>
      <c r="C190" s="3"/>
      <c r="D190" s="3"/>
      <c r="E190" s="3"/>
      <c r="F190" s="3"/>
      <c r="G190" s="3"/>
      <c r="H190" s="3"/>
      <c r="I190" s="3"/>
      <c r="J190" s="114"/>
      <c r="K190" s="115"/>
      <c r="L190" s="81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8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8.75" customHeight="1">
      <c r="A192" s="188" t="s">
        <v>102</v>
      </c>
      <c r="B192" s="162"/>
      <c r="C192" s="162"/>
      <c r="D192" s="162"/>
      <c r="E192" s="162"/>
      <c r="F192" s="162"/>
      <c r="G192" s="162"/>
      <c r="H192" s="162"/>
      <c r="I192" s="162"/>
      <c r="J192" s="189"/>
      <c r="K192" s="187"/>
      <c r="L192" s="35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8.75" customHeight="1">
      <c r="A193" s="190" t="s">
        <v>103</v>
      </c>
      <c r="B193" s="191"/>
      <c r="C193" s="191"/>
      <c r="D193" s="191"/>
      <c r="E193" s="191"/>
      <c r="F193" s="191"/>
      <c r="G193" s="191"/>
      <c r="H193" s="191"/>
      <c r="I193" s="191"/>
      <c r="J193" s="192"/>
      <c r="K193" s="115"/>
      <c r="L193" s="81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8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8.75" customHeight="1">
      <c r="A195" s="185" t="s">
        <v>104</v>
      </c>
      <c r="B195" s="34"/>
      <c r="C195" s="34"/>
      <c r="D195" s="34"/>
      <c r="E195" s="34"/>
      <c r="F195" s="34"/>
      <c r="G195" s="34"/>
      <c r="H195" s="34"/>
      <c r="I195" s="34"/>
      <c r="J195" s="118"/>
      <c r="K195" s="193"/>
      <c r="L195" s="35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8.75" customHeight="1">
      <c r="A196" s="80"/>
      <c r="B196" s="3"/>
      <c r="C196" s="3"/>
      <c r="D196" s="3"/>
      <c r="E196" s="3"/>
      <c r="F196" s="3"/>
      <c r="G196" s="3"/>
      <c r="H196" s="3"/>
      <c r="I196" s="3"/>
      <c r="J196" s="114"/>
      <c r="K196" s="115"/>
      <c r="L196" s="81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8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8.75" customHeight="1">
      <c r="A198" s="185" t="s">
        <v>105</v>
      </c>
      <c r="B198" s="34"/>
      <c r="C198" s="34"/>
      <c r="D198" s="34"/>
      <c r="E198" s="34"/>
      <c r="F198" s="34"/>
      <c r="G198" s="34"/>
      <c r="H198" s="34"/>
      <c r="I198" s="34"/>
      <c r="J198" s="118"/>
      <c r="K198" s="187"/>
      <c r="L198" s="35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8.75" customHeight="1">
      <c r="A199" s="80"/>
      <c r="B199" s="3"/>
      <c r="C199" s="3"/>
      <c r="D199" s="3"/>
      <c r="E199" s="3"/>
      <c r="F199" s="3"/>
      <c r="G199" s="3"/>
      <c r="H199" s="3"/>
      <c r="I199" s="3"/>
      <c r="J199" s="114"/>
      <c r="K199" s="115"/>
      <c r="L199" s="81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8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8.75" customHeight="1">
      <c r="A201" s="185" t="s">
        <v>106</v>
      </c>
      <c r="B201" s="34"/>
      <c r="C201" s="34"/>
      <c r="D201" s="34"/>
      <c r="E201" s="34"/>
      <c r="F201" s="34"/>
      <c r="G201" s="34"/>
      <c r="H201" s="34"/>
      <c r="I201" s="34"/>
      <c r="J201" s="118"/>
      <c r="K201" s="186">
        <f>K332</f>
        <v>0</v>
      </c>
      <c r="L201" s="35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8.75" customHeight="1">
      <c r="A202" s="80"/>
      <c r="B202" s="3"/>
      <c r="C202" s="3"/>
      <c r="D202" s="3"/>
      <c r="E202" s="3"/>
      <c r="F202" s="3"/>
      <c r="G202" s="3"/>
      <c r="H202" s="3"/>
      <c r="I202" s="3"/>
      <c r="J202" s="114"/>
      <c r="K202" s="115"/>
      <c r="L202" s="81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8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8.75" customHeight="1">
      <c r="A204" s="185" t="s">
        <v>107</v>
      </c>
      <c r="B204" s="34"/>
      <c r="C204" s="34"/>
      <c r="D204" s="34"/>
      <c r="E204" s="34"/>
      <c r="F204" s="34"/>
      <c r="G204" s="34"/>
      <c r="H204" s="34"/>
      <c r="I204" s="34"/>
      <c r="J204" s="118"/>
      <c r="K204" s="193"/>
      <c r="L204" s="35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8.75" customHeight="1">
      <c r="A205" s="80"/>
      <c r="B205" s="3"/>
      <c r="C205" s="3"/>
      <c r="D205" s="3"/>
      <c r="E205" s="3"/>
      <c r="F205" s="3"/>
      <c r="G205" s="3"/>
      <c r="H205" s="3"/>
      <c r="I205" s="3"/>
      <c r="J205" s="114"/>
      <c r="K205" s="115"/>
      <c r="L205" s="81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8.75" customHeight="1">
      <c r="A206" s="32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8.75" customHeight="1">
      <c r="A207" s="116" t="s">
        <v>108</v>
      </c>
      <c r="B207" s="34"/>
      <c r="C207" s="34"/>
      <c r="D207" s="34"/>
      <c r="E207" s="34"/>
      <c r="F207" s="34"/>
      <c r="G207" s="34"/>
      <c r="H207" s="34"/>
      <c r="I207" s="34"/>
      <c r="J207" s="118"/>
      <c r="K207" s="194">
        <f>(+K183+L112+K186+K189+K195+L147+K198+K192)*K209</f>
        <v>0</v>
      </c>
      <c r="L207" s="35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8.75" customHeight="1">
      <c r="A208" s="59"/>
      <c r="B208" s="49"/>
      <c r="C208" s="49"/>
      <c r="D208" s="49"/>
      <c r="E208" s="49"/>
      <c r="F208" s="49"/>
      <c r="G208" s="49"/>
      <c r="H208" s="49"/>
      <c r="I208" s="49"/>
      <c r="J208" s="50"/>
      <c r="K208" s="48"/>
      <c r="L208" s="60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8.0" customHeight="1">
      <c r="A209" s="195" t="s">
        <v>109</v>
      </c>
      <c r="B209" s="64"/>
      <c r="C209" s="64"/>
      <c r="D209" s="64"/>
      <c r="E209" s="64"/>
      <c r="F209" s="64"/>
      <c r="G209" s="64"/>
      <c r="H209" s="64"/>
      <c r="I209" s="64"/>
      <c r="J209" s="62"/>
      <c r="K209" s="196"/>
      <c r="L209" s="65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8.75" customHeight="1">
      <c r="A210" s="59"/>
      <c r="B210" s="49"/>
      <c r="C210" s="49"/>
      <c r="D210" s="49"/>
      <c r="E210" s="49"/>
      <c r="F210" s="49"/>
      <c r="G210" s="49"/>
      <c r="H210" s="49"/>
      <c r="I210" s="49"/>
      <c r="J210" s="50"/>
      <c r="K210" s="48"/>
      <c r="L210" s="60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8.75" customHeight="1">
      <c r="A211" s="197" t="s">
        <v>110</v>
      </c>
      <c r="B211" s="64"/>
      <c r="C211" s="64"/>
      <c r="D211" s="64"/>
      <c r="E211" s="64"/>
      <c r="F211" s="64"/>
      <c r="G211" s="64"/>
      <c r="H211" s="64"/>
      <c r="I211" s="64"/>
      <c r="J211" s="62"/>
      <c r="K211" s="92">
        <f>(K183+L112+K186+K189+K195+K198+K201+L147+K204+K192)*K214</f>
        <v>0</v>
      </c>
      <c r="L211" s="65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8.75" customHeight="1">
      <c r="A212" s="70"/>
      <c r="J212" s="46"/>
      <c r="K212" s="96"/>
      <c r="L212" s="198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8.75" customHeight="1">
      <c r="A213" s="59"/>
      <c r="B213" s="49"/>
      <c r="C213" s="49"/>
      <c r="D213" s="49"/>
      <c r="E213" s="49"/>
      <c r="F213" s="49"/>
      <c r="G213" s="49"/>
      <c r="H213" s="49"/>
      <c r="I213" s="49"/>
      <c r="J213" s="50"/>
      <c r="K213" s="48"/>
      <c r="L213" s="60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8.75" customHeight="1">
      <c r="A214" s="195" t="s">
        <v>111</v>
      </c>
      <c r="B214" s="64"/>
      <c r="C214" s="64"/>
      <c r="D214" s="64"/>
      <c r="E214" s="64"/>
      <c r="F214" s="64"/>
      <c r="G214" s="64"/>
      <c r="H214" s="64"/>
      <c r="I214" s="64"/>
      <c r="J214" s="62"/>
      <c r="K214" s="199"/>
      <c r="L214" s="65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8.0" customHeight="1">
      <c r="A215" s="59"/>
      <c r="B215" s="49"/>
      <c r="C215" s="49"/>
      <c r="D215" s="49"/>
      <c r="E215" s="49"/>
      <c r="F215" s="49"/>
      <c r="G215" s="49"/>
      <c r="H215" s="49"/>
      <c r="I215" s="49"/>
      <c r="J215" s="50"/>
      <c r="K215" s="48"/>
      <c r="L215" s="60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8.0" customHeight="1">
      <c r="A216" s="200" t="s">
        <v>112</v>
      </c>
      <c r="B216" s="64"/>
      <c r="C216" s="64"/>
      <c r="D216" s="64"/>
      <c r="E216" s="64"/>
      <c r="F216" s="64"/>
      <c r="G216" s="64"/>
      <c r="H216" s="64"/>
      <c r="I216" s="64"/>
      <c r="J216" s="62"/>
      <c r="K216" s="92">
        <f>(SUM(K183,L112,K186,K189,K195,K198,L147,K201,K204,K207,K211))</f>
        <v>0</v>
      </c>
      <c r="L216" s="65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8.75" customHeight="1">
      <c r="A217" s="80"/>
      <c r="B217" s="3"/>
      <c r="C217" s="3"/>
      <c r="D217" s="3"/>
      <c r="E217" s="3"/>
      <c r="F217" s="3"/>
      <c r="G217" s="3"/>
      <c r="H217" s="3"/>
      <c r="I217" s="3"/>
      <c r="J217" s="114"/>
      <c r="K217" s="115"/>
      <c r="L217" s="81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8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49.5" customHeight="1">
      <c r="A219" s="117" t="s">
        <v>113</v>
      </c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5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8.75" hidden="1" customHeight="1">
      <c r="A220" s="5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60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8.75" customHeight="1">
      <c r="A221" s="200" t="s">
        <v>114</v>
      </c>
      <c r="B221" s="62"/>
      <c r="C221" s="201" t="s">
        <v>115</v>
      </c>
      <c r="D221" s="202" t="s">
        <v>116</v>
      </c>
      <c r="E221" s="64"/>
      <c r="F221" s="64"/>
      <c r="G221" s="64"/>
      <c r="H221" s="64"/>
      <c r="I221" s="64"/>
      <c r="J221" s="62"/>
      <c r="K221" s="203" t="s">
        <v>117</v>
      </c>
      <c r="L221" s="9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66.0" customHeight="1">
      <c r="A222" s="70"/>
      <c r="B222" s="46"/>
      <c r="C222" s="204"/>
      <c r="D222" s="96"/>
      <c r="J222" s="46"/>
      <c r="K222" s="205" t="s">
        <v>118</v>
      </c>
      <c r="L222" s="9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8.75" customHeight="1">
      <c r="A223" s="59"/>
      <c r="B223" s="50"/>
      <c r="C223" s="47"/>
      <c r="D223" s="48"/>
      <c r="E223" s="49"/>
      <c r="F223" s="49"/>
      <c r="G223" s="49"/>
      <c r="H223" s="49"/>
      <c r="I223" s="49"/>
      <c r="J223" s="50"/>
      <c r="K223" s="206" t="s">
        <v>119</v>
      </c>
      <c r="L223" s="207" t="s">
        <v>120</v>
      </c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8.75" customHeight="1">
      <c r="A224" s="208"/>
      <c r="B224" s="18"/>
      <c r="C224" s="209"/>
      <c r="D224" s="152" t="s">
        <v>121</v>
      </c>
      <c r="E224" s="8"/>
      <c r="F224" s="8"/>
      <c r="G224" s="8"/>
      <c r="H224" s="8"/>
      <c r="I224" s="8"/>
      <c r="J224" s="18"/>
      <c r="K224" s="210"/>
      <c r="L224" s="211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9.5" customHeight="1">
      <c r="A225" s="208"/>
      <c r="B225" s="18"/>
      <c r="C225" s="209"/>
      <c r="D225" s="152" t="s">
        <v>121</v>
      </c>
      <c r="E225" s="8"/>
      <c r="F225" s="8"/>
      <c r="G225" s="8"/>
      <c r="H225" s="8"/>
      <c r="I225" s="8"/>
      <c r="J225" s="18"/>
      <c r="K225" s="210"/>
      <c r="L225" s="211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8.75" customHeight="1">
      <c r="A226" s="208"/>
      <c r="B226" s="18"/>
      <c r="C226" s="209"/>
      <c r="D226" s="152" t="s">
        <v>121</v>
      </c>
      <c r="E226" s="8"/>
      <c r="F226" s="8"/>
      <c r="G226" s="8"/>
      <c r="H226" s="8"/>
      <c r="I226" s="8"/>
      <c r="J226" s="18"/>
      <c r="K226" s="210"/>
      <c r="L226" s="211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8.75" customHeight="1">
      <c r="A227" s="208"/>
      <c r="B227" s="18"/>
      <c r="C227" s="209"/>
      <c r="D227" s="152" t="s">
        <v>121</v>
      </c>
      <c r="E227" s="8"/>
      <c r="F227" s="8"/>
      <c r="G227" s="8"/>
      <c r="H227" s="8"/>
      <c r="I227" s="8"/>
      <c r="J227" s="18"/>
      <c r="K227" s="210"/>
      <c r="L227" s="211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24.0" customHeight="1">
      <c r="A228" s="208"/>
      <c r="B228" s="18"/>
      <c r="C228" s="209"/>
      <c r="D228" s="212" t="s">
        <v>121</v>
      </c>
      <c r="E228" s="8"/>
      <c r="F228" s="8"/>
      <c r="G228" s="8"/>
      <c r="H228" s="8"/>
      <c r="I228" s="8"/>
      <c r="J228" s="18"/>
      <c r="K228" s="210"/>
      <c r="L228" s="211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8.75" customHeight="1">
      <c r="A229" s="213"/>
      <c r="B229" s="214"/>
      <c r="C229" s="215"/>
      <c r="D229" s="212" t="s">
        <v>121</v>
      </c>
      <c r="E229" s="8"/>
      <c r="F229" s="8"/>
      <c r="G229" s="8"/>
      <c r="H229" s="8"/>
      <c r="I229" s="8"/>
      <c r="J229" s="18"/>
      <c r="K229" s="216"/>
      <c r="L229" s="217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8.75" customHeight="1">
      <c r="A230" s="213"/>
      <c r="B230" s="214"/>
      <c r="C230" s="215"/>
      <c r="D230" s="212" t="s">
        <v>121</v>
      </c>
      <c r="E230" s="8"/>
      <c r="F230" s="8"/>
      <c r="G230" s="8"/>
      <c r="H230" s="8"/>
      <c r="I230" s="8"/>
      <c r="J230" s="18"/>
      <c r="K230" s="216"/>
      <c r="L230" s="217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8.75" customHeight="1">
      <c r="A231" s="213"/>
      <c r="B231" s="214"/>
      <c r="C231" s="215"/>
      <c r="D231" s="212" t="s">
        <v>121</v>
      </c>
      <c r="E231" s="8"/>
      <c r="F231" s="8"/>
      <c r="G231" s="8"/>
      <c r="H231" s="8"/>
      <c r="I231" s="8"/>
      <c r="J231" s="18"/>
      <c r="K231" s="216"/>
      <c r="L231" s="217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8.75" customHeight="1">
      <c r="A232" s="213"/>
      <c r="B232" s="214"/>
      <c r="C232" s="215"/>
      <c r="D232" s="212" t="s">
        <v>121</v>
      </c>
      <c r="E232" s="8"/>
      <c r="F232" s="8"/>
      <c r="G232" s="8"/>
      <c r="H232" s="8"/>
      <c r="I232" s="8"/>
      <c r="J232" s="18"/>
      <c r="K232" s="216"/>
      <c r="L232" s="217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8.75" customHeight="1">
      <c r="A233" s="213"/>
      <c r="B233" s="214"/>
      <c r="C233" s="215"/>
      <c r="D233" s="212" t="s">
        <v>121</v>
      </c>
      <c r="E233" s="8"/>
      <c r="F233" s="8"/>
      <c r="G233" s="8"/>
      <c r="H233" s="8"/>
      <c r="I233" s="8"/>
      <c r="J233" s="18"/>
      <c r="K233" s="216"/>
      <c r="L233" s="217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8.75" customHeight="1">
      <c r="A234" s="213"/>
      <c r="B234" s="214"/>
      <c r="C234" s="215"/>
      <c r="D234" s="212" t="s">
        <v>121</v>
      </c>
      <c r="E234" s="8"/>
      <c r="F234" s="8"/>
      <c r="G234" s="8"/>
      <c r="H234" s="8"/>
      <c r="I234" s="8"/>
      <c r="J234" s="18"/>
      <c r="K234" s="216"/>
      <c r="L234" s="217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8.75" customHeight="1">
      <c r="A235" s="213"/>
      <c r="B235" s="214"/>
      <c r="C235" s="215"/>
      <c r="D235" s="212" t="s">
        <v>121</v>
      </c>
      <c r="E235" s="8"/>
      <c r="F235" s="8"/>
      <c r="G235" s="8"/>
      <c r="H235" s="8"/>
      <c r="I235" s="8"/>
      <c r="J235" s="18"/>
      <c r="K235" s="216"/>
      <c r="L235" s="217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8.75" customHeight="1">
      <c r="A236" s="213"/>
      <c r="B236" s="214"/>
      <c r="C236" s="215"/>
      <c r="D236" s="212" t="s">
        <v>121</v>
      </c>
      <c r="E236" s="8"/>
      <c r="F236" s="8"/>
      <c r="G236" s="8"/>
      <c r="H236" s="8"/>
      <c r="I236" s="8"/>
      <c r="J236" s="18"/>
      <c r="K236" s="216"/>
      <c r="L236" s="217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8.75" customHeight="1">
      <c r="A237" s="218"/>
      <c r="B237" s="77"/>
      <c r="C237" s="77"/>
      <c r="D237" s="77"/>
      <c r="E237" s="77"/>
      <c r="F237" s="77"/>
      <c r="G237" s="77"/>
      <c r="H237" s="77"/>
      <c r="I237" s="77"/>
      <c r="J237" s="75"/>
      <c r="K237" s="219"/>
      <c r="L237" s="78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8.75" customHeight="1">
      <c r="A238" s="58"/>
      <c r="B238" s="58"/>
      <c r="C238" s="58"/>
      <c r="D238" s="58"/>
      <c r="E238" s="58"/>
      <c r="F238" s="58"/>
      <c r="G238" s="58"/>
      <c r="H238" s="58"/>
      <c r="I238" s="58"/>
      <c r="J238" s="58"/>
      <c r="K238" s="220"/>
      <c r="L238" s="220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8.75" customHeight="1">
      <c r="A239" s="117" t="s">
        <v>122</v>
      </c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5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9.5" customHeight="1">
      <c r="A240" s="5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60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8.75" customHeight="1">
      <c r="A241" s="221" t="s">
        <v>123</v>
      </c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18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8.75" customHeight="1">
      <c r="A242" s="222" t="s">
        <v>124</v>
      </c>
      <c r="B242" s="56" t="s">
        <v>125</v>
      </c>
      <c r="C242" s="8"/>
      <c r="D242" s="8"/>
      <c r="E242" s="8"/>
      <c r="F242" s="8"/>
      <c r="G242" s="8"/>
      <c r="H242" s="8"/>
      <c r="I242" s="8"/>
      <c r="J242" s="8"/>
      <c r="K242" s="8"/>
      <c r="L242" s="18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8.75" customHeight="1">
      <c r="A243" s="222" t="s">
        <v>124</v>
      </c>
      <c r="B243" s="56" t="s">
        <v>125</v>
      </c>
      <c r="C243" s="8"/>
      <c r="D243" s="8"/>
      <c r="E243" s="8"/>
      <c r="F243" s="8"/>
      <c r="G243" s="8"/>
      <c r="H243" s="8"/>
      <c r="I243" s="8"/>
      <c r="J243" s="8"/>
      <c r="K243" s="8"/>
      <c r="L243" s="18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8.75" customHeight="1">
      <c r="A244" s="222" t="s">
        <v>124</v>
      </c>
      <c r="B244" s="56" t="s">
        <v>125</v>
      </c>
      <c r="C244" s="8"/>
      <c r="D244" s="8"/>
      <c r="E244" s="8"/>
      <c r="F244" s="8"/>
      <c r="G244" s="8"/>
      <c r="H244" s="8"/>
      <c r="I244" s="8"/>
      <c r="J244" s="8"/>
      <c r="K244" s="8"/>
      <c r="L244" s="18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8.75" customHeight="1">
      <c r="A245" s="222" t="s">
        <v>124</v>
      </c>
      <c r="B245" s="56" t="s">
        <v>125</v>
      </c>
      <c r="C245" s="8"/>
      <c r="D245" s="8"/>
      <c r="E245" s="8"/>
      <c r="F245" s="8"/>
      <c r="G245" s="8"/>
      <c r="H245" s="8"/>
      <c r="I245" s="8"/>
      <c r="J245" s="8"/>
      <c r="K245" s="8"/>
      <c r="L245" s="18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8.75" customHeight="1">
      <c r="A246" s="222" t="s">
        <v>124</v>
      </c>
      <c r="B246" s="56" t="s">
        <v>125</v>
      </c>
      <c r="C246" s="8"/>
      <c r="D246" s="8"/>
      <c r="E246" s="8"/>
      <c r="F246" s="8"/>
      <c r="G246" s="8"/>
      <c r="H246" s="8"/>
      <c r="I246" s="8"/>
      <c r="J246" s="8"/>
      <c r="K246" s="8"/>
      <c r="L246" s="18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8.75" customHeight="1">
      <c r="A247" s="222" t="s">
        <v>124</v>
      </c>
      <c r="B247" s="56" t="s">
        <v>125</v>
      </c>
      <c r="C247" s="8"/>
      <c r="D247" s="8"/>
      <c r="E247" s="8"/>
      <c r="F247" s="8"/>
      <c r="G247" s="8"/>
      <c r="H247" s="8"/>
      <c r="I247" s="8"/>
      <c r="J247" s="8"/>
      <c r="K247" s="8"/>
      <c r="L247" s="18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8.75" customHeight="1">
      <c r="A248" s="222" t="s">
        <v>124</v>
      </c>
      <c r="B248" s="56" t="s">
        <v>125</v>
      </c>
      <c r="C248" s="8"/>
      <c r="D248" s="8"/>
      <c r="E248" s="8"/>
      <c r="F248" s="8"/>
      <c r="G248" s="8"/>
      <c r="H248" s="8"/>
      <c r="I248" s="8"/>
      <c r="J248" s="8"/>
      <c r="K248" s="8"/>
      <c r="L248" s="18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8.75" customHeight="1">
      <c r="A249" s="222" t="s">
        <v>124</v>
      </c>
      <c r="B249" s="56" t="s">
        <v>125</v>
      </c>
      <c r="C249" s="8"/>
      <c r="D249" s="8"/>
      <c r="E249" s="8"/>
      <c r="F249" s="8"/>
      <c r="G249" s="8"/>
      <c r="H249" s="8"/>
      <c r="I249" s="8"/>
      <c r="J249" s="8"/>
      <c r="K249" s="8"/>
      <c r="L249" s="18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8.75" customHeight="1">
      <c r="A250" s="222" t="s">
        <v>124</v>
      </c>
      <c r="B250" s="56" t="s">
        <v>125</v>
      </c>
      <c r="C250" s="8"/>
      <c r="D250" s="8"/>
      <c r="E250" s="8"/>
      <c r="F250" s="8"/>
      <c r="G250" s="8"/>
      <c r="H250" s="8"/>
      <c r="I250" s="8"/>
      <c r="J250" s="8"/>
      <c r="K250" s="8"/>
      <c r="L250" s="18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8.75" customHeight="1">
      <c r="A251" s="222" t="s">
        <v>124</v>
      </c>
      <c r="B251" s="56" t="s">
        <v>125</v>
      </c>
      <c r="C251" s="8"/>
      <c r="D251" s="8"/>
      <c r="E251" s="8"/>
      <c r="F251" s="8"/>
      <c r="G251" s="8"/>
      <c r="H251" s="8"/>
      <c r="I251" s="8"/>
      <c r="J251" s="8"/>
      <c r="K251" s="8"/>
      <c r="L251" s="18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8.75" customHeight="1">
      <c r="A252" s="222" t="s">
        <v>124</v>
      </c>
      <c r="B252" s="56" t="s">
        <v>125</v>
      </c>
      <c r="C252" s="8"/>
      <c r="D252" s="8"/>
      <c r="E252" s="8"/>
      <c r="F252" s="8"/>
      <c r="G252" s="8"/>
      <c r="H252" s="8"/>
      <c r="I252" s="8"/>
      <c r="J252" s="8"/>
      <c r="K252" s="8"/>
      <c r="L252" s="18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8.75" customHeight="1">
      <c r="A253" s="222" t="s">
        <v>124</v>
      </c>
      <c r="B253" s="56" t="s">
        <v>125</v>
      </c>
      <c r="C253" s="8"/>
      <c r="D253" s="8"/>
      <c r="E253" s="8"/>
      <c r="F253" s="8"/>
      <c r="G253" s="8"/>
      <c r="H253" s="8"/>
      <c r="I253" s="8"/>
      <c r="J253" s="8"/>
      <c r="K253" s="8"/>
      <c r="L253" s="18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8.75" customHeight="1">
      <c r="A254" s="222" t="s">
        <v>124</v>
      </c>
      <c r="B254" s="56" t="s">
        <v>125</v>
      </c>
      <c r="C254" s="8"/>
      <c r="D254" s="8"/>
      <c r="E254" s="8"/>
      <c r="F254" s="8"/>
      <c r="G254" s="8"/>
      <c r="H254" s="8"/>
      <c r="I254" s="8"/>
      <c r="J254" s="8"/>
      <c r="K254" s="8"/>
      <c r="L254" s="18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8.75" customHeight="1">
      <c r="A255" s="222" t="s">
        <v>124</v>
      </c>
      <c r="B255" s="56" t="s">
        <v>125</v>
      </c>
      <c r="C255" s="8"/>
      <c r="D255" s="8"/>
      <c r="E255" s="8"/>
      <c r="F255" s="8"/>
      <c r="G255" s="8"/>
      <c r="H255" s="8"/>
      <c r="I255" s="8"/>
      <c r="J255" s="8"/>
      <c r="K255" s="8"/>
      <c r="L255" s="18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8.75" customHeight="1">
      <c r="A256" s="19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18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8.75" customHeight="1">
      <c r="A257" s="58"/>
      <c r="B257" s="58"/>
      <c r="C257" s="58"/>
      <c r="D257" s="58"/>
      <c r="E257" s="58"/>
      <c r="F257" s="58"/>
      <c r="G257" s="58"/>
      <c r="H257" s="58"/>
      <c r="I257" s="58"/>
      <c r="J257" s="58"/>
      <c r="K257" s="220"/>
      <c r="L257" s="220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8.75" customHeight="1">
      <c r="A258" s="223" t="s">
        <v>126</v>
      </c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8.75" customHeight="1">
      <c r="A259" s="223" t="s">
        <v>127</v>
      </c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8.75" customHeight="1">
      <c r="A260" s="224"/>
      <c r="B260" s="224"/>
      <c r="C260" s="224"/>
      <c r="D260" s="224"/>
      <c r="E260" s="224"/>
      <c r="F260" s="224"/>
      <c r="G260" s="224"/>
      <c r="H260" s="224"/>
      <c r="I260" s="224"/>
      <c r="J260" s="224"/>
      <c r="K260" s="224"/>
      <c r="L260" s="224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8.75" customHeight="1">
      <c r="A261" s="116" t="s">
        <v>128</v>
      </c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5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8.75" customHeight="1">
      <c r="A262" s="80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81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8.75" customHeight="1">
      <c r="A263" s="225"/>
      <c r="B263" s="226" t="s">
        <v>129</v>
      </c>
      <c r="C263" s="11"/>
      <c r="D263" s="11"/>
      <c r="E263" s="12"/>
      <c r="F263" s="227"/>
      <c r="G263" s="228" t="s">
        <v>130</v>
      </c>
      <c r="H263" s="5"/>
      <c r="I263" s="5"/>
      <c r="J263" s="5"/>
      <c r="K263" s="6"/>
      <c r="L263" s="229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8.75" customHeight="1">
      <c r="A264" s="230"/>
      <c r="B264" s="231" t="s">
        <v>131</v>
      </c>
      <c r="C264" s="232" t="s">
        <v>78</v>
      </c>
      <c r="D264" s="232" t="s">
        <v>131</v>
      </c>
      <c r="E264" s="233" t="s">
        <v>78</v>
      </c>
      <c r="F264" s="2"/>
      <c r="G264" s="234" t="s">
        <v>132</v>
      </c>
      <c r="H264" s="235" t="s">
        <v>133</v>
      </c>
      <c r="I264" s="75"/>
      <c r="J264" s="235" t="s">
        <v>78</v>
      </c>
      <c r="K264" s="78"/>
      <c r="L264" s="236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8.75" customHeight="1">
      <c r="A265" s="230"/>
      <c r="B265" s="237">
        <v>1.0</v>
      </c>
      <c r="C265" s="238"/>
      <c r="D265" s="239">
        <v>31.0</v>
      </c>
      <c r="E265" s="238"/>
      <c r="F265" s="2"/>
      <c r="G265" s="240"/>
      <c r="H265" s="34"/>
      <c r="I265" s="34"/>
      <c r="J265" s="34"/>
      <c r="K265" s="35"/>
      <c r="L265" s="236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8.75" customHeight="1">
      <c r="A266" s="230"/>
      <c r="B266" s="237">
        <v>2.0</v>
      </c>
      <c r="C266" s="238"/>
      <c r="D266" s="239">
        <v>32.0</v>
      </c>
      <c r="E266" s="238"/>
      <c r="F266" s="2"/>
      <c r="G266" s="59"/>
      <c r="H266" s="49"/>
      <c r="I266" s="49"/>
      <c r="J266" s="49"/>
      <c r="K266" s="60"/>
      <c r="L266" s="236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8.75" customHeight="1">
      <c r="A267" s="230"/>
      <c r="B267" s="237">
        <v>3.0</v>
      </c>
      <c r="C267" s="238"/>
      <c r="D267" s="239">
        <v>33.0</v>
      </c>
      <c r="E267" s="238"/>
      <c r="F267" s="2"/>
      <c r="G267" s="241" t="s">
        <v>134</v>
      </c>
      <c r="H267" s="242" t="s">
        <v>135</v>
      </c>
      <c r="I267" s="18"/>
      <c r="J267" s="243"/>
      <c r="K267" s="9"/>
      <c r="L267" s="236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8.75" customHeight="1">
      <c r="A268" s="230"/>
      <c r="B268" s="237">
        <v>4.0</v>
      </c>
      <c r="C268" s="238"/>
      <c r="D268" s="239">
        <v>34.0</v>
      </c>
      <c r="E268" s="238"/>
      <c r="F268" s="2"/>
      <c r="G268" s="244"/>
      <c r="H268" s="245" t="s">
        <v>136</v>
      </c>
      <c r="I268" s="75"/>
      <c r="J268" s="246"/>
      <c r="K268" s="78"/>
      <c r="L268" s="236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8.75" customHeight="1">
      <c r="A269" s="230"/>
      <c r="B269" s="237">
        <v>5.0</v>
      </c>
      <c r="C269" s="238"/>
      <c r="D269" s="239">
        <v>35.0</v>
      </c>
      <c r="E269" s="238"/>
      <c r="F269" s="2"/>
      <c r="G269" s="240"/>
      <c r="H269" s="34"/>
      <c r="I269" s="34"/>
      <c r="J269" s="34"/>
      <c r="K269" s="35"/>
      <c r="L269" s="236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8.75" customHeight="1">
      <c r="A270" s="230"/>
      <c r="B270" s="237">
        <v>6.0</v>
      </c>
      <c r="C270" s="238"/>
      <c r="D270" s="239">
        <v>36.0</v>
      </c>
      <c r="E270" s="238"/>
      <c r="F270" s="2"/>
      <c r="G270" s="59"/>
      <c r="H270" s="49"/>
      <c r="I270" s="49"/>
      <c r="J270" s="49"/>
      <c r="K270" s="60"/>
      <c r="L270" s="236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8.75" customHeight="1">
      <c r="A271" s="230"/>
      <c r="B271" s="237">
        <v>7.0</v>
      </c>
      <c r="C271" s="238"/>
      <c r="D271" s="239">
        <v>37.0</v>
      </c>
      <c r="E271" s="238"/>
      <c r="F271" s="2"/>
      <c r="G271" s="241" t="s">
        <v>137</v>
      </c>
      <c r="H271" s="242" t="s">
        <v>135</v>
      </c>
      <c r="I271" s="18"/>
      <c r="J271" s="243"/>
      <c r="K271" s="9"/>
      <c r="L271" s="236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8.75" customHeight="1">
      <c r="A272" s="230"/>
      <c r="B272" s="237">
        <v>8.0</v>
      </c>
      <c r="C272" s="238"/>
      <c r="D272" s="239">
        <v>38.0</v>
      </c>
      <c r="E272" s="238"/>
      <c r="F272" s="2"/>
      <c r="G272" s="244"/>
      <c r="H272" s="245" t="s">
        <v>136</v>
      </c>
      <c r="I272" s="75"/>
      <c r="J272" s="246"/>
      <c r="K272" s="78"/>
      <c r="L272" s="236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8.75" customHeight="1">
      <c r="A273" s="230"/>
      <c r="B273" s="237">
        <v>9.0</v>
      </c>
      <c r="C273" s="238"/>
      <c r="D273" s="239">
        <v>39.0</v>
      </c>
      <c r="E273" s="238"/>
      <c r="F273" s="2"/>
      <c r="G273" s="240"/>
      <c r="H273" s="34"/>
      <c r="I273" s="34"/>
      <c r="J273" s="34"/>
      <c r="K273" s="35"/>
      <c r="L273" s="236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8.75" customHeight="1">
      <c r="A274" s="230"/>
      <c r="B274" s="237">
        <v>10.0</v>
      </c>
      <c r="C274" s="238"/>
      <c r="D274" s="239">
        <v>40.0</v>
      </c>
      <c r="E274" s="238"/>
      <c r="F274" s="2"/>
      <c r="G274" s="59"/>
      <c r="H274" s="49"/>
      <c r="I274" s="49"/>
      <c r="J274" s="49"/>
      <c r="K274" s="60"/>
      <c r="L274" s="236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8.75" customHeight="1">
      <c r="A275" s="230"/>
      <c r="B275" s="237">
        <v>11.0</v>
      </c>
      <c r="C275" s="238"/>
      <c r="D275" s="239">
        <v>41.0</v>
      </c>
      <c r="E275" s="238"/>
      <c r="F275" s="2"/>
      <c r="G275" s="241" t="s">
        <v>138</v>
      </c>
      <c r="H275" s="242" t="s">
        <v>135</v>
      </c>
      <c r="I275" s="18"/>
      <c r="J275" s="243"/>
      <c r="K275" s="9"/>
      <c r="L275" s="236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8.75" customHeight="1">
      <c r="A276" s="230"/>
      <c r="B276" s="237">
        <v>12.0</v>
      </c>
      <c r="C276" s="238"/>
      <c r="D276" s="239">
        <v>42.0</v>
      </c>
      <c r="E276" s="238"/>
      <c r="F276" s="2"/>
      <c r="G276" s="244"/>
      <c r="H276" s="245" t="s">
        <v>136</v>
      </c>
      <c r="I276" s="75"/>
      <c r="J276" s="246"/>
      <c r="K276" s="78"/>
      <c r="L276" s="236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8.0" customHeight="1">
      <c r="A277" s="230"/>
      <c r="B277" s="237">
        <v>13.0</v>
      </c>
      <c r="C277" s="238"/>
      <c r="D277" s="239">
        <v>43.0</v>
      </c>
      <c r="E277" s="238"/>
      <c r="F277" s="2"/>
      <c r="G277" s="240"/>
      <c r="H277" s="34"/>
      <c r="I277" s="34"/>
      <c r="J277" s="34"/>
      <c r="K277" s="35"/>
      <c r="L277" s="236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8.75" customHeight="1">
      <c r="A278" s="230"/>
      <c r="B278" s="237">
        <v>14.0</v>
      </c>
      <c r="C278" s="238"/>
      <c r="D278" s="239">
        <v>44.0</v>
      </c>
      <c r="E278" s="238"/>
      <c r="F278" s="2"/>
      <c r="G278" s="59"/>
      <c r="H278" s="49"/>
      <c r="I278" s="49"/>
      <c r="J278" s="49"/>
      <c r="K278" s="60"/>
      <c r="L278" s="236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8.75" customHeight="1">
      <c r="A279" s="230"/>
      <c r="B279" s="237">
        <v>15.0</v>
      </c>
      <c r="C279" s="238"/>
      <c r="D279" s="239">
        <v>45.0</v>
      </c>
      <c r="E279" s="238"/>
      <c r="F279" s="2"/>
      <c r="G279" s="241" t="s">
        <v>139</v>
      </c>
      <c r="H279" s="242" t="s">
        <v>135</v>
      </c>
      <c r="I279" s="18"/>
      <c r="J279" s="243"/>
      <c r="K279" s="9"/>
      <c r="L279" s="236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8.0" customHeight="1">
      <c r="A280" s="230"/>
      <c r="B280" s="237">
        <v>16.0</v>
      </c>
      <c r="C280" s="238"/>
      <c r="D280" s="239">
        <v>46.0</v>
      </c>
      <c r="E280" s="238"/>
      <c r="F280" s="2"/>
      <c r="G280" s="244"/>
      <c r="H280" s="245" t="s">
        <v>136</v>
      </c>
      <c r="I280" s="75"/>
      <c r="J280" s="246"/>
      <c r="K280" s="78"/>
      <c r="L280" s="236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8.0" customHeight="1">
      <c r="A281" s="230"/>
      <c r="B281" s="237">
        <v>17.0</v>
      </c>
      <c r="C281" s="238"/>
      <c r="D281" s="239">
        <v>47.0</v>
      </c>
      <c r="E281" s="238"/>
      <c r="F281" s="2"/>
      <c r="G281" s="247"/>
      <c r="H281" s="42"/>
      <c r="I281" s="42"/>
      <c r="J281" s="42"/>
      <c r="K281" s="43"/>
      <c r="L281" s="236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8.75" customHeight="1">
      <c r="A282" s="230"/>
      <c r="B282" s="237">
        <v>18.0</v>
      </c>
      <c r="C282" s="238"/>
      <c r="D282" s="239">
        <v>48.0</v>
      </c>
      <c r="E282" s="238"/>
      <c r="F282" s="2"/>
      <c r="G282" s="48"/>
      <c r="H282" s="49"/>
      <c r="I282" s="49"/>
      <c r="J282" s="49"/>
      <c r="K282" s="50"/>
      <c r="L282" s="236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8.75" customHeight="1">
      <c r="A283" s="230"/>
      <c r="B283" s="237">
        <v>19.0</v>
      </c>
      <c r="C283" s="238"/>
      <c r="D283" s="239">
        <v>49.0</v>
      </c>
      <c r="E283" s="238"/>
      <c r="F283" s="2"/>
      <c r="G283" s="248" t="s">
        <v>140</v>
      </c>
      <c r="H283" s="249" t="s">
        <v>135</v>
      </c>
      <c r="I283" s="250"/>
      <c r="J283" s="251"/>
      <c r="K283" s="16"/>
      <c r="L283" s="236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8.75" customHeight="1">
      <c r="A284" s="230"/>
      <c r="B284" s="237">
        <v>20.0</v>
      </c>
      <c r="C284" s="238"/>
      <c r="D284" s="239">
        <v>50.0</v>
      </c>
      <c r="E284" s="238"/>
      <c r="F284" s="2"/>
      <c r="G284" s="244"/>
      <c r="H284" s="245" t="s">
        <v>136</v>
      </c>
      <c r="I284" s="75"/>
      <c r="J284" s="246"/>
      <c r="K284" s="78"/>
      <c r="L284" s="236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8.75" customHeight="1">
      <c r="A285" s="230"/>
      <c r="B285" s="237">
        <v>21.0</v>
      </c>
      <c r="C285" s="238"/>
      <c r="D285" s="239">
        <v>51.0</v>
      </c>
      <c r="E285" s="238"/>
      <c r="F285" s="2"/>
      <c r="G285" s="252" t="s">
        <v>65</v>
      </c>
      <c r="H285" s="191"/>
      <c r="I285" s="192"/>
      <c r="J285" s="253">
        <f>SUM(J267,J268,J271,J272,J275,J276,J279,J280,J283,J284)</f>
        <v>0</v>
      </c>
      <c r="K285" s="254"/>
      <c r="L285" s="236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8.75" customHeight="1">
      <c r="A286" s="230"/>
      <c r="B286" s="237">
        <v>22.0</v>
      </c>
      <c r="C286" s="238"/>
      <c r="D286" s="239">
        <v>52.0</v>
      </c>
      <c r="E286" s="238"/>
      <c r="F286" s="2"/>
      <c r="G286" s="224"/>
      <c r="H286" s="224"/>
      <c r="I286" s="224"/>
      <c r="J286" s="224"/>
      <c r="K286" s="224"/>
      <c r="L286" s="255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8.75" customHeight="1">
      <c r="A287" s="230"/>
      <c r="B287" s="237">
        <v>23.0</v>
      </c>
      <c r="C287" s="238"/>
      <c r="D287" s="239">
        <v>53.0</v>
      </c>
      <c r="E287" s="238"/>
      <c r="F287" s="2"/>
      <c r="G287" s="256" t="s">
        <v>141</v>
      </c>
      <c r="H287" s="11"/>
      <c r="I287" s="11"/>
      <c r="J287" s="12"/>
      <c r="K287" s="2"/>
      <c r="L287" s="255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8.75" customHeight="1">
      <c r="A288" s="230"/>
      <c r="B288" s="237">
        <v>24.0</v>
      </c>
      <c r="C288" s="238"/>
      <c r="D288" s="239">
        <v>54.0</v>
      </c>
      <c r="E288" s="238"/>
      <c r="F288" s="2"/>
      <c r="G288" s="257" t="s">
        <v>132</v>
      </c>
      <c r="H288" s="137"/>
      <c r="I288" s="258" t="s">
        <v>78</v>
      </c>
      <c r="J288" s="6"/>
      <c r="K288" s="2"/>
      <c r="L288" s="255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8.75" customHeight="1">
      <c r="A289" s="230"/>
      <c r="B289" s="237">
        <v>25.0</v>
      </c>
      <c r="C289" s="238"/>
      <c r="D289" s="239">
        <v>55.0</v>
      </c>
      <c r="E289" s="238"/>
      <c r="F289" s="2"/>
      <c r="G289" s="259" t="s">
        <v>142</v>
      </c>
      <c r="H289" s="18"/>
      <c r="I289" s="260"/>
      <c r="J289" s="9"/>
      <c r="K289" s="2"/>
      <c r="L289" s="255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8.75" customHeight="1">
      <c r="A290" s="230"/>
      <c r="B290" s="237">
        <v>26.0</v>
      </c>
      <c r="C290" s="238"/>
      <c r="D290" s="239">
        <v>56.0</v>
      </c>
      <c r="E290" s="238"/>
      <c r="F290" s="2"/>
      <c r="G290" s="259" t="s">
        <v>143</v>
      </c>
      <c r="H290" s="18"/>
      <c r="I290" s="260"/>
      <c r="J290" s="9"/>
      <c r="K290" s="2"/>
      <c r="L290" s="255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8.75" customHeight="1">
      <c r="A291" s="230"/>
      <c r="B291" s="237">
        <v>27.0</v>
      </c>
      <c r="C291" s="238"/>
      <c r="D291" s="239">
        <v>57.0</v>
      </c>
      <c r="E291" s="238"/>
      <c r="F291" s="2"/>
      <c r="G291" s="259" t="s">
        <v>144</v>
      </c>
      <c r="H291" s="18"/>
      <c r="I291" s="260"/>
      <c r="J291" s="9"/>
      <c r="K291" s="2"/>
      <c r="L291" s="255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8.75" customHeight="1">
      <c r="A292" s="230"/>
      <c r="B292" s="237">
        <v>28.0</v>
      </c>
      <c r="C292" s="238"/>
      <c r="D292" s="239">
        <v>58.0</v>
      </c>
      <c r="E292" s="238"/>
      <c r="F292" s="2"/>
      <c r="G292" s="259" t="s">
        <v>145</v>
      </c>
      <c r="H292" s="18"/>
      <c r="I292" s="260"/>
      <c r="J292" s="9"/>
      <c r="K292" s="2"/>
      <c r="L292" s="255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8.75" customHeight="1">
      <c r="A293" s="230"/>
      <c r="B293" s="237">
        <v>29.0</v>
      </c>
      <c r="C293" s="238"/>
      <c r="D293" s="239">
        <v>59.0</v>
      </c>
      <c r="E293" s="238"/>
      <c r="F293" s="2"/>
      <c r="G293" s="259" t="s">
        <v>146</v>
      </c>
      <c r="H293" s="18"/>
      <c r="I293" s="260"/>
      <c r="J293" s="9"/>
      <c r="K293" s="2"/>
      <c r="L293" s="255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8.75" customHeight="1">
      <c r="A294" s="230"/>
      <c r="B294" s="237">
        <v>30.0</v>
      </c>
      <c r="C294" s="238"/>
      <c r="D294" s="239">
        <v>60.0</v>
      </c>
      <c r="E294" s="238"/>
      <c r="F294" s="2"/>
      <c r="G294" s="261" t="s">
        <v>65</v>
      </c>
      <c r="H294" s="75"/>
      <c r="I294" s="262">
        <f>SUM(I289:J293)</f>
        <v>0</v>
      </c>
      <c r="J294" s="78"/>
      <c r="K294" s="2"/>
      <c r="L294" s="255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8.75" customHeight="1">
      <c r="A295" s="263"/>
      <c r="B295" s="264" t="s">
        <v>65</v>
      </c>
      <c r="C295" s="77"/>
      <c r="D295" s="75"/>
      <c r="E295" s="265">
        <f>SUM(C265:C294,E265:E294)</f>
        <v>0</v>
      </c>
      <c r="F295" s="266"/>
      <c r="G295" s="266"/>
      <c r="H295" s="266"/>
      <c r="I295" s="266"/>
      <c r="J295" s="266"/>
      <c r="K295" s="266"/>
      <c r="L295" s="267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8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8.75" customHeight="1">
      <c r="A297" s="117" t="s">
        <v>147</v>
      </c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5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8.75" customHeight="1">
      <c r="A298" s="80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81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8.75" customHeight="1">
      <c r="A299" s="268" t="s">
        <v>77</v>
      </c>
      <c r="B299" s="5"/>
      <c r="C299" s="5"/>
      <c r="D299" s="5"/>
      <c r="E299" s="5"/>
      <c r="F299" s="5"/>
      <c r="G299" s="137"/>
      <c r="H299" s="269" t="s">
        <v>148</v>
      </c>
      <c r="I299" s="270" t="s">
        <v>149</v>
      </c>
      <c r="J299" s="137"/>
      <c r="K299" s="271" t="s">
        <v>150</v>
      </c>
      <c r="L299" s="6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8.75" customHeight="1">
      <c r="A300" s="208" t="s">
        <v>151</v>
      </c>
      <c r="B300" s="8"/>
      <c r="C300" s="8"/>
      <c r="D300" s="8"/>
      <c r="E300" s="8"/>
      <c r="F300" s="8"/>
      <c r="G300" s="18"/>
      <c r="H300" s="272"/>
      <c r="I300" s="273"/>
      <c r="J300" s="18"/>
      <c r="K300" s="274">
        <f t="shared" ref="K300:K331" si="3">H300*I300</f>
        <v>0</v>
      </c>
      <c r="L300" s="9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8.75" customHeight="1">
      <c r="A301" s="208" t="s">
        <v>151</v>
      </c>
      <c r="B301" s="8"/>
      <c r="C301" s="8"/>
      <c r="D301" s="8"/>
      <c r="E301" s="8"/>
      <c r="F301" s="8"/>
      <c r="G301" s="18"/>
      <c r="H301" s="272"/>
      <c r="I301" s="273"/>
      <c r="J301" s="18"/>
      <c r="K301" s="274">
        <f t="shared" si="3"/>
        <v>0</v>
      </c>
      <c r="L301" s="9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8.75" customHeight="1">
      <c r="A302" s="208" t="s">
        <v>151</v>
      </c>
      <c r="B302" s="8"/>
      <c r="C302" s="8"/>
      <c r="D302" s="8"/>
      <c r="E302" s="8"/>
      <c r="F302" s="8"/>
      <c r="G302" s="18"/>
      <c r="H302" s="272"/>
      <c r="I302" s="273"/>
      <c r="J302" s="18"/>
      <c r="K302" s="274">
        <f t="shared" si="3"/>
        <v>0</v>
      </c>
      <c r="L302" s="9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8.75" customHeight="1">
      <c r="A303" s="208" t="s">
        <v>151</v>
      </c>
      <c r="B303" s="8"/>
      <c r="C303" s="8"/>
      <c r="D303" s="8"/>
      <c r="E303" s="8"/>
      <c r="F303" s="8"/>
      <c r="G303" s="18"/>
      <c r="H303" s="272"/>
      <c r="I303" s="273"/>
      <c r="J303" s="18"/>
      <c r="K303" s="274">
        <f t="shared" si="3"/>
        <v>0</v>
      </c>
      <c r="L303" s="9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8.75" customHeight="1">
      <c r="A304" s="208" t="s">
        <v>151</v>
      </c>
      <c r="B304" s="8"/>
      <c r="C304" s="8"/>
      <c r="D304" s="8"/>
      <c r="E304" s="8"/>
      <c r="F304" s="8"/>
      <c r="G304" s="18"/>
      <c r="H304" s="272"/>
      <c r="I304" s="273"/>
      <c r="J304" s="18"/>
      <c r="K304" s="274">
        <f t="shared" si="3"/>
        <v>0</v>
      </c>
      <c r="L304" s="9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8.75" customHeight="1">
      <c r="A305" s="208" t="s">
        <v>151</v>
      </c>
      <c r="B305" s="8"/>
      <c r="C305" s="8"/>
      <c r="D305" s="8"/>
      <c r="E305" s="8"/>
      <c r="F305" s="8"/>
      <c r="G305" s="18"/>
      <c r="H305" s="272"/>
      <c r="I305" s="273"/>
      <c r="J305" s="18"/>
      <c r="K305" s="274">
        <f t="shared" si="3"/>
        <v>0</v>
      </c>
      <c r="L305" s="9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8.75" customHeight="1">
      <c r="A306" s="208" t="s">
        <v>151</v>
      </c>
      <c r="B306" s="8"/>
      <c r="C306" s="8"/>
      <c r="D306" s="8"/>
      <c r="E306" s="8"/>
      <c r="F306" s="8"/>
      <c r="G306" s="18"/>
      <c r="H306" s="272"/>
      <c r="I306" s="273"/>
      <c r="J306" s="18"/>
      <c r="K306" s="274">
        <f t="shared" si="3"/>
        <v>0</v>
      </c>
      <c r="L306" s="9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8.75" customHeight="1">
      <c r="A307" s="208" t="s">
        <v>151</v>
      </c>
      <c r="B307" s="8"/>
      <c r="C307" s="8"/>
      <c r="D307" s="8"/>
      <c r="E307" s="8"/>
      <c r="F307" s="8"/>
      <c r="G307" s="18"/>
      <c r="H307" s="272"/>
      <c r="I307" s="273"/>
      <c r="J307" s="18"/>
      <c r="K307" s="274">
        <f t="shared" si="3"/>
        <v>0</v>
      </c>
      <c r="L307" s="9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8.75" customHeight="1">
      <c r="A308" s="208" t="s">
        <v>151</v>
      </c>
      <c r="B308" s="8"/>
      <c r="C308" s="8"/>
      <c r="D308" s="8"/>
      <c r="E308" s="8"/>
      <c r="F308" s="8"/>
      <c r="G308" s="18"/>
      <c r="H308" s="272"/>
      <c r="I308" s="273"/>
      <c r="J308" s="18"/>
      <c r="K308" s="274">
        <f t="shared" si="3"/>
        <v>0</v>
      </c>
      <c r="L308" s="9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8.75" customHeight="1">
      <c r="A309" s="208" t="s">
        <v>151</v>
      </c>
      <c r="B309" s="8"/>
      <c r="C309" s="8"/>
      <c r="D309" s="8"/>
      <c r="E309" s="8"/>
      <c r="F309" s="8"/>
      <c r="G309" s="18"/>
      <c r="H309" s="272"/>
      <c r="I309" s="273"/>
      <c r="J309" s="18"/>
      <c r="K309" s="274">
        <f t="shared" si="3"/>
        <v>0</v>
      </c>
      <c r="L309" s="9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8.75" customHeight="1">
      <c r="A310" s="208" t="s">
        <v>151</v>
      </c>
      <c r="B310" s="8"/>
      <c r="C310" s="8"/>
      <c r="D310" s="8"/>
      <c r="E310" s="8"/>
      <c r="F310" s="8"/>
      <c r="G310" s="18"/>
      <c r="H310" s="272"/>
      <c r="I310" s="273"/>
      <c r="J310" s="18"/>
      <c r="K310" s="274">
        <f t="shared" si="3"/>
        <v>0</v>
      </c>
      <c r="L310" s="9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8.75" customHeight="1">
      <c r="A311" s="208" t="s">
        <v>151</v>
      </c>
      <c r="B311" s="8"/>
      <c r="C311" s="8"/>
      <c r="D311" s="8"/>
      <c r="E311" s="8"/>
      <c r="F311" s="8"/>
      <c r="G311" s="18"/>
      <c r="H311" s="272"/>
      <c r="I311" s="273"/>
      <c r="J311" s="18"/>
      <c r="K311" s="274">
        <f t="shared" si="3"/>
        <v>0</v>
      </c>
      <c r="L311" s="9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8.75" customHeight="1">
      <c r="A312" s="208" t="s">
        <v>151</v>
      </c>
      <c r="B312" s="8"/>
      <c r="C312" s="8"/>
      <c r="D312" s="8"/>
      <c r="E312" s="8"/>
      <c r="F312" s="8"/>
      <c r="G312" s="18"/>
      <c r="H312" s="272"/>
      <c r="I312" s="273"/>
      <c r="J312" s="18"/>
      <c r="K312" s="274">
        <f t="shared" si="3"/>
        <v>0</v>
      </c>
      <c r="L312" s="9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8.75" customHeight="1">
      <c r="A313" s="208" t="s">
        <v>151</v>
      </c>
      <c r="B313" s="8"/>
      <c r="C313" s="8"/>
      <c r="D313" s="8"/>
      <c r="E313" s="8"/>
      <c r="F313" s="8"/>
      <c r="G313" s="18"/>
      <c r="H313" s="272"/>
      <c r="I313" s="273"/>
      <c r="J313" s="18"/>
      <c r="K313" s="274">
        <f t="shared" si="3"/>
        <v>0</v>
      </c>
      <c r="L313" s="9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8.75" customHeight="1">
      <c r="A314" s="208" t="s">
        <v>151</v>
      </c>
      <c r="B314" s="8"/>
      <c r="C314" s="8"/>
      <c r="D314" s="8"/>
      <c r="E314" s="8"/>
      <c r="F314" s="8"/>
      <c r="G314" s="18"/>
      <c r="H314" s="272"/>
      <c r="I314" s="273"/>
      <c r="J314" s="18"/>
      <c r="K314" s="274">
        <f t="shared" si="3"/>
        <v>0</v>
      </c>
      <c r="L314" s="9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08" t="s">
        <v>151</v>
      </c>
      <c r="B315" s="8"/>
      <c r="C315" s="8"/>
      <c r="D315" s="8"/>
      <c r="E315" s="8"/>
      <c r="F315" s="8"/>
      <c r="G315" s="18"/>
      <c r="H315" s="272"/>
      <c r="I315" s="273"/>
      <c r="J315" s="18"/>
      <c r="K315" s="274">
        <f t="shared" si="3"/>
        <v>0</v>
      </c>
      <c r="L315" s="9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08" t="s">
        <v>151</v>
      </c>
      <c r="B316" s="8"/>
      <c r="C316" s="8"/>
      <c r="D316" s="8"/>
      <c r="E316" s="8"/>
      <c r="F316" s="8"/>
      <c r="G316" s="18"/>
      <c r="H316" s="272"/>
      <c r="I316" s="273"/>
      <c r="J316" s="18"/>
      <c r="K316" s="274">
        <f t="shared" si="3"/>
        <v>0</v>
      </c>
      <c r="L316" s="9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08" t="s">
        <v>151</v>
      </c>
      <c r="B317" s="8"/>
      <c r="C317" s="8"/>
      <c r="D317" s="8"/>
      <c r="E317" s="8"/>
      <c r="F317" s="8"/>
      <c r="G317" s="18"/>
      <c r="H317" s="272"/>
      <c r="I317" s="273"/>
      <c r="J317" s="18"/>
      <c r="K317" s="274">
        <f t="shared" si="3"/>
        <v>0</v>
      </c>
      <c r="L317" s="9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08" t="s">
        <v>151</v>
      </c>
      <c r="B318" s="8"/>
      <c r="C318" s="8"/>
      <c r="D318" s="8"/>
      <c r="E318" s="8"/>
      <c r="F318" s="8"/>
      <c r="G318" s="18"/>
      <c r="H318" s="272"/>
      <c r="I318" s="273"/>
      <c r="J318" s="18"/>
      <c r="K318" s="274">
        <f t="shared" si="3"/>
        <v>0</v>
      </c>
      <c r="L318" s="9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08" t="s">
        <v>151</v>
      </c>
      <c r="B319" s="8"/>
      <c r="C319" s="8"/>
      <c r="D319" s="8"/>
      <c r="E319" s="8"/>
      <c r="F319" s="8"/>
      <c r="G319" s="18"/>
      <c r="H319" s="272"/>
      <c r="I319" s="273"/>
      <c r="J319" s="18"/>
      <c r="K319" s="274">
        <f t="shared" si="3"/>
        <v>0</v>
      </c>
      <c r="L319" s="9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08" t="s">
        <v>151</v>
      </c>
      <c r="B320" s="8"/>
      <c r="C320" s="8"/>
      <c r="D320" s="8"/>
      <c r="E320" s="8"/>
      <c r="F320" s="8"/>
      <c r="G320" s="18"/>
      <c r="H320" s="272"/>
      <c r="I320" s="273"/>
      <c r="J320" s="18"/>
      <c r="K320" s="274">
        <f t="shared" si="3"/>
        <v>0</v>
      </c>
      <c r="L320" s="9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8.75" customHeight="1">
      <c r="A321" s="208" t="s">
        <v>151</v>
      </c>
      <c r="B321" s="8"/>
      <c r="C321" s="8"/>
      <c r="D321" s="8"/>
      <c r="E321" s="8"/>
      <c r="F321" s="8"/>
      <c r="G321" s="18"/>
      <c r="H321" s="272"/>
      <c r="I321" s="273"/>
      <c r="J321" s="18"/>
      <c r="K321" s="274">
        <f t="shared" si="3"/>
        <v>0</v>
      </c>
      <c r="L321" s="9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8.0" customHeight="1">
      <c r="A322" s="208" t="s">
        <v>151</v>
      </c>
      <c r="B322" s="8"/>
      <c r="C322" s="8"/>
      <c r="D322" s="8"/>
      <c r="E322" s="8"/>
      <c r="F322" s="8"/>
      <c r="G322" s="18"/>
      <c r="H322" s="272"/>
      <c r="I322" s="273"/>
      <c r="J322" s="18"/>
      <c r="K322" s="274">
        <f t="shared" si="3"/>
        <v>0</v>
      </c>
      <c r="L322" s="9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8.75" customHeight="1">
      <c r="A323" s="208" t="s">
        <v>151</v>
      </c>
      <c r="B323" s="8"/>
      <c r="C323" s="8"/>
      <c r="D323" s="8"/>
      <c r="E323" s="8"/>
      <c r="F323" s="8"/>
      <c r="G323" s="18"/>
      <c r="H323" s="272"/>
      <c r="I323" s="273"/>
      <c r="J323" s="18"/>
      <c r="K323" s="274">
        <f t="shared" si="3"/>
        <v>0</v>
      </c>
      <c r="L323" s="9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8.0" customHeight="1">
      <c r="A324" s="208" t="s">
        <v>151</v>
      </c>
      <c r="B324" s="8"/>
      <c r="C324" s="8"/>
      <c r="D324" s="8"/>
      <c r="E324" s="8"/>
      <c r="F324" s="8"/>
      <c r="G324" s="18"/>
      <c r="H324" s="272"/>
      <c r="I324" s="273"/>
      <c r="J324" s="18"/>
      <c r="K324" s="274">
        <f t="shared" si="3"/>
        <v>0</v>
      </c>
      <c r="L324" s="9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8.75" customHeight="1">
      <c r="A325" s="208" t="s">
        <v>151</v>
      </c>
      <c r="B325" s="8"/>
      <c r="C325" s="8"/>
      <c r="D325" s="8"/>
      <c r="E325" s="8"/>
      <c r="F325" s="8"/>
      <c r="G325" s="18"/>
      <c r="H325" s="272"/>
      <c r="I325" s="273"/>
      <c r="J325" s="18"/>
      <c r="K325" s="274">
        <f t="shared" si="3"/>
        <v>0</v>
      </c>
      <c r="L325" s="9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8.75" customHeight="1">
      <c r="A326" s="208" t="s">
        <v>151</v>
      </c>
      <c r="B326" s="8"/>
      <c r="C326" s="8"/>
      <c r="D326" s="8"/>
      <c r="E326" s="8"/>
      <c r="F326" s="8"/>
      <c r="G326" s="18"/>
      <c r="H326" s="272"/>
      <c r="I326" s="273"/>
      <c r="J326" s="18"/>
      <c r="K326" s="274">
        <f t="shared" si="3"/>
        <v>0</v>
      </c>
      <c r="L326" s="9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8.75" customHeight="1">
      <c r="A327" s="208" t="s">
        <v>151</v>
      </c>
      <c r="B327" s="8"/>
      <c r="C327" s="8"/>
      <c r="D327" s="8"/>
      <c r="E327" s="8"/>
      <c r="F327" s="8"/>
      <c r="G327" s="18"/>
      <c r="H327" s="272"/>
      <c r="I327" s="273"/>
      <c r="J327" s="18"/>
      <c r="K327" s="274">
        <f t="shared" si="3"/>
        <v>0</v>
      </c>
      <c r="L327" s="9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8.75" customHeight="1">
      <c r="A328" s="208" t="s">
        <v>151</v>
      </c>
      <c r="B328" s="8"/>
      <c r="C328" s="8"/>
      <c r="D328" s="8"/>
      <c r="E328" s="8"/>
      <c r="F328" s="8"/>
      <c r="G328" s="18"/>
      <c r="H328" s="272"/>
      <c r="I328" s="273"/>
      <c r="J328" s="18"/>
      <c r="K328" s="274">
        <f t="shared" si="3"/>
        <v>0</v>
      </c>
      <c r="L328" s="9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8.75" customHeight="1">
      <c r="A329" s="208" t="s">
        <v>151</v>
      </c>
      <c r="B329" s="8"/>
      <c r="C329" s="8"/>
      <c r="D329" s="8"/>
      <c r="E329" s="8"/>
      <c r="F329" s="8"/>
      <c r="G329" s="18"/>
      <c r="H329" s="272"/>
      <c r="I329" s="273"/>
      <c r="J329" s="18"/>
      <c r="K329" s="274">
        <f t="shared" si="3"/>
        <v>0</v>
      </c>
      <c r="L329" s="9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8.75" customHeight="1">
      <c r="A330" s="208" t="s">
        <v>151</v>
      </c>
      <c r="B330" s="8"/>
      <c r="C330" s="8"/>
      <c r="D330" s="8"/>
      <c r="E330" s="8"/>
      <c r="F330" s="8"/>
      <c r="G330" s="18"/>
      <c r="H330" s="272"/>
      <c r="I330" s="273"/>
      <c r="J330" s="18"/>
      <c r="K330" s="274">
        <f t="shared" si="3"/>
        <v>0</v>
      </c>
      <c r="L330" s="9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8.75" customHeight="1">
      <c r="A331" s="208" t="s">
        <v>151</v>
      </c>
      <c r="B331" s="8"/>
      <c r="C331" s="8"/>
      <c r="D331" s="8"/>
      <c r="E331" s="8"/>
      <c r="F331" s="8"/>
      <c r="G331" s="18"/>
      <c r="H331" s="272"/>
      <c r="I331" s="273"/>
      <c r="J331" s="18"/>
      <c r="K331" s="274">
        <f t="shared" si="3"/>
        <v>0</v>
      </c>
      <c r="L331" s="9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8.75" customHeight="1">
      <c r="A332" s="275" t="s">
        <v>65</v>
      </c>
      <c r="B332" s="77"/>
      <c r="C332" s="77"/>
      <c r="D332" s="77"/>
      <c r="E332" s="77"/>
      <c r="F332" s="77"/>
      <c r="G332" s="77"/>
      <c r="H332" s="77"/>
      <c r="I332" s="77"/>
      <c r="J332" s="75"/>
      <c r="K332" s="276">
        <f>SUM(K300:L331)</f>
        <v>0</v>
      </c>
      <c r="L332" s="78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8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8.75" customHeight="1">
      <c r="A334" s="277" t="s">
        <v>152</v>
      </c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8.75" customHeight="1">
      <c r="A335" s="278" t="s">
        <v>153</v>
      </c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6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8.75" customHeight="1">
      <c r="A336" s="279" t="s">
        <v>154</v>
      </c>
      <c r="B336" s="8"/>
      <c r="C336" s="8"/>
      <c r="D336" s="18"/>
      <c r="E336" s="280" t="s">
        <v>155</v>
      </c>
      <c r="F336" s="18"/>
      <c r="G336" s="281" t="s">
        <v>156</v>
      </c>
      <c r="H336" s="18"/>
      <c r="I336" s="281" t="s">
        <v>157</v>
      </c>
      <c r="J336" s="8"/>
      <c r="K336" s="8"/>
      <c r="L336" s="9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8.75" customHeight="1">
      <c r="A337" s="282"/>
      <c r="B337" s="8"/>
      <c r="C337" s="8"/>
      <c r="D337" s="18"/>
      <c r="E337" s="52"/>
      <c r="F337" s="18"/>
      <c r="G337" s="52"/>
      <c r="H337" s="18"/>
      <c r="I337" s="55" t="s">
        <v>158</v>
      </c>
      <c r="J337" s="8"/>
      <c r="K337" s="8"/>
      <c r="L337" s="9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8.75" customHeight="1">
      <c r="A338" s="282"/>
      <c r="B338" s="8"/>
      <c r="C338" s="8"/>
      <c r="D338" s="18"/>
      <c r="E338" s="52"/>
      <c r="F338" s="18"/>
      <c r="G338" s="52"/>
      <c r="H338" s="18"/>
      <c r="I338" s="55" t="s">
        <v>158</v>
      </c>
      <c r="J338" s="8"/>
      <c r="K338" s="8"/>
      <c r="L338" s="9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8.75" customHeight="1">
      <c r="A339" s="282"/>
      <c r="B339" s="8"/>
      <c r="C339" s="8"/>
      <c r="D339" s="18"/>
      <c r="E339" s="52"/>
      <c r="F339" s="18"/>
      <c r="G339" s="52"/>
      <c r="H339" s="18"/>
      <c r="I339" s="55" t="s">
        <v>158</v>
      </c>
      <c r="J339" s="8"/>
      <c r="K339" s="8"/>
      <c r="L339" s="9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8.75" customHeight="1">
      <c r="A340" s="282"/>
      <c r="B340" s="8"/>
      <c r="C340" s="8"/>
      <c r="D340" s="18"/>
      <c r="E340" s="52"/>
      <c r="F340" s="18"/>
      <c r="G340" s="52"/>
      <c r="H340" s="18"/>
      <c r="I340" s="55" t="s">
        <v>158</v>
      </c>
      <c r="J340" s="8"/>
      <c r="K340" s="8"/>
      <c r="L340" s="9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8.75" customHeight="1">
      <c r="A341" s="282"/>
      <c r="B341" s="8"/>
      <c r="C341" s="8"/>
      <c r="D341" s="18"/>
      <c r="E341" s="52"/>
      <c r="F341" s="18"/>
      <c r="G341" s="52"/>
      <c r="H341" s="18"/>
      <c r="I341" s="55" t="s">
        <v>158</v>
      </c>
      <c r="J341" s="8"/>
      <c r="K341" s="8"/>
      <c r="L341" s="9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8.75" customHeight="1">
      <c r="A342" s="282"/>
      <c r="B342" s="8"/>
      <c r="C342" s="8"/>
      <c r="D342" s="18"/>
      <c r="E342" s="52"/>
      <c r="F342" s="18"/>
      <c r="G342" s="52"/>
      <c r="H342" s="18"/>
      <c r="I342" s="55" t="s">
        <v>158</v>
      </c>
      <c r="J342" s="8"/>
      <c r="K342" s="8"/>
      <c r="L342" s="9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8.75" customHeight="1">
      <c r="A343" s="283"/>
      <c r="B343" s="77"/>
      <c r="C343" s="77"/>
      <c r="D343" s="75"/>
      <c r="E343" s="284"/>
      <c r="F343" s="75"/>
      <c r="G343" s="284"/>
      <c r="H343" s="75"/>
      <c r="I343" s="285" t="s">
        <v>158</v>
      </c>
      <c r="J343" s="77"/>
      <c r="K343" s="77"/>
      <c r="L343" s="78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8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8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8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8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8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8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8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8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8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8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8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8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8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8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8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8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8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8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8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8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8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8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8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8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8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8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8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8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8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8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8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8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8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8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8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8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8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8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8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8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8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8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8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8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8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8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8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8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8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8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8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8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8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8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8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8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8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8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8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8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8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8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8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8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8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8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8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8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8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8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8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8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8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8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8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8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8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8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8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8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8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8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8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8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8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8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8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8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8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8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8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8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8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8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8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8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8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8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8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8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8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8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8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8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8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8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8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8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8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8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8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8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8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8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8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8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8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8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8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8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8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8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8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8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8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8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8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8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8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8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8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8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8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8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8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8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8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8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8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8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8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8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8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8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8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8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8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8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8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8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8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8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8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8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8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8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8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8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8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8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8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8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8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8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8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8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8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8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8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8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8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8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8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8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8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8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8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8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8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8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8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8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8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8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8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8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8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8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8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8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8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8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8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8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8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8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8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8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8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8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</sheetData>
  <mergeCells count="577">
    <mergeCell ref="C30:L30"/>
    <mergeCell ref="E31:L31"/>
    <mergeCell ref="B23:H23"/>
    <mergeCell ref="B24:L24"/>
    <mergeCell ref="A26:L27"/>
    <mergeCell ref="A28:B29"/>
    <mergeCell ref="C28:L29"/>
    <mergeCell ref="A30:B30"/>
    <mergeCell ref="D32:L32"/>
    <mergeCell ref="D8:E8"/>
    <mergeCell ref="H8:L8"/>
    <mergeCell ref="A1:L3"/>
    <mergeCell ref="A4:L4"/>
    <mergeCell ref="A5:L5"/>
    <mergeCell ref="A6:G6"/>
    <mergeCell ref="H6:L6"/>
    <mergeCell ref="A7:L7"/>
    <mergeCell ref="A8:C8"/>
    <mergeCell ref="A9:E9"/>
    <mergeCell ref="H9:L9"/>
    <mergeCell ref="A10:L10"/>
    <mergeCell ref="A11:G11"/>
    <mergeCell ref="H11:L11"/>
    <mergeCell ref="A12:L12"/>
    <mergeCell ref="A13:C13"/>
    <mergeCell ref="H13:L13"/>
    <mergeCell ref="D13:E13"/>
    <mergeCell ref="F13:G13"/>
    <mergeCell ref="A14:F14"/>
    <mergeCell ref="G14:L14"/>
    <mergeCell ref="A17:L18"/>
    <mergeCell ref="A19:L19"/>
    <mergeCell ref="A20:A21"/>
    <mergeCell ref="B20:G21"/>
    <mergeCell ref="H20:H21"/>
    <mergeCell ref="I20:L21"/>
    <mergeCell ref="A22:B22"/>
    <mergeCell ref="C22:L22"/>
    <mergeCell ref="J23:L23"/>
    <mergeCell ref="A31:B32"/>
    <mergeCell ref="A33:B36"/>
    <mergeCell ref="A37:B38"/>
    <mergeCell ref="A39:B40"/>
    <mergeCell ref="A41:B41"/>
    <mergeCell ref="A42:B42"/>
    <mergeCell ref="C33:L33"/>
    <mergeCell ref="C34:L34"/>
    <mergeCell ref="C35:L35"/>
    <mergeCell ref="C36:L36"/>
    <mergeCell ref="C37:L37"/>
    <mergeCell ref="C38:L38"/>
    <mergeCell ref="C39:L39"/>
    <mergeCell ref="B74:J75"/>
    <mergeCell ref="A76:A77"/>
    <mergeCell ref="B76:J77"/>
    <mergeCell ref="A63:J63"/>
    <mergeCell ref="B64:J65"/>
    <mergeCell ref="B66:J67"/>
    <mergeCell ref="B68:J69"/>
    <mergeCell ref="B70:J71"/>
    <mergeCell ref="B72:J73"/>
    <mergeCell ref="A85:L86"/>
    <mergeCell ref="A87:J88"/>
    <mergeCell ref="K87:L88"/>
    <mergeCell ref="A89:J90"/>
    <mergeCell ref="K89:L90"/>
    <mergeCell ref="A91:J92"/>
    <mergeCell ref="K91:L92"/>
    <mergeCell ref="A93:J94"/>
    <mergeCell ref="K93:L94"/>
    <mergeCell ref="A95:J96"/>
    <mergeCell ref="K95:L96"/>
    <mergeCell ref="A97:J98"/>
    <mergeCell ref="K97:L98"/>
    <mergeCell ref="A100:L101"/>
    <mergeCell ref="A103:J104"/>
    <mergeCell ref="K103:L104"/>
    <mergeCell ref="A105:J106"/>
    <mergeCell ref="K105:L106"/>
    <mergeCell ref="A109:L109"/>
    <mergeCell ref="A110:L110"/>
    <mergeCell ref="A111:L111"/>
    <mergeCell ref="C112:E113"/>
    <mergeCell ref="F112:G113"/>
    <mergeCell ref="H112:H113"/>
    <mergeCell ref="I112:I113"/>
    <mergeCell ref="J112:J113"/>
    <mergeCell ref="K112:K113"/>
    <mergeCell ref="L112:L113"/>
    <mergeCell ref="C40:L40"/>
    <mergeCell ref="C41:L41"/>
    <mergeCell ref="C42:L42"/>
    <mergeCell ref="A44:L45"/>
    <mergeCell ref="A48:L49"/>
    <mergeCell ref="A46:L46"/>
    <mergeCell ref="A50:L50"/>
    <mergeCell ref="A52:L53"/>
    <mergeCell ref="A56:L57"/>
    <mergeCell ref="A58:L58"/>
    <mergeCell ref="A60:L60"/>
    <mergeCell ref="A61:L62"/>
    <mergeCell ref="K63:L63"/>
    <mergeCell ref="A54:L54"/>
    <mergeCell ref="A70:A71"/>
    <mergeCell ref="A72:A73"/>
    <mergeCell ref="A68:A69"/>
    <mergeCell ref="A74:A75"/>
    <mergeCell ref="A82:A83"/>
    <mergeCell ref="A78:A79"/>
    <mergeCell ref="B78:J79"/>
    <mergeCell ref="A80:A81"/>
    <mergeCell ref="B80:J81"/>
    <mergeCell ref="K64:L83"/>
    <mergeCell ref="B82:J83"/>
    <mergeCell ref="A112:B113"/>
    <mergeCell ref="A114:B114"/>
    <mergeCell ref="C114:E114"/>
    <mergeCell ref="F114:G114"/>
    <mergeCell ref="A115:B115"/>
    <mergeCell ref="C115:E115"/>
    <mergeCell ref="F115:G115"/>
    <mergeCell ref="C127:E127"/>
    <mergeCell ref="F127:G127"/>
    <mergeCell ref="A125:B125"/>
    <mergeCell ref="C125:E125"/>
    <mergeCell ref="F125:G125"/>
    <mergeCell ref="A126:B126"/>
    <mergeCell ref="C126:E126"/>
    <mergeCell ref="F126:G126"/>
    <mergeCell ref="A127:B127"/>
    <mergeCell ref="C130:E130"/>
    <mergeCell ref="F130:G130"/>
    <mergeCell ref="A128:B128"/>
    <mergeCell ref="C128:E128"/>
    <mergeCell ref="F128:G128"/>
    <mergeCell ref="A129:B129"/>
    <mergeCell ref="C129:E129"/>
    <mergeCell ref="F129:G129"/>
    <mergeCell ref="A130:B130"/>
    <mergeCell ref="C133:E133"/>
    <mergeCell ref="F133:G133"/>
    <mergeCell ref="A131:B131"/>
    <mergeCell ref="C131:E131"/>
    <mergeCell ref="F131:G131"/>
    <mergeCell ref="A132:B132"/>
    <mergeCell ref="C132:E132"/>
    <mergeCell ref="F132:G132"/>
    <mergeCell ref="A133:B133"/>
    <mergeCell ref="C136:E136"/>
    <mergeCell ref="F136:G136"/>
    <mergeCell ref="A134:B134"/>
    <mergeCell ref="C134:E134"/>
    <mergeCell ref="F134:G134"/>
    <mergeCell ref="A135:B135"/>
    <mergeCell ref="C135:E135"/>
    <mergeCell ref="F135:G135"/>
    <mergeCell ref="A136:B136"/>
    <mergeCell ref="C139:E139"/>
    <mergeCell ref="F139:G139"/>
    <mergeCell ref="A137:B137"/>
    <mergeCell ref="C137:E137"/>
    <mergeCell ref="F137:G137"/>
    <mergeCell ref="A138:B138"/>
    <mergeCell ref="C138:E138"/>
    <mergeCell ref="F138:G138"/>
    <mergeCell ref="A139:B139"/>
    <mergeCell ref="C118:E118"/>
    <mergeCell ref="F118:G118"/>
    <mergeCell ref="A116:B116"/>
    <mergeCell ref="C116:E116"/>
    <mergeCell ref="F116:G116"/>
    <mergeCell ref="A117:B117"/>
    <mergeCell ref="C117:E117"/>
    <mergeCell ref="F117:G117"/>
    <mergeCell ref="A118:B118"/>
    <mergeCell ref="C121:E121"/>
    <mergeCell ref="F121:G121"/>
    <mergeCell ref="A119:B119"/>
    <mergeCell ref="C119:E119"/>
    <mergeCell ref="F119:G119"/>
    <mergeCell ref="A120:B120"/>
    <mergeCell ref="C120:E120"/>
    <mergeCell ref="F120:G120"/>
    <mergeCell ref="A121:B121"/>
    <mergeCell ref="C124:E124"/>
    <mergeCell ref="F124:G124"/>
    <mergeCell ref="A122:B122"/>
    <mergeCell ref="C122:E122"/>
    <mergeCell ref="F122:G122"/>
    <mergeCell ref="A123:B123"/>
    <mergeCell ref="C123:E123"/>
    <mergeCell ref="F123:G123"/>
    <mergeCell ref="A124:B124"/>
    <mergeCell ref="A143:B143"/>
    <mergeCell ref="C143:E143"/>
    <mergeCell ref="F143:G143"/>
    <mergeCell ref="A144:B144"/>
    <mergeCell ref="C144:E144"/>
    <mergeCell ref="F144:G144"/>
    <mergeCell ref="C154:E154"/>
    <mergeCell ref="F154:G154"/>
    <mergeCell ref="A152:B152"/>
    <mergeCell ref="C152:E152"/>
    <mergeCell ref="F152:G152"/>
    <mergeCell ref="A153:B153"/>
    <mergeCell ref="C153:E153"/>
    <mergeCell ref="F153:G153"/>
    <mergeCell ref="A154:B154"/>
    <mergeCell ref="C157:E157"/>
    <mergeCell ref="F157:G157"/>
    <mergeCell ref="A155:B155"/>
    <mergeCell ref="C155:E155"/>
    <mergeCell ref="F155:G155"/>
    <mergeCell ref="A156:B156"/>
    <mergeCell ref="C156:E156"/>
    <mergeCell ref="F156:G156"/>
    <mergeCell ref="A157:B157"/>
    <mergeCell ref="C178:E178"/>
    <mergeCell ref="F178:G178"/>
    <mergeCell ref="A176:B176"/>
    <mergeCell ref="C176:E176"/>
    <mergeCell ref="F176:G176"/>
    <mergeCell ref="A177:B177"/>
    <mergeCell ref="C177:E177"/>
    <mergeCell ref="F177:G177"/>
    <mergeCell ref="A178:B178"/>
    <mergeCell ref="A140:B140"/>
    <mergeCell ref="C140:E140"/>
    <mergeCell ref="F140:G140"/>
    <mergeCell ref="A141:B141"/>
    <mergeCell ref="C141:E141"/>
    <mergeCell ref="F141:G141"/>
    <mergeCell ref="A142:B142"/>
    <mergeCell ref="I147:I148"/>
    <mergeCell ref="J147:J148"/>
    <mergeCell ref="K147:K148"/>
    <mergeCell ref="L147:L148"/>
    <mergeCell ref="C142:E142"/>
    <mergeCell ref="F142:G142"/>
    <mergeCell ref="A146:L146"/>
    <mergeCell ref="A147:B148"/>
    <mergeCell ref="C147:E148"/>
    <mergeCell ref="F147:G148"/>
    <mergeCell ref="H147:H148"/>
    <mergeCell ref="C151:E151"/>
    <mergeCell ref="F151:G151"/>
    <mergeCell ref="A149:B149"/>
    <mergeCell ref="C149:E149"/>
    <mergeCell ref="F149:G149"/>
    <mergeCell ref="A150:B150"/>
    <mergeCell ref="C150:E150"/>
    <mergeCell ref="F150:G150"/>
    <mergeCell ref="A151:B151"/>
    <mergeCell ref="A179:B179"/>
    <mergeCell ref="C179:E179"/>
    <mergeCell ref="F179:G179"/>
    <mergeCell ref="A180:B180"/>
    <mergeCell ref="C180:E180"/>
    <mergeCell ref="F180:G180"/>
    <mergeCell ref="A181:B181"/>
    <mergeCell ref="C160:E160"/>
    <mergeCell ref="F160:G160"/>
    <mergeCell ref="A158:B158"/>
    <mergeCell ref="C158:E158"/>
    <mergeCell ref="F158:G158"/>
    <mergeCell ref="A159:B159"/>
    <mergeCell ref="C159:E159"/>
    <mergeCell ref="F159:G159"/>
    <mergeCell ref="A160:B160"/>
    <mergeCell ref="C163:E163"/>
    <mergeCell ref="F163:G163"/>
    <mergeCell ref="A161:B161"/>
    <mergeCell ref="C161:E161"/>
    <mergeCell ref="F161:G161"/>
    <mergeCell ref="A162:B162"/>
    <mergeCell ref="C162:E162"/>
    <mergeCell ref="F162:G162"/>
    <mergeCell ref="A163:B163"/>
    <mergeCell ref="C166:E166"/>
    <mergeCell ref="F166:G166"/>
    <mergeCell ref="A164:B164"/>
    <mergeCell ref="C164:E164"/>
    <mergeCell ref="F164:G164"/>
    <mergeCell ref="A165:B165"/>
    <mergeCell ref="C165:E165"/>
    <mergeCell ref="F165:G165"/>
    <mergeCell ref="A166:B166"/>
    <mergeCell ref="C169:E169"/>
    <mergeCell ref="F169:G169"/>
    <mergeCell ref="A167:B167"/>
    <mergeCell ref="C167:E167"/>
    <mergeCell ref="F167:G167"/>
    <mergeCell ref="A168:B168"/>
    <mergeCell ref="C168:E168"/>
    <mergeCell ref="F168:G168"/>
    <mergeCell ref="A169:B169"/>
    <mergeCell ref="C172:E172"/>
    <mergeCell ref="F172:G172"/>
    <mergeCell ref="A170:B170"/>
    <mergeCell ref="C170:E170"/>
    <mergeCell ref="F170:G170"/>
    <mergeCell ref="A171:B171"/>
    <mergeCell ref="C171:E171"/>
    <mergeCell ref="F171:G171"/>
    <mergeCell ref="A172:B172"/>
    <mergeCell ref="C175:E175"/>
    <mergeCell ref="F175:G175"/>
    <mergeCell ref="A173:B173"/>
    <mergeCell ref="C173:E173"/>
    <mergeCell ref="F173:G173"/>
    <mergeCell ref="A174:B174"/>
    <mergeCell ref="C174:E174"/>
    <mergeCell ref="F174:G174"/>
    <mergeCell ref="A175:B175"/>
    <mergeCell ref="C181:E181"/>
    <mergeCell ref="F181:G181"/>
    <mergeCell ref="A183:J184"/>
    <mergeCell ref="K183:L184"/>
    <mergeCell ref="A186:J187"/>
    <mergeCell ref="K186:L187"/>
    <mergeCell ref="K189:L190"/>
    <mergeCell ref="A189:J190"/>
    <mergeCell ref="A192:J192"/>
    <mergeCell ref="K192:L193"/>
    <mergeCell ref="A193:J193"/>
    <mergeCell ref="A195:J196"/>
    <mergeCell ref="K195:L196"/>
    <mergeCell ref="K198:L199"/>
    <mergeCell ref="A198:J199"/>
    <mergeCell ref="A201:J202"/>
    <mergeCell ref="K201:L202"/>
    <mergeCell ref="A204:J205"/>
    <mergeCell ref="K204:L205"/>
    <mergeCell ref="A207:J208"/>
    <mergeCell ref="K207:L208"/>
    <mergeCell ref="A209:J210"/>
    <mergeCell ref="K209:L210"/>
    <mergeCell ref="A211:J213"/>
    <mergeCell ref="K211:L213"/>
    <mergeCell ref="A214:J215"/>
    <mergeCell ref="K214:L215"/>
    <mergeCell ref="K216:L217"/>
    <mergeCell ref="D221:J223"/>
    <mergeCell ref="D224:J224"/>
    <mergeCell ref="A216:J217"/>
    <mergeCell ref="A219:L220"/>
    <mergeCell ref="A221:B223"/>
    <mergeCell ref="C221:C223"/>
    <mergeCell ref="K221:L221"/>
    <mergeCell ref="K222:L222"/>
    <mergeCell ref="A224:B224"/>
    <mergeCell ref="A225:B225"/>
    <mergeCell ref="D225:J225"/>
    <mergeCell ref="A226:B226"/>
    <mergeCell ref="D226:J226"/>
    <mergeCell ref="A227:B227"/>
    <mergeCell ref="D227:J227"/>
    <mergeCell ref="A228:B228"/>
    <mergeCell ref="A304:G304"/>
    <mergeCell ref="I304:J304"/>
    <mergeCell ref="A305:G305"/>
    <mergeCell ref="I305:J305"/>
    <mergeCell ref="A306:G306"/>
    <mergeCell ref="I306:J306"/>
    <mergeCell ref="I307:J307"/>
    <mergeCell ref="A307:G307"/>
    <mergeCell ref="A308:G308"/>
    <mergeCell ref="I308:J308"/>
    <mergeCell ref="A309:G309"/>
    <mergeCell ref="I309:J309"/>
    <mergeCell ref="A310:G310"/>
    <mergeCell ref="A311:G311"/>
    <mergeCell ref="A312:G312"/>
    <mergeCell ref="I312:J312"/>
    <mergeCell ref="A313:G313"/>
    <mergeCell ref="I313:J313"/>
    <mergeCell ref="A314:G314"/>
    <mergeCell ref="I314:J314"/>
    <mergeCell ref="I315:J315"/>
    <mergeCell ref="I318:J318"/>
    <mergeCell ref="I319:J319"/>
    <mergeCell ref="A315:G315"/>
    <mergeCell ref="A316:G316"/>
    <mergeCell ref="I316:J316"/>
    <mergeCell ref="A317:G317"/>
    <mergeCell ref="I317:J317"/>
    <mergeCell ref="A318:G318"/>
    <mergeCell ref="A319:G319"/>
    <mergeCell ref="I326:J326"/>
    <mergeCell ref="I327:J327"/>
    <mergeCell ref="A331:G331"/>
    <mergeCell ref="A332:J332"/>
    <mergeCell ref="A328:G328"/>
    <mergeCell ref="I328:J328"/>
    <mergeCell ref="A329:G329"/>
    <mergeCell ref="I329:J329"/>
    <mergeCell ref="A330:G330"/>
    <mergeCell ref="I330:J330"/>
    <mergeCell ref="I331:J331"/>
    <mergeCell ref="I293:J293"/>
    <mergeCell ref="I294:J294"/>
    <mergeCell ref="G292:H292"/>
    <mergeCell ref="G293:H293"/>
    <mergeCell ref="G294:H294"/>
    <mergeCell ref="B295:D295"/>
    <mergeCell ref="A297:L298"/>
    <mergeCell ref="I299:J299"/>
    <mergeCell ref="K299:L299"/>
    <mergeCell ref="K300:L300"/>
    <mergeCell ref="K301:L301"/>
    <mergeCell ref="K302:L302"/>
    <mergeCell ref="K303:L303"/>
    <mergeCell ref="K304:L304"/>
    <mergeCell ref="K305:L305"/>
    <mergeCell ref="K306:L306"/>
    <mergeCell ref="K307:L307"/>
    <mergeCell ref="K308:L308"/>
    <mergeCell ref="K309:L309"/>
    <mergeCell ref="K310:L310"/>
    <mergeCell ref="K311:L311"/>
    <mergeCell ref="K312:L312"/>
    <mergeCell ref="K313:L313"/>
    <mergeCell ref="K314:L314"/>
    <mergeCell ref="K315:L315"/>
    <mergeCell ref="K316:L316"/>
    <mergeCell ref="K317:L317"/>
    <mergeCell ref="K318:L318"/>
    <mergeCell ref="K319:L319"/>
    <mergeCell ref="K320:L320"/>
    <mergeCell ref="K321:L321"/>
    <mergeCell ref="K322:L322"/>
    <mergeCell ref="K323:L323"/>
    <mergeCell ref="K324:L324"/>
    <mergeCell ref="K325:L325"/>
    <mergeCell ref="K326:L326"/>
    <mergeCell ref="K327:L327"/>
    <mergeCell ref="G343:H343"/>
    <mergeCell ref="I343:L343"/>
    <mergeCell ref="D228:J228"/>
    <mergeCell ref="D229:J229"/>
    <mergeCell ref="D230:J230"/>
    <mergeCell ref="D231:J231"/>
    <mergeCell ref="D232:J232"/>
    <mergeCell ref="D233:J233"/>
    <mergeCell ref="D234:J234"/>
    <mergeCell ref="D235:J235"/>
    <mergeCell ref="D236:J236"/>
    <mergeCell ref="A237:J237"/>
    <mergeCell ref="K237:L237"/>
    <mergeCell ref="A239:L240"/>
    <mergeCell ref="A241:L241"/>
    <mergeCell ref="B242:L242"/>
    <mergeCell ref="B243:L243"/>
    <mergeCell ref="B244:L244"/>
    <mergeCell ref="B245:L245"/>
    <mergeCell ref="B246:L246"/>
    <mergeCell ref="B247:L247"/>
    <mergeCell ref="B248:L248"/>
    <mergeCell ref="B249:L249"/>
    <mergeCell ref="B250:L250"/>
    <mergeCell ref="B251:L251"/>
    <mergeCell ref="B252:L252"/>
    <mergeCell ref="B253:L253"/>
    <mergeCell ref="B254:L254"/>
    <mergeCell ref="B255:L255"/>
    <mergeCell ref="A256:L256"/>
    <mergeCell ref="A258:L258"/>
    <mergeCell ref="A259:L259"/>
    <mergeCell ref="A261:L262"/>
    <mergeCell ref="B263:E263"/>
    <mergeCell ref="G263:K263"/>
    <mergeCell ref="H264:I264"/>
    <mergeCell ref="J264:K264"/>
    <mergeCell ref="G265:K266"/>
    <mergeCell ref="G267:G268"/>
    <mergeCell ref="H267:I267"/>
    <mergeCell ref="J267:K267"/>
    <mergeCell ref="H268:I268"/>
    <mergeCell ref="J268:K268"/>
    <mergeCell ref="G269:K270"/>
    <mergeCell ref="H275:I275"/>
    <mergeCell ref="J275:K275"/>
    <mergeCell ref="I302:J302"/>
    <mergeCell ref="I303:J303"/>
    <mergeCell ref="A299:G299"/>
    <mergeCell ref="A300:G300"/>
    <mergeCell ref="I300:J300"/>
    <mergeCell ref="A301:G301"/>
    <mergeCell ref="I301:J301"/>
    <mergeCell ref="A302:G302"/>
    <mergeCell ref="A303:G303"/>
    <mergeCell ref="H276:I276"/>
    <mergeCell ref="J276:K276"/>
    <mergeCell ref="G275:G276"/>
    <mergeCell ref="G279:G280"/>
    <mergeCell ref="G283:G284"/>
    <mergeCell ref="G271:G272"/>
    <mergeCell ref="H271:I271"/>
    <mergeCell ref="J271:K271"/>
    <mergeCell ref="H272:I272"/>
    <mergeCell ref="J272:K272"/>
    <mergeCell ref="G273:K274"/>
    <mergeCell ref="G277:K278"/>
    <mergeCell ref="H279:I279"/>
    <mergeCell ref="J279:K279"/>
    <mergeCell ref="H280:I280"/>
    <mergeCell ref="J280:K280"/>
    <mergeCell ref="G281:K282"/>
    <mergeCell ref="H283:I283"/>
    <mergeCell ref="J283:K283"/>
    <mergeCell ref="H284:I284"/>
    <mergeCell ref="J284:K284"/>
    <mergeCell ref="G285:I285"/>
    <mergeCell ref="J285:K285"/>
    <mergeCell ref="G287:J287"/>
    <mergeCell ref="G288:H288"/>
    <mergeCell ref="I288:J288"/>
    <mergeCell ref="G289:H289"/>
    <mergeCell ref="I289:J289"/>
    <mergeCell ref="G290:H290"/>
    <mergeCell ref="I290:J290"/>
    <mergeCell ref="G291:H291"/>
    <mergeCell ref="I291:J291"/>
    <mergeCell ref="I292:J292"/>
    <mergeCell ref="I310:J310"/>
    <mergeCell ref="I311:J311"/>
    <mergeCell ref="A320:G320"/>
    <mergeCell ref="I320:J320"/>
    <mergeCell ref="A321:G321"/>
    <mergeCell ref="I321:J321"/>
    <mergeCell ref="A322:G322"/>
    <mergeCell ref="I322:J322"/>
    <mergeCell ref="I323:J323"/>
    <mergeCell ref="A323:G323"/>
    <mergeCell ref="A324:G324"/>
    <mergeCell ref="I324:J324"/>
    <mergeCell ref="A325:G325"/>
    <mergeCell ref="I325:J325"/>
    <mergeCell ref="A326:G326"/>
    <mergeCell ref="A327:G327"/>
    <mergeCell ref="K328:L328"/>
    <mergeCell ref="K329:L329"/>
    <mergeCell ref="K330:L330"/>
    <mergeCell ref="K331:L331"/>
    <mergeCell ref="K332:L332"/>
    <mergeCell ref="A334:L334"/>
    <mergeCell ref="A335:L335"/>
    <mergeCell ref="A336:D336"/>
    <mergeCell ref="E336:F336"/>
    <mergeCell ref="G336:H336"/>
    <mergeCell ref="I336:L336"/>
    <mergeCell ref="E337:F337"/>
    <mergeCell ref="G337:H337"/>
    <mergeCell ref="I337:L337"/>
    <mergeCell ref="G339:H339"/>
    <mergeCell ref="I339:L339"/>
    <mergeCell ref="A337:D337"/>
    <mergeCell ref="A338:D338"/>
    <mergeCell ref="E338:F338"/>
    <mergeCell ref="G338:H338"/>
    <mergeCell ref="I338:L338"/>
    <mergeCell ref="A339:D339"/>
    <mergeCell ref="E339:F339"/>
    <mergeCell ref="A340:D340"/>
    <mergeCell ref="E340:F340"/>
    <mergeCell ref="G340:H340"/>
    <mergeCell ref="I340:L340"/>
    <mergeCell ref="E341:F341"/>
    <mergeCell ref="G341:H341"/>
    <mergeCell ref="I341:L341"/>
    <mergeCell ref="A341:D341"/>
    <mergeCell ref="A342:D342"/>
    <mergeCell ref="E342:F342"/>
    <mergeCell ref="G342:H342"/>
    <mergeCell ref="I342:L342"/>
    <mergeCell ref="A343:D343"/>
    <mergeCell ref="E343:F343"/>
  </mergeCells>
  <dataValidations>
    <dataValidation type="list" allowBlank="1" showErrorMessage="1" sqref="C42">
      <formula1>Dados!$A$2:$A$9</formula1>
    </dataValidation>
    <dataValidation type="list" allowBlank="1" showErrorMessage="1" sqref="A114:A144 A149:A181">
      <formula1>Dados!$A$12:$A$27</formula1>
    </dataValidation>
  </dataValidations>
  <printOptions/>
  <pageMargins bottom="0.7874015748031495" footer="0.0" header="0.0" left="0.5118110236220472" right="0.5118110236220472" top="0.7874015748031495"/>
  <pageSetup fitToHeight="0"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29"/>
    <col customWidth="1" min="2" max="11" width="8.71"/>
  </cols>
  <sheetData>
    <row r="2">
      <c r="A2" s="286" t="s">
        <v>55</v>
      </c>
      <c r="E2" s="287" t="s">
        <v>159</v>
      </c>
      <c r="G2" s="287">
        <v>1.0</v>
      </c>
      <c r="H2" s="287" t="s">
        <v>160</v>
      </c>
      <c r="K2" s="287" t="s">
        <v>161</v>
      </c>
    </row>
    <row r="3">
      <c r="A3" s="288" t="s">
        <v>162</v>
      </c>
      <c r="E3" s="287" t="s">
        <v>163</v>
      </c>
      <c r="G3" s="287">
        <v>2.0</v>
      </c>
      <c r="H3" s="287" t="s">
        <v>164</v>
      </c>
      <c r="K3" s="287" t="s">
        <v>165</v>
      </c>
    </row>
    <row r="4">
      <c r="A4" s="288" t="s">
        <v>166</v>
      </c>
      <c r="E4" s="287" t="s">
        <v>167</v>
      </c>
      <c r="G4" s="287">
        <v>3.0</v>
      </c>
      <c r="H4" s="287" t="s">
        <v>168</v>
      </c>
      <c r="K4" s="287" t="s">
        <v>169</v>
      </c>
    </row>
    <row r="5">
      <c r="A5" s="288" t="s">
        <v>170</v>
      </c>
    </row>
    <row r="6">
      <c r="A6" s="288" t="s">
        <v>171</v>
      </c>
      <c r="E6" s="287" t="s">
        <v>172</v>
      </c>
      <c r="G6" s="287">
        <v>4.0</v>
      </c>
      <c r="H6" s="287" t="s">
        <v>173</v>
      </c>
      <c r="K6" s="287" t="s">
        <v>174</v>
      </c>
    </row>
    <row r="7">
      <c r="A7" s="288" t="s">
        <v>175</v>
      </c>
    </row>
    <row r="8">
      <c r="A8" s="288" t="s">
        <v>176</v>
      </c>
      <c r="E8" s="287" t="s">
        <v>177</v>
      </c>
      <c r="G8" s="287">
        <v>5.0</v>
      </c>
      <c r="H8" s="287" t="s">
        <v>178</v>
      </c>
      <c r="K8" s="287" t="s">
        <v>179</v>
      </c>
    </row>
    <row r="9">
      <c r="A9" s="288" t="s">
        <v>180</v>
      </c>
      <c r="E9" s="287" t="s">
        <v>181</v>
      </c>
      <c r="G9" s="287">
        <v>6.0</v>
      </c>
      <c r="H9" s="287" t="s">
        <v>182</v>
      </c>
      <c r="K9" s="287" t="s">
        <v>183</v>
      </c>
    </row>
    <row r="10">
      <c r="E10" s="287" t="s">
        <v>184</v>
      </c>
      <c r="G10" s="287">
        <v>7.0</v>
      </c>
      <c r="H10" s="287" t="s">
        <v>185</v>
      </c>
      <c r="K10" s="287" t="s">
        <v>186</v>
      </c>
    </row>
    <row r="11">
      <c r="E11" s="287" t="s">
        <v>187</v>
      </c>
      <c r="G11" s="287">
        <v>8.0</v>
      </c>
      <c r="H11" s="287" t="s">
        <v>188</v>
      </c>
      <c r="K11" s="287" t="s">
        <v>189</v>
      </c>
    </row>
    <row r="12">
      <c r="A12" s="289" t="s">
        <v>190</v>
      </c>
      <c r="E12" s="287" t="s">
        <v>191</v>
      </c>
      <c r="G12" s="287">
        <v>9.0</v>
      </c>
      <c r="H12" s="287" t="s">
        <v>192</v>
      </c>
      <c r="K12" s="287" t="s">
        <v>193</v>
      </c>
    </row>
    <row r="13">
      <c r="A13" s="290" t="s">
        <v>194</v>
      </c>
      <c r="E13" s="287" t="s">
        <v>195</v>
      </c>
      <c r="G13" s="287">
        <v>10.0</v>
      </c>
      <c r="H13" s="287" t="s">
        <v>196</v>
      </c>
      <c r="K13" s="287" t="s">
        <v>197</v>
      </c>
    </row>
    <row r="14">
      <c r="A14" s="289" t="s">
        <v>198</v>
      </c>
      <c r="E14" s="287" t="s">
        <v>199</v>
      </c>
      <c r="H14" s="287" t="s">
        <v>200</v>
      </c>
      <c r="K14" s="287" t="s">
        <v>201</v>
      </c>
    </row>
    <row r="15">
      <c r="A15" s="289" t="s">
        <v>202</v>
      </c>
      <c r="E15" s="287" t="s">
        <v>203</v>
      </c>
      <c r="H15" s="287" t="s">
        <v>204</v>
      </c>
      <c r="K15" s="287" t="s">
        <v>205</v>
      </c>
    </row>
    <row r="16">
      <c r="A16" s="289" t="s">
        <v>206</v>
      </c>
      <c r="E16" s="287" t="s">
        <v>207</v>
      </c>
      <c r="H16" s="287" t="s">
        <v>208</v>
      </c>
      <c r="K16" s="287" t="s">
        <v>209</v>
      </c>
    </row>
    <row r="17">
      <c r="A17" s="289" t="s">
        <v>210</v>
      </c>
      <c r="E17" s="287" t="s">
        <v>211</v>
      </c>
      <c r="H17" s="287" t="s">
        <v>212</v>
      </c>
      <c r="K17" s="287" t="s">
        <v>213</v>
      </c>
    </row>
    <row r="18">
      <c r="A18" s="289" t="s">
        <v>214</v>
      </c>
      <c r="E18" s="287" t="s">
        <v>215</v>
      </c>
      <c r="H18" s="287" t="s">
        <v>216</v>
      </c>
      <c r="K18" s="287" t="s">
        <v>217</v>
      </c>
    </row>
    <row r="19">
      <c r="A19" s="289" t="s">
        <v>218</v>
      </c>
      <c r="E19" s="287" t="s">
        <v>219</v>
      </c>
      <c r="H19" s="287" t="s">
        <v>220</v>
      </c>
      <c r="K19" s="287" t="s">
        <v>221</v>
      </c>
    </row>
    <row r="20">
      <c r="A20" s="289" t="s">
        <v>222</v>
      </c>
      <c r="E20" s="287" t="s">
        <v>223</v>
      </c>
      <c r="H20" s="287" t="s">
        <v>224</v>
      </c>
      <c r="K20" s="287" t="s">
        <v>225</v>
      </c>
    </row>
    <row r="21" ht="15.75" customHeight="1">
      <c r="A21" s="289" t="s">
        <v>226</v>
      </c>
      <c r="E21" s="287" t="s">
        <v>227</v>
      </c>
      <c r="H21" s="287" t="s">
        <v>228</v>
      </c>
      <c r="K21" s="287" t="s">
        <v>229</v>
      </c>
    </row>
    <row r="22" ht="15.75" customHeight="1">
      <c r="A22" s="289" t="s">
        <v>230</v>
      </c>
      <c r="E22" s="287" t="s">
        <v>231</v>
      </c>
      <c r="H22" s="287" t="s">
        <v>232</v>
      </c>
      <c r="K22" s="287" t="s">
        <v>233</v>
      </c>
    </row>
    <row r="23" ht="15.75" customHeight="1">
      <c r="A23" s="289" t="s">
        <v>234</v>
      </c>
      <c r="E23" s="287" t="s">
        <v>235</v>
      </c>
      <c r="H23" s="287" t="s">
        <v>236</v>
      </c>
      <c r="K23" s="287" t="s">
        <v>237</v>
      </c>
    </row>
    <row r="24" ht="15.75" customHeight="1">
      <c r="A24" s="289" t="s">
        <v>238</v>
      </c>
      <c r="E24" s="287" t="s">
        <v>239</v>
      </c>
      <c r="H24" s="287" t="s">
        <v>240</v>
      </c>
      <c r="K24" s="287" t="s">
        <v>241</v>
      </c>
    </row>
    <row r="25" ht="15.75" customHeight="1">
      <c r="A25" s="289" t="s">
        <v>242</v>
      </c>
      <c r="E25" s="287" t="s">
        <v>243</v>
      </c>
      <c r="H25" s="287" t="s">
        <v>244</v>
      </c>
      <c r="K25" s="287" t="s">
        <v>245</v>
      </c>
    </row>
    <row r="26" ht="15.75" customHeight="1">
      <c r="A26" s="291" t="s">
        <v>246</v>
      </c>
      <c r="E26" s="287" t="s">
        <v>247</v>
      </c>
      <c r="H26" s="287" t="s">
        <v>248</v>
      </c>
      <c r="K26" s="287" t="s">
        <v>249</v>
      </c>
    </row>
    <row r="27" ht="15.75" customHeight="1">
      <c r="A27" s="291" t="s">
        <v>250</v>
      </c>
      <c r="E27" s="287" t="s">
        <v>251</v>
      </c>
      <c r="H27" s="287" t="s">
        <v>252</v>
      </c>
      <c r="K27" s="287" t="s">
        <v>253</v>
      </c>
    </row>
    <row r="28" ht="15.75" customHeight="1">
      <c r="E28" s="287" t="s">
        <v>254</v>
      </c>
      <c r="H28" s="287" t="s">
        <v>255</v>
      </c>
      <c r="K28" s="287" t="s">
        <v>256</v>
      </c>
    </row>
    <row r="29" ht="15.75" customHeight="1">
      <c r="E29" s="287" t="s">
        <v>257</v>
      </c>
      <c r="H29" s="287" t="s">
        <v>258</v>
      </c>
      <c r="K29" s="287" t="s">
        <v>259</v>
      </c>
    </row>
    <row r="30" ht="15.75" customHeight="1">
      <c r="E30" s="287" t="s">
        <v>260</v>
      </c>
      <c r="H30" s="287" t="s">
        <v>261</v>
      </c>
      <c r="K30" s="287" t="s">
        <v>262</v>
      </c>
    </row>
    <row r="31" ht="15.75" customHeight="1">
      <c r="E31" s="287" t="s">
        <v>263</v>
      </c>
      <c r="H31" s="287" t="s">
        <v>264</v>
      </c>
      <c r="K31" s="287" t="s">
        <v>265</v>
      </c>
    </row>
    <row r="32" ht="15.75" customHeight="1">
      <c r="E32" s="287" t="s">
        <v>266</v>
      </c>
      <c r="H32" s="287" t="s">
        <v>267</v>
      </c>
      <c r="K32" s="287" t="s">
        <v>268</v>
      </c>
    </row>
    <row r="33" ht="15.75" customHeight="1">
      <c r="E33" s="287" t="s">
        <v>269</v>
      </c>
      <c r="H33" s="287" t="s">
        <v>270</v>
      </c>
      <c r="K33" s="287" t="s">
        <v>271</v>
      </c>
    </row>
    <row r="34" ht="15.75" customHeight="1">
      <c r="E34" s="287" t="s">
        <v>272</v>
      </c>
      <c r="H34" s="287" t="s">
        <v>273</v>
      </c>
      <c r="K34" s="287" t="s">
        <v>274</v>
      </c>
    </row>
    <row r="35" ht="15.75" customHeight="1">
      <c r="E35" s="287" t="s">
        <v>275</v>
      </c>
      <c r="H35" s="287" t="s">
        <v>276</v>
      </c>
      <c r="K35" s="287" t="s">
        <v>277</v>
      </c>
    </row>
    <row r="36" ht="15.75" customHeight="1">
      <c r="E36" s="287" t="s">
        <v>278</v>
      </c>
      <c r="H36" s="287" t="s">
        <v>279</v>
      </c>
      <c r="K36" s="287" t="s">
        <v>280</v>
      </c>
    </row>
    <row r="37" ht="15.75" customHeight="1">
      <c r="E37" s="287" t="s">
        <v>281</v>
      </c>
      <c r="H37" s="287" t="s">
        <v>282</v>
      </c>
      <c r="K37" s="287" t="s">
        <v>283</v>
      </c>
    </row>
    <row r="38" ht="15.75" customHeight="1">
      <c r="E38" s="287" t="s">
        <v>284</v>
      </c>
      <c r="H38" s="287" t="s">
        <v>285</v>
      </c>
      <c r="K38" s="287" t="s">
        <v>286</v>
      </c>
    </row>
    <row r="39" ht="15.75" customHeight="1">
      <c r="E39" s="287" t="s">
        <v>287</v>
      </c>
      <c r="H39" s="287" t="s">
        <v>288</v>
      </c>
      <c r="K39" s="287" t="s">
        <v>289</v>
      </c>
    </row>
    <row r="40" ht="15.75" customHeight="1">
      <c r="E40" s="287" t="s">
        <v>290</v>
      </c>
      <c r="H40" s="287" t="s">
        <v>291</v>
      </c>
      <c r="K40" s="287" t="s">
        <v>292</v>
      </c>
    </row>
    <row r="41" ht="15.75" customHeight="1">
      <c r="E41" s="287" t="s">
        <v>293</v>
      </c>
      <c r="H41" s="287" t="s">
        <v>294</v>
      </c>
      <c r="K41" s="287" t="s">
        <v>295</v>
      </c>
    </row>
    <row r="42" ht="15.75" customHeight="1">
      <c r="E42" s="287" t="s">
        <v>296</v>
      </c>
      <c r="H42" s="287" t="s">
        <v>297</v>
      </c>
      <c r="K42" s="287" t="s">
        <v>298</v>
      </c>
    </row>
    <row r="43" ht="15.75" customHeight="1">
      <c r="E43" s="287" t="s">
        <v>299</v>
      </c>
      <c r="H43" s="287" t="s">
        <v>300</v>
      </c>
      <c r="K43" s="287" t="s">
        <v>301</v>
      </c>
    </row>
    <row r="44" ht="15.75" customHeight="1">
      <c r="E44" s="287" t="s">
        <v>302</v>
      </c>
      <c r="H44" s="287" t="s">
        <v>303</v>
      </c>
    </row>
    <row r="45" ht="15.75" customHeight="1">
      <c r="E45" s="287" t="s">
        <v>304</v>
      </c>
      <c r="H45" s="287" t="s">
        <v>305</v>
      </c>
    </row>
    <row r="46" ht="15.75" customHeight="1">
      <c r="E46" s="287" t="s">
        <v>306</v>
      </c>
      <c r="H46" s="287" t="s">
        <v>307</v>
      </c>
    </row>
    <row r="47" ht="15.75" customHeight="1">
      <c r="E47" s="287" t="s">
        <v>308</v>
      </c>
      <c r="H47" s="287" t="s">
        <v>309</v>
      </c>
    </row>
    <row r="48" ht="15.75" customHeight="1">
      <c r="E48" s="287" t="s">
        <v>310</v>
      </c>
      <c r="H48" s="287" t="s">
        <v>311</v>
      </c>
    </row>
    <row r="49" ht="15.75" customHeight="1">
      <c r="E49" s="287" t="s">
        <v>312</v>
      </c>
      <c r="H49" s="287" t="s">
        <v>313</v>
      </c>
    </row>
    <row r="50" ht="15.75" customHeight="1">
      <c r="E50" s="287" t="s">
        <v>314</v>
      </c>
      <c r="H50" s="287" t="s">
        <v>315</v>
      </c>
    </row>
    <row r="51" ht="15.75" customHeight="1">
      <c r="E51" s="287" t="s">
        <v>316</v>
      </c>
      <c r="H51" s="287" t="s">
        <v>317</v>
      </c>
    </row>
    <row r="52" ht="15.75" customHeight="1">
      <c r="E52" s="287" t="s">
        <v>318</v>
      </c>
      <c r="H52" s="287" t="s">
        <v>319</v>
      </c>
    </row>
    <row r="53" ht="15.75" customHeight="1">
      <c r="E53" s="287" t="s">
        <v>320</v>
      </c>
      <c r="H53" s="287" t="s">
        <v>321</v>
      </c>
    </row>
    <row r="54" ht="15.75" customHeight="1">
      <c r="E54" s="287" t="s">
        <v>322</v>
      </c>
      <c r="H54" s="287" t="s">
        <v>323</v>
      </c>
    </row>
    <row r="55" ht="15.75" customHeight="1">
      <c r="E55" s="287" t="s">
        <v>324</v>
      </c>
      <c r="H55" s="287" t="s">
        <v>325</v>
      </c>
    </row>
    <row r="56" ht="15.75" customHeight="1">
      <c r="E56" s="287" t="s">
        <v>326</v>
      </c>
      <c r="H56" s="287" t="s">
        <v>327</v>
      </c>
    </row>
    <row r="57" ht="15.75" customHeight="1">
      <c r="E57" s="287" t="s">
        <v>328</v>
      </c>
      <c r="H57" s="287" t="s">
        <v>329</v>
      </c>
    </row>
    <row r="58" ht="15.75" customHeight="1">
      <c r="E58" s="287" t="s">
        <v>330</v>
      </c>
      <c r="H58" s="287" t="s">
        <v>331</v>
      </c>
    </row>
    <row r="59" ht="15.75" customHeight="1">
      <c r="E59" s="287" t="s">
        <v>332</v>
      </c>
      <c r="H59" s="287" t="s">
        <v>333</v>
      </c>
    </row>
    <row r="60" ht="15.75" customHeight="1">
      <c r="E60" s="287" t="s">
        <v>334</v>
      </c>
      <c r="H60" s="287" t="s">
        <v>335</v>
      </c>
    </row>
    <row r="61" ht="15.75" customHeight="1">
      <c r="E61" s="287" t="s">
        <v>336</v>
      </c>
      <c r="H61" s="287" t="s">
        <v>337</v>
      </c>
    </row>
    <row r="62" ht="15.75" customHeight="1">
      <c r="E62" s="287" t="s">
        <v>338</v>
      </c>
      <c r="H62" s="287" t="s">
        <v>339</v>
      </c>
    </row>
    <row r="63" ht="15.75" customHeight="1">
      <c r="E63" s="287" t="s">
        <v>340</v>
      </c>
      <c r="H63" s="287" t="s">
        <v>341</v>
      </c>
    </row>
    <row r="64" ht="15.75" customHeight="1">
      <c r="H64" s="287" t="s">
        <v>342</v>
      </c>
    </row>
    <row r="65" ht="15.75" customHeight="1">
      <c r="H65" s="287" t="s">
        <v>343</v>
      </c>
    </row>
    <row r="66" ht="15.75" customHeight="1">
      <c r="H66" s="287" t="s">
        <v>344</v>
      </c>
    </row>
    <row r="67" ht="15.75" customHeight="1">
      <c r="H67" s="287" t="s">
        <v>345</v>
      </c>
    </row>
    <row r="68" ht="15.75" customHeight="1">
      <c r="H68" s="287" t="s">
        <v>346</v>
      </c>
    </row>
    <row r="69" ht="15.75" customHeight="1">
      <c r="H69" s="287" t="s">
        <v>347</v>
      </c>
    </row>
    <row r="70" ht="15.75" customHeight="1">
      <c r="H70" s="287" t="s">
        <v>348</v>
      </c>
    </row>
    <row r="71" ht="15.75" customHeight="1">
      <c r="H71" s="287" t="s">
        <v>349</v>
      </c>
    </row>
    <row r="72" ht="15.75" customHeight="1">
      <c r="H72" s="287" t="s">
        <v>350</v>
      </c>
    </row>
    <row r="73" ht="15.75" customHeight="1">
      <c r="H73" s="287" t="s">
        <v>351</v>
      </c>
    </row>
    <row r="74" ht="15.75" customHeight="1">
      <c r="H74" s="287" t="s">
        <v>352</v>
      </c>
    </row>
    <row r="75" ht="15.75" customHeight="1">
      <c r="H75" s="287" t="s">
        <v>353</v>
      </c>
    </row>
    <row r="76" ht="15.75" customHeight="1">
      <c r="H76" s="287" t="s">
        <v>354</v>
      </c>
    </row>
    <row r="77" ht="15.75" customHeight="1">
      <c r="H77" s="287" t="s">
        <v>355</v>
      </c>
    </row>
    <row r="78" ht="15.75" customHeight="1">
      <c r="H78" s="287" t="s">
        <v>356</v>
      </c>
    </row>
    <row r="79" ht="15.75" customHeight="1">
      <c r="H79" s="287" t="s">
        <v>357</v>
      </c>
    </row>
    <row r="80" ht="15.75" customHeight="1">
      <c r="H80" s="287" t="s">
        <v>358</v>
      </c>
    </row>
    <row r="81" ht="15.75" customHeight="1">
      <c r="H81" s="287" t="s">
        <v>359</v>
      </c>
    </row>
    <row r="82" ht="15.75" customHeight="1">
      <c r="H82" s="287" t="s">
        <v>360</v>
      </c>
    </row>
    <row r="83" ht="15.75" customHeight="1">
      <c r="H83" s="287" t="s">
        <v>361</v>
      </c>
    </row>
    <row r="84" ht="15.75" customHeight="1">
      <c r="H84" s="287" t="s">
        <v>362</v>
      </c>
    </row>
    <row r="85" ht="15.75" customHeight="1">
      <c r="H85" s="287" t="s">
        <v>363</v>
      </c>
    </row>
    <row r="86" ht="15.75" customHeight="1">
      <c r="H86" s="287" t="s">
        <v>364</v>
      </c>
    </row>
    <row r="87" ht="15.75" customHeight="1">
      <c r="H87" s="287" t="s">
        <v>365</v>
      </c>
    </row>
    <row r="88" ht="15.75" customHeight="1">
      <c r="H88" s="287" t="s">
        <v>366</v>
      </c>
    </row>
    <row r="89" ht="15.75" customHeight="1">
      <c r="H89" s="287" t="s">
        <v>367</v>
      </c>
    </row>
    <row r="90" ht="15.75" customHeight="1">
      <c r="H90" s="287" t="s">
        <v>368</v>
      </c>
    </row>
    <row r="91" ht="15.75" customHeight="1">
      <c r="H91" s="287" t="s">
        <v>369</v>
      </c>
    </row>
    <row r="92" ht="15.75" customHeight="1">
      <c r="H92" s="287" t="s">
        <v>370</v>
      </c>
    </row>
    <row r="93" ht="15.75" customHeight="1">
      <c r="H93" s="287" t="s">
        <v>371</v>
      </c>
    </row>
    <row r="94" ht="15.75" customHeight="1">
      <c r="H94" s="287" t="s">
        <v>372</v>
      </c>
    </row>
    <row r="95" ht="15.75" customHeight="1">
      <c r="H95" s="287" t="s">
        <v>373</v>
      </c>
    </row>
    <row r="96" ht="15.75" customHeight="1">
      <c r="H96" s="287" t="s">
        <v>374</v>
      </c>
    </row>
    <row r="97" ht="15.75" customHeight="1">
      <c r="H97" s="287" t="s">
        <v>375</v>
      </c>
    </row>
    <row r="98" ht="15.75" customHeight="1">
      <c r="H98" s="287" t="s">
        <v>376</v>
      </c>
    </row>
    <row r="99" ht="15.75" customHeight="1">
      <c r="H99" s="287" t="s">
        <v>377</v>
      </c>
    </row>
    <row r="100" ht="15.75" customHeight="1">
      <c r="H100" s="287" t="s">
        <v>378</v>
      </c>
    </row>
    <row r="101" ht="15.75" customHeight="1">
      <c r="H101" s="287" t="s">
        <v>379</v>
      </c>
    </row>
    <row r="102" ht="15.75" customHeight="1">
      <c r="H102" s="287" t="s">
        <v>380</v>
      </c>
    </row>
    <row r="103" ht="15.75" customHeight="1">
      <c r="H103" s="287" t="s">
        <v>381</v>
      </c>
    </row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2023-07-25T12:28:04Z</dcterms:created>
  <dc:creator>pccli</dc:creator>
</cp:coreProperties>
</file>