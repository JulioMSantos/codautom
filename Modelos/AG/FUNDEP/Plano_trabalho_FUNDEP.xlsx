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GITTEC\Downloads\"/>
    </mc:Choice>
  </mc:AlternateContent>
  <xr:revisionPtr revIDLastSave="0" documentId="13_ncr:1_{F2498FE1-4B98-4832-9780-21A09F171A84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Plano de Trabalho" sheetId="1" r:id="rId1"/>
    <sheet name="Dados" sheetId="2" state="hidden" r:id="rId2"/>
  </sheets>
  <calcPr calcId="191029"/>
  <extLst>
    <ext uri="GoogleSheetsCustomDataVersion2">
      <go:sheetsCustomData xmlns:go="http://customooxmlschemas.google.com/" r:id="rId6" roundtripDataChecksum="kYcyUjPSJuvimsOroGyfrY9WWGnioGoWJAz7lFIQPWc="/>
    </ext>
  </extLst>
</workbook>
</file>

<file path=xl/calcChain.xml><?xml version="1.0" encoding="utf-8"?>
<calcChain xmlns="http://schemas.openxmlformats.org/spreadsheetml/2006/main">
  <c r="K425" i="1" l="1"/>
  <c r="K424" i="1"/>
  <c r="K423" i="1"/>
  <c r="K422" i="1"/>
  <c r="K421" i="1"/>
  <c r="K420" i="1"/>
  <c r="K419" i="1"/>
  <c r="K418" i="1"/>
  <c r="K417" i="1"/>
  <c r="K416" i="1"/>
  <c r="K415" i="1"/>
  <c r="K414" i="1"/>
  <c r="K413" i="1"/>
  <c r="K412" i="1"/>
  <c r="K411" i="1"/>
  <c r="K410" i="1"/>
  <c r="K409" i="1"/>
  <c r="K408" i="1"/>
  <c r="K407" i="1"/>
  <c r="K406" i="1"/>
  <c r="K405" i="1"/>
  <c r="K404" i="1"/>
  <c r="K403" i="1"/>
  <c r="K402" i="1"/>
  <c r="K401" i="1"/>
  <c r="K400" i="1"/>
  <c r="K399" i="1"/>
  <c r="K398" i="1"/>
  <c r="K397" i="1"/>
  <c r="K396" i="1"/>
  <c r="K395" i="1"/>
  <c r="K394" i="1"/>
  <c r="K393" i="1"/>
  <c r="E388" i="1"/>
  <c r="I387" i="1"/>
  <c r="J378" i="1"/>
  <c r="K292" i="1"/>
  <c r="K249" i="1"/>
  <c r="K241" i="1"/>
  <c r="K233" i="1"/>
  <c r="K187" i="1"/>
  <c r="K181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K101" i="1"/>
  <c r="L145" i="1" l="1"/>
  <c r="K87" i="1" s="1"/>
  <c r="K426" i="1"/>
  <c r="K290" i="1" s="1"/>
  <c r="K288" i="1" s="1"/>
  <c r="K89" i="1" s="1"/>
  <c r="L110" i="1"/>
  <c r="K300" i="1" l="1"/>
  <c r="K304" i="1"/>
  <c r="K91" i="1"/>
  <c r="K93" i="1" l="1"/>
  <c r="K95" i="1" s="1"/>
  <c r="K64" i="1" s="1"/>
  <c r="K30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31" authorId="0" shapeId="0" xr:uid="{00000000-0006-0000-0000-000027000000}">
      <text>
        <r>
          <rPr>
            <sz val="11"/>
            <color theme="1"/>
            <rFont val="Calibri"/>
            <scheme val="minor"/>
          </rPr>
          <t>======
ID#AAAB1mqcq9k
pccli    (2026-02-26 18:52:16)
(insira aqui o nº de meses de execução do projeto, Global: 60 meses)</t>
        </r>
      </text>
    </comment>
    <comment ref="D32" authorId="0" shapeId="0" xr:uid="{00000000-0006-0000-0000-000010000000}">
      <text>
        <r>
          <rPr>
            <sz val="11"/>
            <color theme="1"/>
            <rFont val="Calibri"/>
            <scheme val="minor"/>
          </rPr>
          <t>======
ID#AAAB1mqcq-I
pccli    (2026-02-26 18:52:16)
(Ou insira aqui a data de término do projeto)</t>
        </r>
      </text>
    </comment>
    <comment ref="B66" authorId="0" shapeId="0" xr:uid="{00000000-0006-0000-0000-000032000000}">
      <text>
        <r>
          <rPr>
            <sz val="11"/>
            <color theme="1"/>
            <rFont val="Calibri"/>
            <scheme val="minor"/>
          </rPr>
          <t>======
ID#AAAB1mqcq-M
pccli    (2026-02-26 18:52:16)
(Informe o título e registro do projeto de prestação de serviços que aportará recursos no projeto, na forma prevista pelo Art. 14, §3º, III, da Res. 025/2012 da UFSM.)</t>
        </r>
      </text>
    </comment>
    <comment ref="A103" authorId="0" shapeId="0" xr:uid="{00000000-0006-0000-0000-000007000000}">
      <text>
        <r>
          <rPr>
            <sz val="11"/>
            <color theme="1"/>
            <rFont val="Calibri"/>
            <scheme val="minor"/>
          </rPr>
          <t>======
ID#AAAB1mqcq94
pccli    (2026-02-26 18:52:16)
(Informe o título e registro do projeto de pesquisa que receberá aportes de recursos, na forma prevista pelo Art. 14, §3º, III, da Res. 025/2012 da UFSM.)</t>
        </r>
      </text>
    </comment>
    <comment ref="K302" authorId="0" shapeId="0" xr:uid="{00000000-0006-0000-0000-000026000000}">
      <text>
        <r>
          <rPr>
            <sz val="11"/>
            <color theme="1"/>
            <rFont val="Calibri"/>
            <scheme val="minor"/>
          </rPr>
          <t>======
ID#AAAB1mIRWz0
PERCENTUAL UFSM    (2026-02-26 18:52:16)
De R$ 0,00 (zero reais) a R$ 200.000,00 (duzentos mil reais) = 5%
ACIMA DE R$ 200.001,00 (duzentos mil e um reias reais) = 8%
*VALOR TOTAL DO PROJETO</t>
        </r>
      </text>
    </comment>
    <comment ref="D317" authorId="0" shapeId="0" xr:uid="{00000000-0006-0000-0000-00002B000000}">
      <text>
        <r>
          <rPr>
            <sz val="11"/>
            <color theme="1"/>
            <rFont val="Calibri"/>
            <scheme val="minor"/>
          </rPr>
          <t>======
ID#AAAB1mqcq9c
pccli    (2026-02-26 18:52:16)
(descreva aqui a fase da meta de execução)</t>
        </r>
      </text>
    </comment>
    <comment ref="D318" authorId="0" shapeId="0" xr:uid="{00000000-0006-0000-0000-00001F000000}">
      <text>
        <r>
          <rPr>
            <sz val="11"/>
            <color theme="1"/>
            <rFont val="Calibri"/>
            <scheme val="minor"/>
          </rPr>
          <t>======
ID#AAAB1mqcq9E
pccli    (2026-02-26 18:52:16)
(descreva aqui a fase da meta de execução)</t>
        </r>
      </text>
    </comment>
    <comment ref="D319" authorId="0" shapeId="0" xr:uid="{00000000-0006-0000-0000-000009000000}">
      <text>
        <r>
          <rPr>
            <sz val="11"/>
            <color theme="1"/>
            <rFont val="Calibri"/>
            <scheme val="minor"/>
          </rPr>
          <t>======
ID#AAAB1mqcq90
pccli    (2026-02-26 18:52:16)
(descreva aqui a fase da meta de execução)</t>
        </r>
      </text>
    </comment>
    <comment ref="D320" authorId="0" shapeId="0" xr:uid="{00000000-0006-0000-0000-00001A000000}">
      <text>
        <r>
          <rPr>
            <sz val="11"/>
            <color theme="1"/>
            <rFont val="Calibri"/>
            <scheme val="minor"/>
          </rPr>
          <t>======
ID#AAAB1mqcq-A
pccli    (2026-02-26 18:52:16)
(descreva aqui a fase da meta de execução)</t>
        </r>
      </text>
    </comment>
    <comment ref="D321" authorId="0" shapeId="0" xr:uid="{00000000-0006-0000-0000-000025000000}">
      <text>
        <r>
          <rPr>
            <sz val="11"/>
            <color theme="1"/>
            <rFont val="Calibri"/>
            <scheme val="minor"/>
          </rPr>
          <t>======
ID#AAAB1mqcq9o
pccli    (2026-02-26 18:52:16)
(descreva aqui a fase da meta de execução)</t>
        </r>
      </text>
    </comment>
    <comment ref="D322" authorId="0" shapeId="0" xr:uid="{00000000-0006-0000-0000-00000D000000}">
      <text>
        <r>
          <rPr>
            <sz val="11"/>
            <color theme="1"/>
            <rFont val="Calibri"/>
            <scheme val="minor"/>
          </rPr>
          <t>======
ID#AAAB1mqcq8s
pccli    (2026-02-26 18:52:16)
(descreva aqui a fase da meta de execução)</t>
        </r>
      </text>
    </comment>
    <comment ref="D323" authorId="0" shapeId="0" xr:uid="{00000000-0006-0000-0000-00000F000000}">
      <text>
        <r>
          <rPr>
            <sz val="11"/>
            <color theme="1"/>
            <rFont val="Calibri"/>
            <scheme val="minor"/>
          </rPr>
          <t>======
ID#AAAB1mqcq9U
pccli    (2026-02-26 18:52:16)
(descreva aqui a fase da meta de execução)</t>
        </r>
      </text>
    </comment>
    <comment ref="D324" authorId="0" shapeId="0" xr:uid="{00000000-0006-0000-0000-000011000000}">
      <text>
        <r>
          <rPr>
            <sz val="11"/>
            <color theme="1"/>
            <rFont val="Calibri"/>
            <scheme val="minor"/>
          </rPr>
          <t>======
ID#AAAB1mIRW0A
pccli    (2026-02-26 18:52:16)
(descreva aqui a fase da meta de execução)</t>
        </r>
      </text>
    </comment>
    <comment ref="D325" authorId="0" shapeId="0" xr:uid="{00000000-0006-0000-0000-000023000000}">
      <text>
        <r>
          <rPr>
            <sz val="11"/>
            <color theme="1"/>
            <rFont val="Calibri"/>
            <scheme val="minor"/>
          </rPr>
          <t>======
ID#AAAB1mIRWzg
pccli    (2026-02-26 18:52:16)
(descreva aqui a fase da meta de execução)</t>
        </r>
      </text>
    </comment>
    <comment ref="D326" authorId="0" shapeId="0" xr:uid="{00000000-0006-0000-0000-000015000000}">
      <text>
        <r>
          <rPr>
            <sz val="11"/>
            <color theme="1"/>
            <rFont val="Calibri"/>
            <scheme val="minor"/>
          </rPr>
          <t>======
ID#AAAB1mqcq-E
pccli    (2026-02-26 18:52:16)
(descreva aqui a fase da meta de execução)</t>
        </r>
      </text>
    </comment>
    <comment ref="D327" authorId="0" shapeId="0" xr:uid="{00000000-0006-0000-0000-00001B000000}">
      <text>
        <r>
          <rPr>
            <sz val="11"/>
            <color theme="1"/>
            <rFont val="Calibri"/>
            <scheme val="minor"/>
          </rPr>
          <t>======
ID#AAAB1mIRWzU
pccli    (2026-02-26 18:52:16)
(descreva aqui a fase da meta de execução)</t>
        </r>
      </text>
    </comment>
    <comment ref="D328" authorId="0" shapeId="0" xr:uid="{00000000-0006-0000-0000-000017000000}">
      <text>
        <r>
          <rPr>
            <sz val="11"/>
            <color theme="1"/>
            <rFont val="Calibri"/>
            <scheme val="minor"/>
          </rPr>
          <t>======
ID#AAAB1mqcq8k
pccli    (2026-02-26 18:52:16)
(descreva aqui a fase da meta de execução)</t>
        </r>
      </text>
    </comment>
    <comment ref="D329" authorId="0" shapeId="0" xr:uid="{00000000-0006-0000-0000-000029000000}">
      <text>
        <r>
          <rPr>
            <sz val="11"/>
            <color theme="1"/>
            <rFont val="Calibri"/>
            <scheme val="minor"/>
          </rPr>
          <t>======
ID#AAAB1mqcq9g
pccli    (2026-02-26 18:52:16)
pccli:</t>
        </r>
      </text>
    </comment>
    <comment ref="A393" authorId="0" shapeId="0" xr:uid="{00000000-0006-0000-0000-000001000000}">
      <text>
        <r>
          <rPr>
            <sz val="11"/>
            <color theme="1"/>
            <rFont val="Calibri"/>
            <scheme val="minor"/>
          </rPr>
          <t>======
ID#AAAB1mqcq84
pccli    (2026-02-26 18:52:16)
(Aqui descreva o material permanente)</t>
        </r>
      </text>
    </comment>
    <comment ref="A394" authorId="0" shapeId="0" xr:uid="{00000000-0006-0000-0000-00002F000000}">
      <text>
        <r>
          <rPr>
            <sz val="11"/>
            <color theme="1"/>
            <rFont val="Calibri"/>
            <scheme val="minor"/>
          </rPr>
          <t>======
ID#AAAB1mqcq8w
pccli    (2026-02-26 18:52:16)
(Aqui descreva o material permanente)</t>
        </r>
      </text>
    </comment>
    <comment ref="A395" authorId="0" shapeId="0" xr:uid="{00000000-0006-0000-0000-00000A000000}">
      <text>
        <r>
          <rPr>
            <sz val="11"/>
            <color theme="1"/>
            <rFont val="Calibri"/>
            <scheme val="minor"/>
          </rPr>
          <t>======
ID#AAAB1mIRWzo
pccli    (2026-02-26 18:52:16)
(Aqui descreva o material permanente)</t>
        </r>
      </text>
    </comment>
    <comment ref="A396" authorId="0" shapeId="0" xr:uid="{00000000-0006-0000-0000-00002C000000}">
      <text>
        <r>
          <rPr>
            <sz val="11"/>
            <color theme="1"/>
            <rFont val="Calibri"/>
            <scheme val="minor"/>
          </rPr>
          <t>======
ID#AAAB1mqcq-U
pccli    (2026-02-26 18:52:16)
(Aqui descreva o material permanente)</t>
        </r>
      </text>
    </comment>
    <comment ref="A397" authorId="0" shapeId="0" xr:uid="{00000000-0006-0000-0000-000018000000}">
      <text>
        <r>
          <rPr>
            <sz val="11"/>
            <color theme="1"/>
            <rFont val="Calibri"/>
            <scheme val="minor"/>
          </rPr>
          <t>======
ID#AAAB1mIRWzQ
pccli    (2026-02-26 18:52:16)
(Aqui descreva o material permanente)</t>
        </r>
      </text>
    </comment>
    <comment ref="A398" authorId="0" shapeId="0" xr:uid="{00000000-0006-0000-0000-000003000000}">
      <text>
        <r>
          <rPr>
            <sz val="11"/>
            <color theme="1"/>
            <rFont val="Calibri"/>
            <scheme val="minor"/>
          </rPr>
          <t>======
ID#AAAB1mIRWy0
pccli    (2026-02-26 18:52:16)
(Aqui descreva o material permanente)</t>
        </r>
      </text>
    </comment>
    <comment ref="A399" authorId="0" shapeId="0" xr:uid="{00000000-0006-0000-0000-00001E000000}">
      <text>
        <r>
          <rPr>
            <sz val="11"/>
            <color theme="1"/>
            <rFont val="Calibri"/>
            <scheme val="minor"/>
          </rPr>
          <t>======
ID#AAAB1mIRWzY
pccli    (2026-02-26 18:52:16)
(Aqui descreva o material permanente)</t>
        </r>
      </text>
    </comment>
    <comment ref="A400" authorId="0" shapeId="0" xr:uid="{00000000-0006-0000-0000-00002A000000}">
      <text>
        <r>
          <rPr>
            <sz val="11"/>
            <color theme="1"/>
            <rFont val="Calibri"/>
            <scheme val="minor"/>
          </rPr>
          <t>======
ID#AAAB1mIRWz8
pccli    (2026-02-26 18:52:16)
(Aqui descreva o material permanente)</t>
        </r>
      </text>
    </comment>
    <comment ref="A401" authorId="0" shapeId="0" xr:uid="{00000000-0006-0000-0000-000019000000}">
      <text>
        <r>
          <rPr>
            <sz val="11"/>
            <color theme="1"/>
            <rFont val="Calibri"/>
            <scheme val="minor"/>
          </rPr>
          <t>======
ID#AAAB1mqcq9M
pccli    (2026-02-26 18:52:16)
(Aqui descreva o material permanente)</t>
        </r>
      </text>
    </comment>
    <comment ref="A402" authorId="0" shapeId="0" xr:uid="{00000000-0006-0000-0000-000012000000}">
      <text>
        <r>
          <rPr>
            <sz val="11"/>
            <color theme="1"/>
            <rFont val="Calibri"/>
            <scheme val="minor"/>
          </rPr>
          <t>======
ID#AAAB1mqcq8o
pccli    (2026-02-26 18:52:16)
(Aqui descreva o material permanente)</t>
        </r>
      </text>
    </comment>
    <comment ref="A403" authorId="0" shapeId="0" xr:uid="{00000000-0006-0000-0000-000008000000}">
      <text>
        <r>
          <rPr>
            <sz val="11"/>
            <color theme="1"/>
            <rFont val="Calibri"/>
            <scheme val="minor"/>
          </rPr>
          <t>======
ID#AAAB1mIRWzk
pccli    (2026-02-26 18:52:16)
(Aqui descreva o material permanente)</t>
        </r>
      </text>
    </comment>
    <comment ref="A404" authorId="0" shapeId="0" xr:uid="{00000000-0006-0000-0000-000028000000}">
      <text>
        <r>
          <rPr>
            <sz val="11"/>
            <color theme="1"/>
            <rFont val="Calibri"/>
            <scheme val="minor"/>
          </rPr>
          <t>======
ID#AAAB1mIRWz4
pccli    (2026-02-26 18:52:16)
(Aqui descreva o material permanente)</t>
        </r>
      </text>
    </comment>
    <comment ref="A405" authorId="0" shapeId="0" xr:uid="{00000000-0006-0000-0000-00002D000000}">
      <text>
        <r>
          <rPr>
            <sz val="11"/>
            <color theme="1"/>
            <rFont val="Calibri"/>
            <scheme val="minor"/>
          </rPr>
          <t>======
ID#AAAB1mIRWzA
pccli    (2026-02-26 18:52:16)
(Aqui descreva o material permanente)</t>
        </r>
      </text>
    </comment>
    <comment ref="A406" authorId="0" shapeId="0" xr:uid="{00000000-0006-0000-0000-00002E000000}">
      <text>
        <r>
          <rPr>
            <sz val="11"/>
            <color theme="1"/>
            <rFont val="Calibri"/>
            <scheme val="minor"/>
          </rPr>
          <t>======
ID#AAAB1mqcq-Q
pccli    (2026-02-26 18:52:16)
(Aqui descreva o material permanente)</t>
        </r>
      </text>
    </comment>
    <comment ref="A407" authorId="0" shapeId="0" xr:uid="{00000000-0006-0000-0000-000002000000}">
      <text>
        <r>
          <rPr>
            <sz val="11"/>
            <color theme="1"/>
            <rFont val="Calibri"/>
            <scheme val="minor"/>
          </rPr>
          <t>======
ID#AAAB1mqcq80
pccli    (2026-02-26 18:52:16)
(Aqui descreva o material permanente)</t>
        </r>
      </text>
    </comment>
    <comment ref="A408" authorId="0" shapeId="0" xr:uid="{00000000-0006-0000-0000-000016000000}">
      <text>
        <r>
          <rPr>
            <sz val="11"/>
            <color theme="1"/>
            <rFont val="Calibri"/>
            <scheme val="minor"/>
          </rPr>
          <t>======
ID#AAAB1mIRW0E
pccli    (2026-02-26 18:52:16)
(Aqui descreva o material permanente)</t>
        </r>
      </text>
    </comment>
    <comment ref="A409" authorId="0" shapeId="0" xr:uid="{00000000-0006-0000-0000-000013000000}">
      <text>
        <r>
          <rPr>
            <sz val="11"/>
            <color theme="1"/>
            <rFont val="Calibri"/>
            <scheme val="minor"/>
          </rPr>
          <t>======
ID#AAAB1mIRWzM
pccli    (2026-02-26 18:52:16)
(Aqui descreva o material permanente)</t>
        </r>
      </text>
    </comment>
    <comment ref="A410" authorId="0" shapeId="0" xr:uid="{00000000-0006-0000-0000-000020000000}">
      <text>
        <r>
          <rPr>
            <sz val="11"/>
            <color theme="1"/>
            <rFont val="Calibri"/>
            <scheme val="minor"/>
          </rPr>
          <t>======
ID#AAAB1mqcq9A
pccli    (2026-02-26 18:52:16)
(Aqui descreva o material permanente)</t>
        </r>
      </text>
    </comment>
    <comment ref="A411" authorId="0" shapeId="0" xr:uid="{00000000-0006-0000-0000-00001D000000}">
      <text>
        <r>
          <rPr>
            <sz val="11"/>
            <color theme="1"/>
            <rFont val="Calibri"/>
            <scheme val="minor"/>
          </rPr>
          <t>======
ID#AAAB1mqcq9I
pccli    (2026-02-26 18:52:16)
(Aqui descreva o material permanente)</t>
        </r>
      </text>
    </comment>
    <comment ref="A412" authorId="0" shapeId="0" xr:uid="{00000000-0006-0000-0000-000014000000}">
      <text>
        <r>
          <rPr>
            <sz val="11"/>
            <color theme="1"/>
            <rFont val="Calibri"/>
            <scheme val="minor"/>
          </rPr>
          <t>======
ID#AAAB1mqcq9Q
pccli    (2026-02-26 18:52:16)
(Aqui descreva o material permanente)</t>
        </r>
      </text>
    </comment>
    <comment ref="A413" authorId="0" shapeId="0" xr:uid="{00000000-0006-0000-0000-000006000000}">
      <text>
        <r>
          <rPr>
            <sz val="11"/>
            <color theme="1"/>
            <rFont val="Calibri"/>
            <scheme val="minor"/>
          </rPr>
          <t>======
ID#AAAB1mqcq9w
pccli    (2026-02-26 18:52:16)
(Aqui descreva o material permanente)</t>
        </r>
      </text>
    </comment>
    <comment ref="A414" authorId="0" shapeId="0" xr:uid="{00000000-0006-0000-0000-000030000000}">
      <text>
        <r>
          <rPr>
            <sz val="11"/>
            <color theme="1"/>
            <rFont val="Calibri"/>
            <scheme val="minor"/>
          </rPr>
          <t>======
ID#AAAB1mIRWzE
pccli    (2026-02-26 18:52:16)
(Aqui descreva o material permanente)</t>
        </r>
      </text>
    </comment>
    <comment ref="A415" authorId="0" shapeId="0" xr:uid="{00000000-0006-0000-0000-00000E000000}">
      <text>
        <r>
          <rPr>
            <sz val="11"/>
            <color theme="1"/>
            <rFont val="Calibri"/>
            <scheme val="minor"/>
          </rPr>
          <t>======
ID#AAAB1mIRWzI
pccli    (2026-02-26 18:52:16)
(Aqui descreva o material permanente)</t>
        </r>
      </text>
    </comment>
    <comment ref="A416" authorId="0" shapeId="0" xr:uid="{00000000-0006-0000-0000-00001C000000}">
      <text>
        <r>
          <rPr>
            <sz val="11"/>
            <color theme="1"/>
            <rFont val="Calibri"/>
            <scheme val="minor"/>
          </rPr>
          <t>======
ID#AAAB1mIRWyw
pccli    (2026-02-26 18:52:16)
(Aqui descreva o material permanente)</t>
        </r>
      </text>
    </comment>
    <comment ref="A417" authorId="0" shapeId="0" xr:uid="{00000000-0006-0000-0000-000004000000}">
      <text>
        <r>
          <rPr>
            <sz val="11"/>
            <color theme="1"/>
            <rFont val="Calibri"/>
            <scheme val="minor"/>
          </rPr>
          <t>======
ID#AAAB1mIRWy4
pccli    (2026-02-26 18:52:16)
(Aqui descreva o material permanente)</t>
        </r>
      </text>
    </comment>
    <comment ref="A418" authorId="0" shapeId="0" xr:uid="{00000000-0006-0000-0000-00000B000000}">
      <text>
        <r>
          <rPr>
            <sz val="11"/>
            <color theme="1"/>
            <rFont val="Calibri"/>
            <scheme val="minor"/>
          </rPr>
          <t>======
ID#AAAB1mIRWzs
pccli    (2026-02-26 18:52:16)
(Aqui descreva o material permanente)</t>
        </r>
      </text>
    </comment>
    <comment ref="A419" authorId="0" shapeId="0" xr:uid="{00000000-0006-0000-0000-000005000000}">
      <text>
        <r>
          <rPr>
            <sz val="11"/>
            <color theme="1"/>
            <rFont val="Calibri"/>
            <scheme val="minor"/>
          </rPr>
          <t>======
ID#AAAB1mIRWy8
pccli    (2026-02-26 18:52:16)
(Aqui descreva o material permanente)</t>
        </r>
      </text>
    </comment>
    <comment ref="A420" authorId="0" shapeId="0" xr:uid="{00000000-0006-0000-0000-000031000000}">
      <text>
        <r>
          <rPr>
            <sz val="11"/>
            <color theme="1"/>
            <rFont val="Calibri"/>
            <scheme val="minor"/>
          </rPr>
          <t>======
ID#AAAB1mqcq9Y
pccli    (2026-02-26 18:52:16)
(Aqui descreva o material permanente)</t>
        </r>
      </text>
    </comment>
    <comment ref="A421" authorId="0" shapeId="0" xr:uid="{00000000-0006-0000-0000-000021000000}">
      <text>
        <r>
          <rPr>
            <sz val="11"/>
            <color theme="1"/>
            <rFont val="Calibri"/>
            <scheme val="minor"/>
          </rPr>
          <t>======
ID#AAAB1mIRWzc
pccli    (2026-02-26 18:52:16)
(Aqui descreva o material permanente)</t>
        </r>
      </text>
    </comment>
    <comment ref="A422" authorId="0" shapeId="0" xr:uid="{00000000-0006-0000-0000-00000C000000}">
      <text>
        <r>
          <rPr>
            <sz val="11"/>
            <color theme="1"/>
            <rFont val="Calibri"/>
            <scheme val="minor"/>
          </rPr>
          <t>======
ID#AAAB1mqcq88
pccli    (2026-02-26 18:52:16)
(Aqui descreva o material permanente)</t>
        </r>
      </text>
    </comment>
    <comment ref="A423" authorId="0" shapeId="0" xr:uid="{00000000-0006-0000-0000-000022000000}">
      <text>
        <r>
          <rPr>
            <sz val="11"/>
            <color theme="1"/>
            <rFont val="Calibri"/>
            <scheme val="minor"/>
          </rPr>
          <t>======
ID#AAAB1mqcq98
pccli    (2026-02-26 18:52:16)
(Aqui descreva o material permanente)</t>
        </r>
      </text>
    </comment>
    <comment ref="A424" authorId="0" shapeId="0" xr:uid="{00000000-0006-0000-0000-000024000000}">
      <text>
        <r>
          <rPr>
            <sz val="11"/>
            <color theme="1"/>
            <rFont val="Calibri"/>
            <scheme val="minor"/>
          </rPr>
          <t>======
ID#AAAB1mqcq9s
pccli    (2026-02-26 18:52:16)
(Aqui descreva o material permanente)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kE3vhQt4w9CE10FDiPXz872WZ/Q=="/>
    </ext>
  </extLst>
</comments>
</file>

<file path=xl/sharedStrings.xml><?xml version="1.0" encoding="utf-8"?>
<sst xmlns="http://schemas.openxmlformats.org/spreadsheetml/2006/main" count="607" uniqueCount="481">
  <si>
    <t>1 - DADOS CADASTRAIS</t>
  </si>
  <si>
    <t>1.1-UFSM</t>
  </si>
  <si>
    <t>Nome: UNIVERSIDADE FEDERAL DE SANTA  MARIA</t>
  </si>
  <si>
    <t>CNPJ: 95.591.764/0001-05</t>
  </si>
  <si>
    <t>ENDEREÇO: CIDADE UNIVERSITÁRIA PROF. “JOSÉ MARIANO DA ROCHA FILHO”, AV. RORAIMA N. 1000, BAIRRO CAMOBI</t>
  </si>
  <si>
    <t>CIDADE: SANTA MARIA - RS</t>
  </si>
  <si>
    <t>CEP: 97105-900</t>
  </si>
  <si>
    <t>DDD/FONE/FAX: 055 3220 8101</t>
  </si>
  <si>
    <t>ESF. ADMINISTRATIVA: FEDERAL</t>
  </si>
  <si>
    <t>NOME DA DIRIGENTE DA ENTIDADE PROPONENTE: MARTHA BOHRER ADAIME</t>
  </si>
  <si>
    <t>CARGO: PROFa. TIT.</t>
  </si>
  <si>
    <t>MATRÍCULA NO SIAPE: 379536</t>
  </si>
  <si>
    <t>1.2- FUNDAÇÃO</t>
  </si>
  <si>
    <t>ESF. ADMINISTRATIVA: PRIVADA</t>
  </si>
  <si>
    <t>FUNÇÃO: PRESIDENTE</t>
  </si>
  <si>
    <t>PREENCHER APENAS SE TRIPARTITE</t>
  </si>
  <si>
    <t>Nome:</t>
  </si>
  <si>
    <t>C.N.P.J.</t>
  </si>
  <si>
    <t>Endereço:</t>
  </si>
  <si>
    <t>Cidade:</t>
  </si>
  <si>
    <t xml:space="preserve">UF: </t>
  </si>
  <si>
    <t>CEP</t>
  </si>
  <si>
    <t xml:space="preserve">2 - DADOS DO PROJETO </t>
  </si>
  <si>
    <t>2.1.1 - TÍTULO</t>
  </si>
  <si>
    <t>(insira aqui o título do projeto)</t>
  </si>
  <si>
    <t>2.1.2 - INÍCIO</t>
  </si>
  <si>
    <t>A PARTIR DA ASSINATURA DO CONTRATO</t>
  </si>
  <si>
    <t>2.1.3 - TÉRMINO</t>
  </si>
  <si>
    <t>(nº de meses)</t>
  </si>
  <si>
    <t>Meses, a contar da assinatura do contrato</t>
  </si>
  <si>
    <t>(Ou insira aqui a data de término do projeto)</t>
  </si>
  <si>
    <t>2.1.4 - COORDENADOR</t>
  </si>
  <si>
    <t>(insira aqui o nome do coordenador do projeto)</t>
  </si>
  <si>
    <t>(insira aqui o CPF do coordenador)</t>
  </si>
  <si>
    <t>(insira aqui o e-mail do coordenador)</t>
  </si>
  <si>
    <t>(insira aqui o telefone do coordenador)</t>
  </si>
  <si>
    <t>2.1.5 - FISCAL</t>
  </si>
  <si>
    <t>(insira aqui o nome do fiscal)</t>
  </si>
  <si>
    <t>(insira aqui o e-mail do fiscal)</t>
  </si>
  <si>
    <t>2.1.6 - COORDENADOR ADMINISTRATIVO</t>
  </si>
  <si>
    <t>(insira aqui o nome do coordenador administrativo)</t>
  </si>
  <si>
    <t>(insira aqui o e-mail do coordenador administrativo)</t>
  </si>
  <si>
    <t>2.1.7 - N° DE REGISTRO</t>
  </si>
  <si>
    <t>(insira aqui o número do projeto na Plataforma Web)</t>
  </si>
  <si>
    <t>2.1.8 - CLASSIFICAÇÃO DO PROJETO</t>
  </si>
  <si>
    <t>Selecione o enquadramento do projeto</t>
  </si>
  <si>
    <t>2.2 - OBJETO/OBJETIVOS</t>
  </si>
  <si>
    <t>(insira aqui o texto)</t>
  </si>
  <si>
    <t>2.3 - JUSTIFICATIVA</t>
  </si>
  <si>
    <t>2.4 - RESULTADOS ESPERADOS</t>
  </si>
  <si>
    <t>2.5 - Experiência da UFSM para executar o projeto e capacidade operacional (Citar brevemente experiência em projetos e infraestrutura disponível para desenvolver o projeto)</t>
  </si>
  <si>
    <t>3 - FONTES E USOS</t>
  </si>
  <si>
    <t>3.1 - FONTES</t>
  </si>
  <si>
    <t>ESPECIFICAÇÃO DOS RECURSOS FINANCEIROS PROVENIENTES:</t>
  </si>
  <si>
    <t>TOTAL</t>
  </si>
  <si>
    <t xml:space="preserve">de investimento em pesquisa, previsto no projeto de prestação de serviços abaixo:   </t>
  </si>
  <si>
    <t>(Informe o título e registro do projeto de prestação de serviços que aportará recursos no projeto, na forma prevista pelo Art. 14, §3º, III, da Res. 025/2012 da UFSM.)</t>
  </si>
  <si>
    <t>do repasse de terceiros, interessados em resultados da pesquisa</t>
  </si>
  <si>
    <t>do pagamento de clientes, pelos serviços oferecidos pelo projeto</t>
  </si>
  <si>
    <t>da venda de subprodutos decorrentes de atividades práticas
acadêmicas da UFSM</t>
  </si>
  <si>
    <t>da venda de produtos produzidos através do próprio projeto</t>
  </si>
  <si>
    <t>de patrocínios e taxas de inscrição em evento(s)</t>
  </si>
  <si>
    <t>de investimento de recursos próprios, através do orçamento da UFSM</t>
  </si>
  <si>
    <t>do repasse de outras fontes de recursos orçamentários da União (TED)</t>
  </si>
  <si>
    <t>3.2 - USOS</t>
  </si>
  <si>
    <t>ESPECIFICAÇÃO</t>
  </si>
  <si>
    <t>VALOR</t>
  </si>
  <si>
    <t>DESPESAS DE CUSTEIO</t>
  </si>
  <si>
    <t>DESPESAS DE CAPITAL</t>
  </si>
  <si>
    <t>RESSARCIMENTO INFRAESTRUTURA UFSM (5% a 8% CUSTEIO)</t>
  </si>
  <si>
    <t xml:space="preserve">DESPESAS OPERACIONAIS FUNDAÇÃO </t>
  </si>
  <si>
    <t>4 - PLANO DE APLICAÇÃO</t>
  </si>
  <si>
    <r>
      <rPr>
        <b/>
        <sz val="14"/>
        <color rgb="FFFF0000"/>
        <rFont val="Calibri"/>
      </rPr>
      <t xml:space="preserve">SOMENTE SE PROJETO DE PRESTAÇÃO DE SERVIÇOS:
</t>
    </r>
    <r>
      <rPr>
        <b/>
        <sz val="14"/>
        <color theme="1"/>
        <rFont val="Calibri"/>
      </rPr>
      <t>Investimento em projeto de Pesquisa, Ensino, Extensão, Desenvolvimento Institucional ou Inovação</t>
    </r>
  </si>
  <si>
    <t>(Informe o título e registro do projeto de pesquisa que receberá aportes de recursos, na forma prevista pelo Art. 14, §3º, III, da Res. 025/2012 da UFSM.)</t>
  </si>
  <si>
    <t>4.1 - Equipe Executora</t>
  </si>
  <si>
    <r>
      <rPr>
        <b/>
        <sz val="14"/>
        <color rgb="FFFF0000"/>
        <rFont val="Calibri"/>
      </rPr>
      <t xml:space="preserve">A equipe executora da UFSM deve representar, no mínimo, 2/3 do total de pessoas vinculadas às ICTs participantes do projeto, conforme art. 6º do Decreto 7.423/2010:  </t>
    </r>
    <r>
      <rPr>
        <b/>
        <sz val="14"/>
        <color rgb="FF1E4E79"/>
        <rFont val="Calibri"/>
      </rPr>
      <t xml:space="preserve">                                           
</t>
    </r>
    <r>
      <rPr>
        <b/>
        <sz val="14"/>
        <color rgb="FFFF0000"/>
        <rFont val="Calibri"/>
      </rPr>
      <t xml:space="preserve">- § 3o.  Os projetos devem ser realizados por no mínimo dois terços de pessoas vinculadas à instituição apoiada, incluindo docentes, servidores técnico-administrativos, estudantes regulares, pesquisadores de pós-doutorado e bolsistas com vínculo formal a programas de pesquisa da instituição apoiada.
- § 10.  No caso de projetos desenvolvidos em conjunto por mais de uma instituição, o percentual referido no § 3o poderá ser alcançado por meio da soma da participação de pessoas vinculadas às instituições envolvidas.
</t>
    </r>
    <r>
      <rPr>
        <b/>
        <sz val="14"/>
        <color rgb="FFFF0000"/>
        <rFont val="Calibri"/>
      </rPr>
      <t xml:space="preserve">
Também, conforme Art. 5 da Portaria nº 191 de 2012, a Fundação de Apoio precisa comprovar o atendimento à regra acima para fins de renovação do credenciamento junto ao Ministério da Educação e IFE apoiada.
Em caso de alterações na equipe executora, </t>
    </r>
    <r>
      <rPr>
        <b/>
        <sz val="14"/>
        <color rgb="FFFF0000"/>
        <rFont val="Calibri"/>
      </rPr>
      <t>o Coordenador deverá preencher a</t>
    </r>
    <r>
      <rPr>
        <b/>
        <sz val="14"/>
        <color rgb="FFFF0000"/>
        <rFont val="Calibri"/>
      </rPr>
      <t xml:space="preserve"> Ficha de Gestão "Retificadora", </t>
    </r>
    <r>
      <rPr>
        <b/>
        <sz val="14"/>
        <color rgb="FFFF0000"/>
        <rFont val="Calibri"/>
      </rPr>
      <t xml:space="preserve">que deverá ser devidamente assinada e aprovada pelas instâncias competentes. A ficha deve incluir a equipe completa, ou seja, mesmo que um membro tenha deixado o projeto, sua participação e o período correspondente devem ser registrados.   </t>
    </r>
    <r>
      <rPr>
        <b/>
        <sz val="14"/>
        <color rgb="FFFF0000"/>
        <rFont val="Calibri"/>
      </rPr>
      <t xml:space="preserve">   </t>
    </r>
  </si>
  <si>
    <t>4.1.1 - Equipe executora vinculada à UFSM e outras ICTs envolvidas no acordo/contrato (professores, taes e alunos regulares)</t>
  </si>
  <si>
    <t xml:space="preserve">Pessoal Envolvido 
(Tipo de Remuneração) </t>
  </si>
  <si>
    <t>NOME</t>
  </si>
  <si>
    <t>SIAPE/MAT.</t>
  </si>
  <si>
    <t>CPF</t>
  </si>
  <si>
    <t>Carga Horária (Semanal)</t>
  </si>
  <si>
    <t>Nº de Pagtos</t>
  </si>
  <si>
    <t>Valor de cada Pagto</t>
  </si>
  <si>
    <t>4.1.2 - Equipe executora não vinculada à UFSM (colaboradores de empresas, participantes de outras ICTs não envolvidas no acordo/contrato, CLT, entre outros)</t>
  </si>
  <si>
    <t>FORMA DE CONTRATAÇÃO</t>
  </si>
  <si>
    <t>Carga Horária (semanal)</t>
  </si>
  <si>
    <t>4.2 - Diárias</t>
  </si>
  <si>
    <t>Diárias no país</t>
  </si>
  <si>
    <t>Diárias no exterior</t>
  </si>
  <si>
    <t>Auxílio para desenvolvimento de estudos e pesquisas</t>
  </si>
  <si>
    <t>Diárias a colaboradores eventuais no país</t>
  </si>
  <si>
    <t>4.3 - Serviços de Terceiros Pessoa Jurídica</t>
  </si>
  <si>
    <t>Assinaturas de periódicos e anuidades</t>
  </si>
  <si>
    <t>Direitos autorais</t>
  </si>
  <si>
    <t>Serviços técnicos profissionais</t>
  </si>
  <si>
    <t>Manutenção de software</t>
  </si>
  <si>
    <t>Locação de imóveis</t>
  </si>
  <si>
    <t>Locação de softwares</t>
  </si>
  <si>
    <t>Locação de máquinas e equipamentos</t>
  </si>
  <si>
    <t xml:space="preserve">Locação de bens. Mov. Out. naturezas e intangíveis 
</t>
  </si>
  <si>
    <t>Manutenção e conservação de bens imóveis</t>
  </si>
  <si>
    <t>Manutenção e conservação de máquinas e equipamentos</t>
  </si>
  <si>
    <t>Serviço de estacionamento de veículos</t>
  </si>
  <si>
    <t>Manutenção e conservação de veículos</t>
  </si>
  <si>
    <t>Exposições, congressos e conferências</t>
  </si>
  <si>
    <t>Confecção de uniformes</t>
  </si>
  <si>
    <t>Desenvolvimento de software</t>
  </si>
  <si>
    <t>Suporte de infraestrutura de TI</t>
  </si>
  <si>
    <t>Suporte a usuários de TI</t>
  </si>
  <si>
    <t>Hospedagem de sistemas</t>
  </si>
  <si>
    <t>Locação de equipamentos de processamento de dados</t>
  </si>
  <si>
    <t>Fornecimento de alimentação</t>
  </si>
  <si>
    <t>Serviços de energia elétrica</t>
  </si>
  <si>
    <t>Serviços de água e esgoto</t>
  </si>
  <si>
    <t>Serviços de comunicação em geral</t>
  </si>
  <si>
    <t>Serviços médico-hospitalar, odontológicos e laboratoriais</t>
  </si>
  <si>
    <t>Serviços de análises e pesquisas científicas</t>
  </si>
  <si>
    <t>Serviços de tecnologia da informação</t>
  </si>
  <si>
    <t>Serviços de telecomunicações</t>
  </si>
  <si>
    <t>Serviços de áudio, vídeo e foto</t>
  </si>
  <si>
    <t>Serviços de produção industrial</t>
  </si>
  <si>
    <t>Serviços gráficos e editoriais</t>
  </si>
  <si>
    <t>Seguros em geral</t>
  </si>
  <si>
    <t>Confecção de material de acondicionamento e embalagem</t>
  </si>
  <si>
    <t>Vale-transporte</t>
  </si>
  <si>
    <t>Fretes e transportes de encomendas</t>
  </si>
  <si>
    <t>Serviço de apoio administrativo, técnico e operacional</t>
  </si>
  <si>
    <t>Hospedagens</t>
  </si>
  <si>
    <t>Serviços de cópias e reprodução de documentos</t>
  </si>
  <si>
    <t>Serviços de publicidade legal</t>
  </si>
  <si>
    <t>Aquisição de softwares sob encomenda</t>
  </si>
  <si>
    <t>Manutenção e conservação de equip. de processamento de dados</t>
  </si>
  <si>
    <t>Comunicação de dados</t>
  </si>
  <si>
    <t>Testes e confecções de placas relacionados ao objeto do projeto</t>
  </si>
  <si>
    <t>Outros serviços de terceiros pessoa jurídica</t>
  </si>
  <si>
    <t>4.4 - Serviços de Terceiros - Pessoa Física</t>
  </si>
  <si>
    <t>Serviços de limpeza e conservação</t>
  </si>
  <si>
    <t>Serviços de apoio administrativo, técnico e operacional</t>
  </si>
  <si>
    <t>Obrigações Tributárias e Contributivas (cota patronal 20%)</t>
  </si>
  <si>
    <t>4.5 - Passagens e Despesas de Locomoção</t>
  </si>
  <si>
    <t>Passagens para o país</t>
  </si>
  <si>
    <t>Passagens para o exterior</t>
  </si>
  <si>
    <t>Locação de meios de transportes</t>
  </si>
  <si>
    <t>Locomoção urbana</t>
  </si>
  <si>
    <t>Outras despesas com locomoção</t>
  </si>
  <si>
    <t>4.6 - Material de Consumo</t>
  </si>
  <si>
    <t>Combustíveis e lubrificantes automotivos</t>
  </si>
  <si>
    <t>Gás e outros materiais engarrafados</t>
  </si>
  <si>
    <t>Alimentos para animais</t>
  </si>
  <si>
    <t>Gêneros de alimentação</t>
  </si>
  <si>
    <t>Animais para pesquisa e abate</t>
  </si>
  <si>
    <t>Material farmacológico</t>
  </si>
  <si>
    <t>Material odontológico</t>
  </si>
  <si>
    <t>Material químico</t>
  </si>
  <si>
    <t>Material educativo e esportivo</t>
  </si>
  <si>
    <t>Material de expediente</t>
  </si>
  <si>
    <t>Material de processamento de dados</t>
  </si>
  <si>
    <t>Materiais e medicamentos para uso veterinário</t>
  </si>
  <si>
    <t>Material de acondicionamento e embalagem</t>
  </si>
  <si>
    <t>Material de copa e cozinha</t>
  </si>
  <si>
    <t>Material de limpeza e produtos de higienização</t>
  </si>
  <si>
    <t>Uniformes, tecidos e aviamentos</t>
  </si>
  <si>
    <t>Material para manutenção de bens imóveis/instalações</t>
  </si>
  <si>
    <t>Material para manutenção de bens móveis</t>
  </si>
  <si>
    <t>Material elétrico e eletrônico</t>
  </si>
  <si>
    <t>Material de proteção e segurança</t>
  </si>
  <si>
    <t>Material para áudio, vídeo e foto</t>
  </si>
  <si>
    <t>Material para comunicações</t>
  </si>
  <si>
    <t>Sementes, mudas de plantas e insumos</t>
  </si>
  <si>
    <t>Material para produção industrial</t>
  </si>
  <si>
    <t>Material laboratorial</t>
  </si>
  <si>
    <t>Material hospitalar</t>
  </si>
  <si>
    <t>Material para manutenção de veículos</t>
  </si>
  <si>
    <t>Material biológico</t>
  </si>
  <si>
    <t>Material para utilização em gráfica</t>
  </si>
  <si>
    <t>Ferramentas</t>
  </si>
  <si>
    <t>Material de sinalização visual e outros</t>
  </si>
  <si>
    <t>Material bibliográfico</t>
  </si>
  <si>
    <t>Aquisição de software - produto</t>
  </si>
  <si>
    <t>Material para divulgação</t>
  </si>
  <si>
    <t>Materiais de Consumo para utilização no laboratório</t>
  </si>
  <si>
    <t>Outros Materiais de Consumo</t>
  </si>
  <si>
    <t>4.7 - Equipamento e Material Permanente (Anexo I)</t>
  </si>
  <si>
    <t>Material Permanente (Preencher o ANEXO I)</t>
  </si>
  <si>
    <t>4.8 - Obras e Instalações</t>
  </si>
  <si>
    <t>Estudos e Projetos</t>
  </si>
  <si>
    <t>Obras em andamento</t>
  </si>
  <si>
    <t>Instalações</t>
  </si>
  <si>
    <t>Almoxarifado de obras</t>
  </si>
  <si>
    <t>Outras obras e instalações</t>
  </si>
  <si>
    <t>4.9 - Ressarcimento pelo Uso da Infraestrutura da UFSM</t>
  </si>
  <si>
    <t>Ressarcimento pelo Uso da Infraestrutura da UFSM</t>
  </si>
  <si>
    <t>4.10 - Despesas operacionais e administravas da FUNDAÇÃO DE APOIO</t>
  </si>
  <si>
    <t xml:space="preserve">                                                                                           Despesas operacionais e administravas da FUNDAÇÃO DE APOIO</t>
  </si>
  <si>
    <t>TOTAL GERAL</t>
  </si>
  <si>
    <t>5 - CRONOGRAMA DE EXECUÇÃO</t>
  </si>
  <si>
    <t>META</t>
  </si>
  <si>
    <t>FASES</t>
  </si>
  <si>
    <t>DESCRIÇÃO</t>
  </si>
  <si>
    <t>PERÍODO</t>
  </si>
  <si>
    <t>Não utilize datas específicas. Apenas com a quantidade de meses a partir da formalização e de acordo com a duração do projeto. Exemplo: Início mês 1; Término mês 3;</t>
  </si>
  <si>
    <t>INÍCIO</t>
  </si>
  <si>
    <t>TÉRMINO</t>
  </si>
  <si>
    <t>(descreva aqui a fase da meta de execução)</t>
  </si>
  <si>
    <t>5.1 DESCRIÇÃO DAS ATIVIDADES</t>
  </si>
  <si>
    <t>Descrição das atividades de cada membro da equipe relacionando com a meta/fase do projeto:</t>
  </si>
  <si>
    <t>Nome</t>
  </si>
  <si>
    <t>(descreva as atividades por meta/fase)</t>
  </si>
  <si>
    <r>
      <rPr>
        <b/>
        <sz val="14"/>
        <color rgb="FFFFFF00"/>
        <rFont val="Calibri"/>
      </rPr>
      <t xml:space="preserve">ESCOLHA APENAS UMA DAS OPÇÕES </t>
    </r>
    <r>
      <rPr>
        <b/>
        <sz val="14"/>
        <color rgb="FFFFFFFF"/>
        <rFont val="Calibri"/>
      </rPr>
      <t xml:space="preserve">DE PERÍODO DE REMBOLSO ABAIXO: </t>
    </r>
  </si>
  <si>
    <t>MENSAL OU SEMESTRAL OU ANUAL</t>
  </si>
  <si>
    <t>6 - CRONOGRAMA DE DESEMBOLSO</t>
  </si>
  <si>
    <t xml:space="preserve">MENSAL </t>
  </si>
  <si>
    <t>SEMESTRAL</t>
  </si>
  <si>
    <t>MÊS</t>
  </si>
  <si>
    <t>ANO</t>
  </si>
  <si>
    <t>SEMESTRE</t>
  </si>
  <si>
    <t>1º ANO</t>
  </si>
  <si>
    <t>1º Semestre</t>
  </si>
  <si>
    <t>2º Semestre</t>
  </si>
  <si>
    <t>2º ANO</t>
  </si>
  <si>
    <t>3º ANO</t>
  </si>
  <si>
    <t>4º ANO</t>
  </si>
  <si>
    <t>5º ANO</t>
  </si>
  <si>
    <t>ANUAL</t>
  </si>
  <si>
    <t>ANO 1</t>
  </si>
  <si>
    <t>ANO 2</t>
  </si>
  <si>
    <t>ANO 3</t>
  </si>
  <si>
    <t>ANO 4</t>
  </si>
  <si>
    <t>ANO 5</t>
  </si>
  <si>
    <t>ANEXO I - MATERIAL E EQUIPAMENTO PERMANENTE</t>
  </si>
  <si>
    <t>QUANTIDADE</t>
  </si>
  <si>
    <t>VALOR UNITÁRIO</t>
  </si>
  <si>
    <t>VALOR TOTAL</t>
  </si>
  <si>
    <t>cadeira</t>
  </si>
  <si>
    <t>(Aqui descreva o material permanente)</t>
  </si>
  <si>
    <t>Anexo II</t>
  </si>
  <si>
    <t xml:space="preserve">LISTA DE LABORATÓRIOS OU INFRAESTRUTURAS QUE EXIGEM AUTORIZAÇÃO PARA USO </t>
  </si>
  <si>
    <t>laboratório/infraestrutura</t>
  </si>
  <si>
    <t>unidade acadêmica ou pró-reitoria</t>
  </si>
  <si>
    <t xml:space="preserve"> Departamento/Órgão/Setor</t>
  </si>
  <si>
    <t>Responsável pelo local</t>
  </si>
  <si>
    <t>(nome do servidor ou colegiado)</t>
  </si>
  <si>
    <t>Mês 1</t>
  </si>
  <si>
    <t>1.1</t>
  </si>
  <si>
    <t>1 horas</t>
  </si>
  <si>
    <t>Pesquisa</t>
  </si>
  <si>
    <t>Mês 2</t>
  </si>
  <si>
    <t>1.2</t>
  </si>
  <si>
    <t>2 horas</t>
  </si>
  <si>
    <t>Ensino</t>
  </si>
  <si>
    <t>Mês 3</t>
  </si>
  <si>
    <t>1.3</t>
  </si>
  <si>
    <t>3 horas</t>
  </si>
  <si>
    <t>Desenolvimento Institucional</t>
  </si>
  <si>
    <t>Ensino/Prestação de Serviços</t>
  </si>
  <si>
    <t>Mês 4</t>
  </si>
  <si>
    <t>1.4</t>
  </si>
  <si>
    <t>4 horas</t>
  </si>
  <si>
    <t>Pesquisa/Prestação de Serviços</t>
  </si>
  <si>
    <t>Prestação de serviços - Extensão</t>
  </si>
  <si>
    <t>Mês 5</t>
  </si>
  <si>
    <t>1.5</t>
  </si>
  <si>
    <t>5 horas</t>
  </si>
  <si>
    <t>Outro/Evento - Extensão</t>
  </si>
  <si>
    <t>Mês 6</t>
  </si>
  <si>
    <t>1.6</t>
  </si>
  <si>
    <t>6 horas</t>
  </si>
  <si>
    <t>Mês 7</t>
  </si>
  <si>
    <t>1.7</t>
  </si>
  <si>
    <t>7 horas</t>
  </si>
  <si>
    <t>Mês 8</t>
  </si>
  <si>
    <t>1.8</t>
  </si>
  <si>
    <t>8 horas</t>
  </si>
  <si>
    <t>Servidor UFSM Docente/ Técnico (Bolsa)</t>
  </si>
  <si>
    <t>Mês 9</t>
  </si>
  <si>
    <t>1.9</t>
  </si>
  <si>
    <t>9 horas</t>
  </si>
  <si>
    <t>Servidor UFSM Docente/ Técnico (Remuneração Eventual)</t>
  </si>
  <si>
    <t>Mês 10</t>
  </si>
  <si>
    <t>1.10</t>
  </si>
  <si>
    <t>10 horas</t>
  </si>
  <si>
    <t>Discente - Graduação (Bolsa)</t>
  </si>
  <si>
    <t>Mês 11</t>
  </si>
  <si>
    <t>2.1</t>
  </si>
  <si>
    <t>11 horas</t>
  </si>
  <si>
    <t>Discente - Graduação (Estágio)</t>
  </si>
  <si>
    <t>Mês 12</t>
  </si>
  <si>
    <t>2.2</t>
  </si>
  <si>
    <t>12 horas</t>
  </si>
  <si>
    <t>Discente - Mestrado (Bolsa)</t>
  </si>
  <si>
    <t>Mês 13</t>
  </si>
  <si>
    <t>2.3</t>
  </si>
  <si>
    <t>13 horas</t>
  </si>
  <si>
    <t>Discente - Mestrado (Estágio)</t>
  </si>
  <si>
    <t>Mês 14</t>
  </si>
  <si>
    <t>2.4</t>
  </si>
  <si>
    <t>14 horas</t>
  </si>
  <si>
    <t>Discente - Doutorado (Bolsa)</t>
  </si>
  <si>
    <t>Mês 15</t>
  </si>
  <si>
    <t>2.5</t>
  </si>
  <si>
    <t>15 horas</t>
  </si>
  <si>
    <t>Discente - Doutorado (Estágio)</t>
  </si>
  <si>
    <t>Mês 16</t>
  </si>
  <si>
    <t>2.6</t>
  </si>
  <si>
    <t>16 horas</t>
  </si>
  <si>
    <t>Discente - Pós-Doutorado (Bolsa)</t>
  </si>
  <si>
    <t>Mês 17</t>
  </si>
  <si>
    <t>2.7</t>
  </si>
  <si>
    <t>17 horas</t>
  </si>
  <si>
    <t>Discente - Pós-Doutorado (Estágio)</t>
  </si>
  <si>
    <t>Mês 18</t>
  </si>
  <si>
    <t>2.8</t>
  </si>
  <si>
    <t>18 horas</t>
  </si>
  <si>
    <t>Discente - Participante</t>
  </si>
  <si>
    <t>Mês 19</t>
  </si>
  <si>
    <t>2.9</t>
  </si>
  <si>
    <t>19 horas</t>
  </si>
  <si>
    <t xml:space="preserve">Participante </t>
  </si>
  <si>
    <t>Mês 20</t>
  </si>
  <si>
    <t>2.10</t>
  </si>
  <si>
    <t>20 horas</t>
  </si>
  <si>
    <t>Aluno Especial</t>
  </si>
  <si>
    <t>Mês 21</t>
  </si>
  <si>
    <t>3.1</t>
  </si>
  <si>
    <t>21 horas</t>
  </si>
  <si>
    <t>Coordenador Administrativo (Participante)</t>
  </si>
  <si>
    <t>Mês 22</t>
  </si>
  <si>
    <t>3.2</t>
  </si>
  <si>
    <t>22 horas</t>
  </si>
  <si>
    <t>Coordenador Administrativo (Bolsa)</t>
  </si>
  <si>
    <t>Mês 23</t>
  </si>
  <si>
    <t>3.3</t>
  </si>
  <si>
    <t>23 horas</t>
  </si>
  <si>
    <t>Coordenador Administrativo (Remuneração Eventual)</t>
  </si>
  <si>
    <t>Mês 24</t>
  </si>
  <si>
    <t>3.4</t>
  </si>
  <si>
    <t>24 horas</t>
  </si>
  <si>
    <t>Mês 25</t>
  </si>
  <si>
    <t>3.5</t>
  </si>
  <si>
    <t>25 horas</t>
  </si>
  <si>
    <t>Mês 26</t>
  </si>
  <si>
    <t>3.6</t>
  </si>
  <si>
    <t>26 horas</t>
  </si>
  <si>
    <t>Mês 27</t>
  </si>
  <si>
    <t>3.7</t>
  </si>
  <si>
    <t>27 horas</t>
  </si>
  <si>
    <t>Mês 28</t>
  </si>
  <si>
    <t>3.8</t>
  </si>
  <si>
    <t>28 horas</t>
  </si>
  <si>
    <t>Mês 29</t>
  </si>
  <si>
    <t>3.9</t>
  </si>
  <si>
    <t>29 horas</t>
  </si>
  <si>
    <t>Mês 30</t>
  </si>
  <si>
    <t>3.10</t>
  </si>
  <si>
    <t>30 horas</t>
  </si>
  <si>
    <t>Mês 31</t>
  </si>
  <si>
    <t>4.1</t>
  </si>
  <si>
    <t>31 horas</t>
  </si>
  <si>
    <t>Mês 32</t>
  </si>
  <si>
    <t>4.2</t>
  </si>
  <si>
    <t>32 horas</t>
  </si>
  <si>
    <t>Mês 33</t>
  </si>
  <si>
    <t>4.3</t>
  </si>
  <si>
    <t>33 horas</t>
  </si>
  <si>
    <t>Mês 34</t>
  </si>
  <si>
    <t>4.4</t>
  </si>
  <si>
    <t>34 horas</t>
  </si>
  <si>
    <t>Mês 35</t>
  </si>
  <si>
    <t>4.5</t>
  </si>
  <si>
    <t>35 horas</t>
  </si>
  <si>
    <t>Mês 36</t>
  </si>
  <si>
    <t>4.6</t>
  </si>
  <si>
    <t>36 horas</t>
  </si>
  <si>
    <t>Mês 37</t>
  </si>
  <si>
    <t>4.7</t>
  </si>
  <si>
    <t>37 horas</t>
  </si>
  <si>
    <t>Mês 38</t>
  </si>
  <si>
    <t>4.8</t>
  </si>
  <si>
    <t>38 horas</t>
  </si>
  <si>
    <t>Mês 39</t>
  </si>
  <si>
    <t>4.9</t>
  </si>
  <si>
    <t>39 horas</t>
  </si>
  <si>
    <t>Mês 40</t>
  </si>
  <si>
    <t>4.10</t>
  </si>
  <si>
    <t>40 horas</t>
  </si>
  <si>
    <t>Mês 41</t>
  </si>
  <si>
    <t>5.1</t>
  </si>
  <si>
    <t>Mês 42</t>
  </si>
  <si>
    <t>5.2</t>
  </si>
  <si>
    <t>Mês 43</t>
  </si>
  <si>
    <t>5.3</t>
  </si>
  <si>
    <t>Mês 44</t>
  </si>
  <si>
    <t>5.4</t>
  </si>
  <si>
    <t>Mês 45</t>
  </si>
  <si>
    <t>5.5</t>
  </si>
  <si>
    <t>Mês 46</t>
  </si>
  <si>
    <t>5.6</t>
  </si>
  <si>
    <t>Mês 47</t>
  </si>
  <si>
    <t>5.7</t>
  </si>
  <si>
    <t>Mês 48</t>
  </si>
  <si>
    <t>5.8</t>
  </si>
  <si>
    <t>Mês 49</t>
  </si>
  <si>
    <t>5.9</t>
  </si>
  <si>
    <t>Mês 50</t>
  </si>
  <si>
    <t>5.10</t>
  </si>
  <si>
    <t>Mês 51</t>
  </si>
  <si>
    <t>6.1</t>
  </si>
  <si>
    <t>Mês 52</t>
  </si>
  <si>
    <t>6.2</t>
  </si>
  <si>
    <t>Mês 53</t>
  </si>
  <si>
    <t>6.3</t>
  </si>
  <si>
    <t>Mês 54</t>
  </si>
  <si>
    <t>6.4</t>
  </si>
  <si>
    <t>Mês 55</t>
  </si>
  <si>
    <t>6.5</t>
  </si>
  <si>
    <t>Mês 56</t>
  </si>
  <si>
    <t>6.6</t>
  </si>
  <si>
    <t>Mês 57</t>
  </si>
  <si>
    <t>6.7</t>
  </si>
  <si>
    <t>Mês 58</t>
  </si>
  <si>
    <t>6.8</t>
  </si>
  <si>
    <t>Mês 59</t>
  </si>
  <si>
    <t>6.9</t>
  </si>
  <si>
    <t>Mês 60</t>
  </si>
  <si>
    <t>6.10</t>
  </si>
  <si>
    <t>7.1</t>
  </si>
  <si>
    <t>7.2</t>
  </si>
  <si>
    <t>7.3</t>
  </si>
  <si>
    <t>7.4</t>
  </si>
  <si>
    <t>7.5</t>
  </si>
  <si>
    <t>7.6</t>
  </si>
  <si>
    <t>7.7</t>
  </si>
  <si>
    <t>7.8</t>
  </si>
  <si>
    <t>7.9</t>
  </si>
  <si>
    <t>7.10</t>
  </si>
  <si>
    <t>8.1</t>
  </si>
  <si>
    <t>8.2</t>
  </si>
  <si>
    <t>8.3</t>
  </si>
  <si>
    <t>8.4</t>
  </si>
  <si>
    <t>8.5</t>
  </si>
  <si>
    <t>8.6</t>
  </si>
  <si>
    <t>8.7</t>
  </si>
  <si>
    <t>8.8</t>
  </si>
  <si>
    <t>8.9</t>
  </si>
  <si>
    <t>8.10</t>
  </si>
  <si>
    <t>9.1</t>
  </si>
  <si>
    <t>9.2</t>
  </si>
  <si>
    <t>9.3</t>
  </si>
  <si>
    <t>9.4</t>
  </si>
  <si>
    <t>9.5</t>
  </si>
  <si>
    <t>9.6</t>
  </si>
  <si>
    <t>9.7</t>
  </si>
  <si>
    <t>9.8</t>
  </si>
  <si>
    <t>9.9</t>
  </si>
  <si>
    <t>9.10</t>
  </si>
  <si>
    <t>10.1</t>
  </si>
  <si>
    <t>10.2</t>
  </si>
  <si>
    <t>10.3</t>
  </si>
  <si>
    <t>10.4</t>
  </si>
  <si>
    <t>10.5</t>
  </si>
  <si>
    <t>10.6</t>
  </si>
  <si>
    <t>10.7</t>
  </si>
  <si>
    <t>10.8</t>
  </si>
  <si>
    <t>10.9</t>
  </si>
  <si>
    <t>10.10</t>
  </si>
  <si>
    <t>1.3 - CONCEDENTE/FINANCIADOR: DADOS EMPRESA</t>
  </si>
  <si>
    <t>Extensão</t>
  </si>
  <si>
    <t>Desenvolvimento institucional</t>
  </si>
  <si>
    <t>Participante</t>
  </si>
  <si>
    <t>Coordenador</t>
  </si>
  <si>
    <t xml:space="preserve">Conforme registro do portal de projetos </t>
  </si>
  <si>
    <t>Plano de Trabalho - FUNDEP</t>
  </si>
  <si>
    <t>FUNÇÃO: REITORA</t>
  </si>
  <si>
    <t>NOME: FUNDAÇÃO DE DESENVOLVIMENTO DA PESQUISA - FUNDEP</t>
  </si>
  <si>
    <t>C.N.P.J.: 18.720.938/0001-41</t>
  </si>
  <si>
    <t>ENDEREÇO :AV. PRESIDENTE ANTONIO CARLOS Nº 6627- UM. ADM.II CAMPUS UFMG</t>
  </si>
  <si>
    <t>CIDADE: BELO HORIZONTE- MG</t>
  </si>
  <si>
    <t>CEP: 31270-901</t>
  </si>
  <si>
    <t>DDD/FONE: (31) 3409-4200</t>
  </si>
  <si>
    <t>NOME DO DIRIGENTE DA ENTIDADE PROPONENTE: JAIME ARTURO RAMIREZ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</si>
</sst>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00\.000\.000\-00"/>
    <numFmt numFmtId="165" formatCode="0#####"/>
    <numFmt numFmtId="166" formatCode="_-&quot;R$ &quot;* #,##0.00_-;&quot;-R$ &quot;* #,##0.00_-;_-&quot;R$ &quot;* \-??_-;_-@"/>
    <numFmt numFmtId="167" formatCode="_-* #,##0.00_-;\-* #,##0.00_-;_-* \-??_-;_-@"/>
    <numFmt numFmtId="168" formatCode="_-[$R$-416]\ * #,##0.00_-;\-[$R$-416]\ * #,##0.00_-;_-[$R$-416]\ * \-??_-;_-@"/>
  </numFmts>
  <fonts count="19">
    <font>
      <sz val="11"/>
      <color theme="1"/>
      <name val="Calibri"/>
      <scheme val="minor"/>
    </font>
    <font>
      <b/>
      <sz val="14"/>
      <color theme="1"/>
      <name val="Calibri"/>
    </font>
    <font>
      <sz val="14"/>
      <color theme="1"/>
      <name val="Calibri"/>
    </font>
    <font>
      <sz val="11"/>
      <name val="Calibri"/>
    </font>
    <font>
      <b/>
      <sz val="14"/>
      <color rgb="FF000000"/>
      <name val="Calibri"/>
    </font>
    <font>
      <sz val="14"/>
      <color rgb="FF000000"/>
      <name val="Calibri"/>
    </font>
    <font>
      <sz val="14"/>
      <color theme="1"/>
      <name val="Arial"/>
    </font>
    <font>
      <b/>
      <sz val="14"/>
      <color rgb="FFFF0000"/>
      <name val="Calibri"/>
    </font>
    <font>
      <sz val="10"/>
      <color theme="1"/>
      <name val="Calibri"/>
    </font>
    <font>
      <sz val="12"/>
      <color theme="1"/>
      <name val="Calibri"/>
    </font>
    <font>
      <sz val="11"/>
      <color theme="1"/>
      <name val="Calibri"/>
    </font>
    <font>
      <b/>
      <sz val="14"/>
      <color rgb="FFFFFF00"/>
      <name val="Calibri"/>
    </font>
    <font>
      <b/>
      <sz val="14"/>
      <color rgb="FFFFFFFF"/>
      <name val="Calibri"/>
    </font>
    <font>
      <b/>
      <sz val="14"/>
      <color rgb="FF1E4E79"/>
      <name val="Calibri"/>
    </font>
    <font>
      <sz val="14"/>
      <color theme="0"/>
      <name val="Calibri"/>
      <family val="2"/>
    </font>
    <font>
      <sz val="10"/>
      <color theme="1"/>
      <name val="Calibri"/>
      <family val="2"/>
    </font>
    <font>
      <sz val="14"/>
      <color theme="1"/>
      <name val="Calibri"/>
      <family val="2"/>
    </font>
    <font>
      <b/>
      <sz val="14"/>
      <color theme="1"/>
      <name val="Calibri"/>
      <family val="2"/>
    </font>
    <font>
      <sz val="11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D0CECE"/>
        <bgColor rgb="FFD0CECE"/>
      </patternFill>
    </fill>
    <fill>
      <patternFill patternType="solid">
        <fgColor theme="0"/>
        <bgColor theme="0"/>
      </patternFill>
    </fill>
    <fill>
      <patternFill patternType="solid">
        <fgColor rgb="FF2E75B5"/>
        <bgColor rgb="FF2E75B5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2F2F2"/>
      </patternFill>
    </fill>
    <fill>
      <patternFill patternType="solid">
        <fgColor rgb="FFAEABAB"/>
        <bgColor rgb="FFAEABAB"/>
      </patternFill>
    </fill>
    <fill>
      <patternFill patternType="solid">
        <fgColor rgb="FF2F75B5"/>
        <bgColor rgb="FF2F75B5"/>
      </patternFill>
    </fill>
    <fill>
      <patternFill patternType="solid">
        <fgColor rgb="FFFFF2CB"/>
        <bgColor rgb="FFFFF2CB"/>
      </patternFill>
    </fill>
    <fill>
      <patternFill patternType="solid">
        <fgColor rgb="FFDEEAF6"/>
        <bgColor rgb="FFDEEAF6"/>
      </patternFill>
    </fill>
    <fill>
      <patternFill patternType="solid">
        <fgColor rgb="FFE7E6E6"/>
        <bgColor rgb="FFE7E6E6"/>
      </patternFill>
    </fill>
  </fills>
  <borders count="10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 style="medium">
        <color rgb="FF000000"/>
      </right>
      <top style="thin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531">
    <xf numFmtId="0" fontId="0" fillId="0" borderId="0" xfId="0" applyFont="1" applyAlignment="1"/>
    <xf numFmtId="0" fontId="2" fillId="0" borderId="0" xfId="0" applyFont="1" applyAlignment="1">
      <alignment vertical="center"/>
    </xf>
    <xf numFmtId="0" fontId="2" fillId="3" borderId="22" xfId="0" applyFont="1" applyFill="1" applyBorder="1" applyAlignment="1">
      <alignment vertical="center"/>
    </xf>
    <xf numFmtId="0" fontId="2" fillId="3" borderId="23" xfId="0" applyFont="1" applyFill="1" applyBorder="1" applyAlignment="1">
      <alignment vertical="center"/>
    </xf>
    <xf numFmtId="0" fontId="2" fillId="5" borderId="12" xfId="0" applyFont="1" applyFill="1" applyBorder="1" applyAlignment="1">
      <alignment vertical="center" wrapText="1"/>
    </xf>
    <xf numFmtId="0" fontId="2" fillId="3" borderId="23" xfId="0" applyFont="1" applyFill="1" applyBorder="1" applyAlignment="1">
      <alignment vertical="center" wrapText="1"/>
    </xf>
    <xf numFmtId="0" fontId="2" fillId="3" borderId="23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left" vertical="center"/>
    </xf>
    <xf numFmtId="0" fontId="2" fillId="3" borderId="23" xfId="0" applyFont="1" applyFill="1" applyBorder="1" applyAlignment="1">
      <alignment horizontal="left" vertical="center"/>
    </xf>
    <xf numFmtId="166" fontId="2" fillId="3" borderId="23" xfId="0" applyNumberFormat="1" applyFont="1" applyFill="1" applyBorder="1" applyAlignment="1">
      <alignment horizontal="center" vertical="center"/>
    </xf>
    <xf numFmtId="49" fontId="9" fillId="3" borderId="56" xfId="0" applyNumberFormat="1" applyFont="1" applyFill="1" applyBorder="1" applyAlignment="1">
      <alignment horizontal="center" vertical="center" wrapText="1"/>
    </xf>
    <xf numFmtId="0" fontId="2" fillId="3" borderId="56" xfId="0" applyFont="1" applyFill="1" applyBorder="1" applyAlignment="1">
      <alignment horizontal="center" vertical="center" wrapText="1"/>
    </xf>
    <xf numFmtId="167" fontId="2" fillId="3" borderId="56" xfId="0" applyNumberFormat="1" applyFont="1" applyFill="1" applyBorder="1" applyAlignment="1">
      <alignment vertical="center" wrapText="1"/>
    </xf>
    <xf numFmtId="168" fontId="9" fillId="3" borderId="56" xfId="0" applyNumberFormat="1" applyFont="1" applyFill="1" applyBorder="1" applyAlignment="1">
      <alignment horizontal="center" vertical="center" shrinkToFit="1"/>
    </xf>
    <xf numFmtId="166" fontId="2" fillId="2" borderId="57" xfId="0" applyNumberFormat="1" applyFont="1" applyFill="1" applyBorder="1" applyAlignment="1">
      <alignment vertical="center" shrinkToFit="1"/>
    </xf>
    <xf numFmtId="49" fontId="9" fillId="3" borderId="12" xfId="0" applyNumberFormat="1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167" fontId="2" fillId="3" borderId="12" xfId="0" applyNumberFormat="1" applyFont="1" applyFill="1" applyBorder="1" applyAlignment="1">
      <alignment vertical="center" wrapText="1"/>
    </xf>
    <xf numFmtId="168" fontId="9" fillId="3" borderId="12" xfId="0" applyNumberFormat="1" applyFont="1" applyFill="1" applyBorder="1" applyAlignment="1">
      <alignment horizontal="center" vertical="center" shrinkToFit="1"/>
    </xf>
    <xf numFmtId="0" fontId="2" fillId="0" borderId="0" xfId="0" applyFont="1" applyAlignment="1">
      <alignment vertical="center" wrapText="1"/>
    </xf>
    <xf numFmtId="49" fontId="2" fillId="3" borderId="12" xfId="0" applyNumberFormat="1" applyFont="1" applyFill="1" applyBorder="1" applyAlignment="1">
      <alignment horizontal="center" vertical="center" wrapText="1"/>
    </xf>
    <xf numFmtId="168" fontId="2" fillId="3" borderId="12" xfId="0" applyNumberFormat="1" applyFont="1" applyFill="1" applyBorder="1" applyAlignment="1">
      <alignment horizontal="center" vertical="center" shrinkToFit="1"/>
    </xf>
    <xf numFmtId="49" fontId="2" fillId="3" borderId="60" xfId="0" applyNumberFormat="1" applyFont="1" applyFill="1" applyBorder="1" applyAlignment="1">
      <alignment horizontal="center" vertical="center" wrapText="1"/>
    </xf>
    <xf numFmtId="0" fontId="2" fillId="3" borderId="60" xfId="0" applyFont="1" applyFill="1" applyBorder="1" applyAlignment="1">
      <alignment horizontal="center" vertical="center" wrapText="1"/>
    </xf>
    <xf numFmtId="167" fontId="2" fillId="3" borderId="60" xfId="0" applyNumberFormat="1" applyFont="1" applyFill="1" applyBorder="1" applyAlignment="1">
      <alignment vertical="center" wrapText="1"/>
    </xf>
    <xf numFmtId="168" fontId="2" fillId="3" borderId="60" xfId="0" applyNumberFormat="1" applyFont="1" applyFill="1" applyBorder="1" applyAlignment="1">
      <alignment horizontal="center" vertical="center" shrinkToFit="1"/>
    </xf>
    <xf numFmtId="166" fontId="2" fillId="2" borderId="61" xfId="0" applyNumberFormat="1" applyFont="1" applyFill="1" applyBorder="1" applyAlignment="1">
      <alignment vertical="center" shrinkToFit="1"/>
    </xf>
    <xf numFmtId="49" fontId="2" fillId="3" borderId="66" xfId="0" applyNumberFormat="1" applyFont="1" applyFill="1" applyBorder="1" applyAlignment="1">
      <alignment horizontal="center" vertical="center" wrapText="1"/>
    </xf>
    <xf numFmtId="0" fontId="2" fillId="3" borderId="66" xfId="0" applyFont="1" applyFill="1" applyBorder="1" applyAlignment="1">
      <alignment horizontal="center" vertical="center" wrapText="1"/>
    </xf>
    <xf numFmtId="167" fontId="2" fillId="3" borderId="66" xfId="0" applyNumberFormat="1" applyFont="1" applyFill="1" applyBorder="1" applyAlignment="1">
      <alignment vertical="center" wrapText="1"/>
    </xf>
    <xf numFmtId="168" fontId="2" fillId="3" borderId="66" xfId="0" applyNumberFormat="1" applyFont="1" applyFill="1" applyBorder="1" applyAlignment="1">
      <alignment horizontal="center" vertical="center" shrinkToFit="1"/>
    </xf>
    <xf numFmtId="166" fontId="2" fillId="2" borderId="67" xfId="0" applyNumberFormat="1" applyFont="1" applyFill="1" applyBorder="1" applyAlignment="1">
      <alignment vertical="center" shrinkToFit="1"/>
    </xf>
    <xf numFmtId="0" fontId="2" fillId="3" borderId="69" xfId="0" applyFont="1" applyFill="1" applyBorder="1" applyAlignment="1">
      <alignment horizontal="left" vertical="center"/>
    </xf>
    <xf numFmtId="168" fontId="2" fillId="3" borderId="69" xfId="0" applyNumberFormat="1" applyFont="1" applyFill="1" applyBorder="1" applyAlignment="1">
      <alignment horizontal="center" vertical="center"/>
    </xf>
    <xf numFmtId="0" fontId="2" fillId="7" borderId="70" xfId="0" applyFont="1" applyFill="1" applyBorder="1" applyAlignment="1">
      <alignment horizontal="left" vertical="center"/>
    </xf>
    <xf numFmtId="0" fontId="2" fillId="7" borderId="71" xfId="0" applyFont="1" applyFill="1" applyBorder="1" applyAlignment="1">
      <alignment horizontal="left" vertical="center"/>
    </xf>
    <xf numFmtId="0" fontId="2" fillId="7" borderId="72" xfId="0" applyFont="1" applyFill="1" applyBorder="1" applyAlignment="1">
      <alignment horizontal="left" vertical="center"/>
    </xf>
    <xf numFmtId="0" fontId="2" fillId="7" borderId="73" xfId="0" applyFont="1" applyFill="1" applyBorder="1" applyAlignment="1">
      <alignment horizontal="left" vertical="center"/>
    </xf>
    <xf numFmtId="0" fontId="2" fillId="7" borderId="69" xfId="0" applyFont="1" applyFill="1" applyBorder="1" applyAlignment="1">
      <alignment horizontal="left" vertical="center"/>
    </xf>
    <xf numFmtId="0" fontId="2" fillId="7" borderId="74" xfId="0" applyFont="1" applyFill="1" applyBorder="1" applyAlignment="1">
      <alignment horizontal="left" vertical="center"/>
    </xf>
    <xf numFmtId="0" fontId="2" fillId="7" borderId="75" xfId="0" applyFont="1" applyFill="1" applyBorder="1" applyAlignment="1">
      <alignment horizontal="left" vertical="center"/>
    </xf>
    <xf numFmtId="0" fontId="2" fillId="7" borderId="76" xfId="0" applyFont="1" applyFill="1" applyBorder="1" applyAlignment="1">
      <alignment horizontal="left" vertical="center"/>
    </xf>
    <xf numFmtId="0" fontId="2" fillId="7" borderId="77" xfId="0" applyFont="1" applyFill="1" applyBorder="1" applyAlignment="1">
      <alignment horizontal="left" vertical="center"/>
    </xf>
    <xf numFmtId="0" fontId="2" fillId="7" borderId="78" xfId="0" applyFont="1" applyFill="1" applyBorder="1" applyAlignment="1">
      <alignment horizontal="left" vertical="center"/>
    </xf>
    <xf numFmtId="0" fontId="2" fillId="7" borderId="79" xfId="0" applyFont="1" applyFill="1" applyBorder="1" applyAlignment="1">
      <alignment horizontal="left" vertical="center"/>
    </xf>
    <xf numFmtId="0" fontId="2" fillId="7" borderId="80" xfId="0" applyFont="1" applyFill="1" applyBorder="1" applyAlignment="1">
      <alignment horizontal="left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57" xfId="0" applyFont="1" applyFill="1" applyBorder="1" applyAlignment="1">
      <alignment horizontal="center" vertical="center"/>
    </xf>
    <xf numFmtId="0" fontId="2" fillId="3" borderId="83" xfId="0" applyFont="1" applyFill="1" applyBorder="1" applyAlignment="1">
      <alignment vertical="center"/>
    </xf>
    <xf numFmtId="0" fontId="2" fillId="3" borderId="12" xfId="0" applyFont="1" applyFill="1" applyBorder="1" applyAlignment="1">
      <alignment vertical="center"/>
    </xf>
    <xf numFmtId="0" fontId="2" fillId="3" borderId="57" xfId="0" applyFont="1" applyFill="1" applyBorder="1" applyAlignment="1">
      <alignment vertical="center"/>
    </xf>
    <xf numFmtId="0" fontId="2" fillId="2" borderId="83" xfId="0" applyFont="1" applyFill="1" applyBorder="1" applyAlignment="1">
      <alignment horizontal="center" vertical="center"/>
    </xf>
    <xf numFmtId="0" fontId="5" fillId="3" borderId="23" xfId="0" applyFont="1" applyFill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4" fillId="3" borderId="84" xfId="0" applyFont="1" applyFill="1" applyBorder="1" applyAlignment="1">
      <alignment horizontal="center" vertical="center"/>
    </xf>
    <xf numFmtId="0" fontId="2" fillId="0" borderId="26" xfId="0" applyFont="1" applyBorder="1" applyAlignment="1">
      <alignment vertical="center"/>
    </xf>
    <xf numFmtId="0" fontId="2" fillId="0" borderId="16" xfId="0" applyFont="1" applyBorder="1" applyAlignment="1">
      <alignment vertical="center"/>
    </xf>
    <xf numFmtId="0" fontId="4" fillId="7" borderId="85" xfId="0" applyFont="1" applyFill="1" applyBorder="1" applyAlignment="1">
      <alignment horizontal="center" vertical="center"/>
    </xf>
    <xf numFmtId="0" fontId="4" fillId="7" borderId="66" xfId="0" applyFont="1" applyFill="1" applyBorder="1" applyAlignment="1">
      <alignment horizontal="center" vertical="center"/>
    </xf>
    <xf numFmtId="0" fontId="4" fillId="7" borderId="67" xfId="0" applyFont="1" applyFill="1" applyBorder="1" applyAlignment="1">
      <alignment horizontal="center" vertical="center"/>
    </xf>
    <xf numFmtId="0" fontId="4" fillId="10" borderId="86" xfId="0" applyFont="1" applyFill="1" applyBorder="1" applyAlignment="1">
      <alignment horizontal="center" vertical="center"/>
    </xf>
    <xf numFmtId="0" fontId="2" fillId="0" borderId="17" xfId="0" applyFont="1" applyBorder="1" applyAlignment="1">
      <alignment vertical="center"/>
    </xf>
    <xf numFmtId="0" fontId="5" fillId="7" borderId="87" xfId="0" applyFont="1" applyFill="1" applyBorder="1" applyAlignment="1">
      <alignment horizontal="center" vertical="center"/>
    </xf>
    <xf numFmtId="166" fontId="5" fillId="7" borderId="12" xfId="0" applyNumberFormat="1" applyFont="1" applyFill="1" applyBorder="1" applyAlignment="1">
      <alignment vertical="center" shrinkToFit="1"/>
    </xf>
    <xf numFmtId="0" fontId="5" fillId="7" borderId="12" xfId="0" applyFont="1" applyFill="1" applyBorder="1" applyAlignment="1">
      <alignment horizontal="center" vertical="center"/>
    </xf>
    <xf numFmtId="166" fontId="5" fillId="7" borderId="57" xfId="0" applyNumberFormat="1" applyFont="1" applyFill="1" applyBorder="1" applyAlignment="1">
      <alignment vertical="center" shrinkToFit="1"/>
    </xf>
    <xf numFmtId="0" fontId="5" fillId="3" borderId="91" xfId="0" applyFont="1" applyFill="1" applyBorder="1" applyAlignment="1">
      <alignment vertical="center"/>
    </xf>
    <xf numFmtId="0" fontId="2" fillId="0" borderId="65" xfId="0" applyFont="1" applyBorder="1" applyAlignment="1">
      <alignment vertical="center"/>
    </xf>
    <xf numFmtId="166" fontId="5" fillId="7" borderId="61" xfId="0" applyNumberFormat="1" applyFont="1" applyFill="1" applyBorder="1" applyAlignment="1">
      <alignment vertical="center" shrinkToFit="1"/>
    </xf>
    <xf numFmtId="0" fontId="5" fillId="3" borderId="92" xfId="0" applyFont="1" applyFill="1" applyBorder="1" applyAlignment="1">
      <alignment vertical="center"/>
    </xf>
    <xf numFmtId="0" fontId="5" fillId="3" borderId="93" xfId="0" applyFont="1" applyFill="1" applyBorder="1" applyAlignment="1">
      <alignment vertical="center"/>
    </xf>
    <xf numFmtId="167" fontId="1" fillId="7" borderId="66" xfId="0" applyNumberFormat="1" applyFont="1" applyFill="1" applyBorder="1" applyAlignment="1">
      <alignment vertical="center"/>
    </xf>
    <xf numFmtId="167" fontId="2" fillId="3" borderId="12" xfId="0" applyNumberFormat="1" applyFont="1" applyFill="1" applyBorder="1" applyAlignment="1">
      <alignment vertical="center"/>
    </xf>
    <xf numFmtId="167" fontId="2" fillId="3" borderId="60" xfId="0" applyNumberFormat="1" applyFont="1" applyFill="1" applyBorder="1" applyAlignment="1">
      <alignment vertical="center"/>
    </xf>
    <xf numFmtId="167" fontId="2" fillId="12" borderId="60" xfId="0" applyNumberFormat="1" applyFont="1" applyFill="1" applyBorder="1" applyAlignment="1">
      <alignment vertical="center"/>
    </xf>
    <xf numFmtId="0" fontId="10" fillId="0" borderId="0" xfId="0" applyFont="1"/>
    <xf numFmtId="0" fontId="10" fillId="0" borderId="0" xfId="0" applyFont="1" applyAlignment="1">
      <alignment wrapText="1"/>
    </xf>
    <xf numFmtId="0" fontId="14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4" fillId="0" borderId="0" xfId="0" applyFont="1" applyAlignment="1">
      <alignment vertical="center" wrapText="1"/>
    </xf>
    <xf numFmtId="0" fontId="16" fillId="3" borderId="29" xfId="0" applyFont="1" applyFill="1" applyBorder="1" applyAlignment="1">
      <alignment vertical="center"/>
    </xf>
    <xf numFmtId="0" fontId="16" fillId="0" borderId="29" xfId="0" applyFont="1" applyBorder="1" applyAlignment="1">
      <alignment vertical="center" wrapText="1"/>
    </xf>
    <xf numFmtId="0" fontId="16" fillId="2" borderId="12" xfId="0" applyFont="1" applyFill="1" applyBorder="1" applyAlignment="1">
      <alignment vertical="center" wrapText="1"/>
    </xf>
    <xf numFmtId="0" fontId="2" fillId="0" borderId="11" xfId="0" applyFont="1" applyBorder="1" applyAlignment="1">
      <alignment horizontal="center" vertical="center" wrapText="1"/>
    </xf>
    <xf numFmtId="0" fontId="3" fillId="0" borderId="10" xfId="0" applyFont="1" applyBorder="1"/>
    <xf numFmtId="0" fontId="2" fillId="0" borderId="11" xfId="0" applyFont="1" applyBorder="1" applyAlignment="1">
      <alignment horizontal="center" vertical="center"/>
    </xf>
    <xf numFmtId="0" fontId="3" fillId="0" borderId="7" xfId="0" applyFont="1" applyBorder="1"/>
    <xf numFmtId="0" fontId="3" fillId="0" borderId="8" xfId="0" applyFont="1" applyBorder="1"/>
    <xf numFmtId="0" fontId="2" fillId="0" borderId="9" xfId="0" applyFont="1" applyBorder="1" applyAlignment="1">
      <alignment horizontal="center" vertical="center" wrapText="1"/>
    </xf>
    <xf numFmtId="166" fontId="2" fillId="3" borderId="83" xfId="0" applyNumberFormat="1" applyFont="1" applyFill="1" applyBorder="1" applyAlignment="1">
      <alignment horizontal="center" vertical="center"/>
    </xf>
    <xf numFmtId="166" fontId="2" fillId="3" borderId="74" xfId="0" applyNumberFormat="1" applyFont="1" applyFill="1" applyBorder="1" applyAlignment="1">
      <alignment horizontal="center" vertical="center"/>
    </xf>
    <xf numFmtId="166" fontId="2" fillId="2" borderId="83" xfId="0" applyNumberFormat="1" applyFont="1" applyFill="1" applyBorder="1" applyAlignment="1">
      <alignment horizontal="center" vertical="center"/>
    </xf>
    <xf numFmtId="166" fontId="2" fillId="2" borderId="8" xfId="0" applyNumberFormat="1" applyFont="1" applyFill="1" applyBorder="1" applyAlignment="1">
      <alignment horizontal="center" vertical="center"/>
    </xf>
    <xf numFmtId="0" fontId="2" fillId="3" borderId="73" xfId="0" applyFont="1" applyFill="1" applyBorder="1" applyAlignment="1">
      <alignment horizontal="center" vertical="center"/>
    </xf>
    <xf numFmtId="0" fontId="2" fillId="3" borderId="69" xfId="0" applyFont="1" applyFill="1" applyBorder="1" applyAlignment="1">
      <alignment horizontal="center" vertical="center"/>
    </xf>
    <xf numFmtId="0" fontId="2" fillId="3" borderId="74" xfId="0" applyFont="1" applyFill="1" applyBorder="1" applyAlignment="1">
      <alignment horizontal="center" vertical="center"/>
    </xf>
    <xf numFmtId="0" fontId="2" fillId="0" borderId="40" xfId="0" applyFont="1" applyBorder="1" applyAlignment="1">
      <alignment horizontal="center" vertical="center" wrapText="1"/>
    </xf>
    <xf numFmtId="0" fontId="3" fillId="0" borderId="20" xfId="0" applyFont="1" applyBorder="1"/>
    <xf numFmtId="0" fontId="3" fillId="0" borderId="41" xfId="0" applyFont="1" applyBorder="1"/>
    <xf numFmtId="0" fontId="2" fillId="0" borderId="19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/>
    </xf>
    <xf numFmtId="0" fontId="3" fillId="0" borderId="21" xfId="0" applyFont="1" applyBorder="1"/>
    <xf numFmtId="0" fontId="2" fillId="3" borderId="75" xfId="0" applyFont="1" applyFill="1" applyBorder="1" applyAlignment="1">
      <alignment horizontal="center" vertical="center"/>
    </xf>
    <xf numFmtId="0" fontId="2" fillId="3" borderId="76" xfId="0" applyFont="1" applyFill="1" applyBorder="1" applyAlignment="1">
      <alignment horizontal="center" vertical="center"/>
    </xf>
    <xf numFmtId="0" fontId="2" fillId="3" borderId="77" xfId="0" applyFont="1" applyFill="1" applyBorder="1" applyAlignment="1">
      <alignment horizontal="center" vertical="center"/>
    </xf>
    <xf numFmtId="166" fontId="2" fillId="3" borderId="19" xfId="0" applyNumberFormat="1" applyFont="1" applyFill="1" applyBorder="1" applyAlignment="1">
      <alignment horizontal="center" vertical="center"/>
    </xf>
    <xf numFmtId="166" fontId="2" fillId="3" borderId="77" xfId="0" applyNumberFormat="1" applyFont="1" applyFill="1" applyBorder="1" applyAlignment="1">
      <alignment horizontal="center" vertical="center"/>
    </xf>
    <xf numFmtId="166" fontId="2" fillId="2" borderId="19" xfId="0" applyNumberFormat="1" applyFont="1" applyFill="1" applyBorder="1" applyAlignment="1">
      <alignment horizontal="center" vertical="center"/>
    </xf>
    <xf numFmtId="166" fontId="2" fillId="2" borderId="21" xfId="0" applyNumberFormat="1" applyFont="1" applyFill="1" applyBorder="1" applyAlignment="1">
      <alignment horizontal="center" vertical="center"/>
    </xf>
    <xf numFmtId="0" fontId="1" fillId="12" borderId="4" xfId="0" applyFont="1" applyFill="1" applyBorder="1" applyAlignment="1">
      <alignment horizontal="center" vertical="center"/>
    </xf>
    <xf numFmtId="0" fontId="1" fillId="12" borderId="5" xfId="0" applyFont="1" applyFill="1" applyBorder="1" applyAlignment="1">
      <alignment horizontal="center" vertical="center"/>
    </xf>
    <xf numFmtId="0" fontId="1" fillId="12" borderId="81" xfId="0" applyFont="1" applyFill="1" applyBorder="1" applyAlignment="1">
      <alignment horizontal="center" vertical="center"/>
    </xf>
    <xf numFmtId="166" fontId="2" fillId="2" borderId="82" xfId="0" applyNumberFormat="1" applyFont="1" applyFill="1" applyBorder="1" applyAlignment="1">
      <alignment horizontal="center" vertical="center"/>
    </xf>
    <xf numFmtId="166" fontId="2" fillId="2" borderId="6" xfId="0" applyNumberFormat="1" applyFont="1" applyFill="1" applyBorder="1" applyAlignment="1">
      <alignment horizontal="center" vertical="center"/>
    </xf>
    <xf numFmtId="166" fontId="2" fillId="12" borderId="82" xfId="0" applyNumberFormat="1" applyFont="1" applyFill="1" applyBorder="1" applyAlignment="1">
      <alignment horizontal="center" vertical="center"/>
    </xf>
    <xf numFmtId="166" fontId="2" fillId="12" borderId="81" xfId="0" applyNumberFormat="1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3" fillId="0" borderId="5" xfId="0" applyFont="1" applyBorder="1"/>
    <xf numFmtId="0" fontId="3" fillId="0" borderId="6" xfId="0" applyFont="1" applyBorder="1"/>
    <xf numFmtId="0" fontId="1" fillId="5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1" fillId="5" borderId="9" xfId="0" applyFont="1" applyFill="1" applyBorder="1" applyAlignment="1">
      <alignment horizontal="center" vertical="center"/>
    </xf>
    <xf numFmtId="0" fontId="1" fillId="5" borderId="11" xfId="0" applyFont="1" applyFill="1" applyBorder="1" applyAlignment="1">
      <alignment horizontal="center" vertical="center" wrapText="1"/>
    </xf>
    <xf numFmtId="0" fontId="1" fillId="5" borderId="11" xfId="0" applyFont="1" applyFill="1" applyBorder="1" applyAlignment="1">
      <alignment horizontal="center" vertical="center"/>
    </xf>
    <xf numFmtId="168" fontId="5" fillId="11" borderId="19" xfId="0" applyNumberFormat="1" applyFont="1" applyFill="1" applyBorder="1" applyAlignment="1">
      <alignment horizontal="center" vertical="center" shrinkToFit="1"/>
    </xf>
    <xf numFmtId="168" fontId="5" fillId="11" borderId="21" xfId="0" applyNumberFormat="1" applyFont="1" applyFill="1" applyBorder="1" applyAlignment="1">
      <alignment horizontal="center" vertical="center" shrinkToFit="1"/>
    </xf>
    <xf numFmtId="0" fontId="5" fillId="11" borderId="73" xfId="0" applyFont="1" applyFill="1" applyBorder="1" applyAlignment="1">
      <alignment horizontal="center" vertical="center"/>
    </xf>
    <xf numFmtId="0" fontId="5" fillId="11" borderId="74" xfId="0" applyFont="1" applyFill="1" applyBorder="1" applyAlignment="1">
      <alignment horizontal="center" vertical="center"/>
    </xf>
    <xf numFmtId="168" fontId="5" fillId="11" borderId="83" xfId="0" applyNumberFormat="1" applyFont="1" applyFill="1" applyBorder="1" applyAlignment="1">
      <alignment horizontal="center" vertical="center"/>
    </xf>
    <xf numFmtId="168" fontId="5" fillId="11" borderId="8" xfId="0" applyNumberFormat="1" applyFont="1" applyFill="1" applyBorder="1" applyAlignment="1">
      <alignment horizontal="center" vertical="center"/>
    </xf>
    <xf numFmtId="0" fontId="5" fillId="10" borderId="50" xfId="0" applyFont="1" applyFill="1" applyBorder="1" applyAlignment="1">
      <alignment horizontal="center" vertical="center"/>
    </xf>
    <xf numFmtId="0" fontId="5" fillId="10" borderId="84" xfId="0" applyFont="1" applyFill="1" applyBorder="1" applyAlignment="1">
      <alignment horizontal="center" vertical="center"/>
    </xf>
    <xf numFmtId="0" fontId="5" fillId="10" borderId="49" xfId="0" applyFont="1" applyFill="1" applyBorder="1" applyAlignment="1">
      <alignment horizontal="center" vertical="center"/>
    </xf>
    <xf numFmtId="0" fontId="5" fillId="10" borderId="88" xfId="0" applyFont="1" applyFill="1" applyBorder="1" applyAlignment="1">
      <alignment horizontal="center" vertical="center"/>
    </xf>
    <xf numFmtId="0" fontId="5" fillId="10" borderId="79" xfId="0" applyFont="1" applyFill="1" applyBorder="1" applyAlignment="1">
      <alignment horizontal="center" vertical="center"/>
    </xf>
    <xf numFmtId="0" fontId="5" fillId="10" borderId="89" xfId="0" applyFont="1" applyFill="1" applyBorder="1" applyAlignment="1">
      <alignment horizontal="center" vertical="center"/>
    </xf>
    <xf numFmtId="0" fontId="5" fillId="10" borderId="83" xfId="0" applyFont="1" applyFill="1" applyBorder="1" applyAlignment="1">
      <alignment horizontal="center" vertical="center"/>
    </xf>
    <xf numFmtId="0" fontId="5" fillId="10" borderId="74" xfId="0" applyFont="1" applyFill="1" applyBorder="1" applyAlignment="1">
      <alignment horizontal="center" vertical="center"/>
    </xf>
    <xf numFmtId="166" fontId="5" fillId="10" borderId="83" xfId="0" applyNumberFormat="1" applyFont="1" applyFill="1" applyBorder="1" applyAlignment="1">
      <alignment horizontal="center" vertical="center"/>
    </xf>
    <xf numFmtId="166" fontId="5" fillId="10" borderId="8" xfId="0" applyNumberFormat="1" applyFont="1" applyFill="1" applyBorder="1" applyAlignment="1">
      <alignment horizontal="center" vertical="center"/>
    </xf>
    <xf numFmtId="0" fontId="5" fillId="10" borderId="19" xfId="0" applyFont="1" applyFill="1" applyBorder="1" applyAlignment="1">
      <alignment horizontal="center" vertical="center"/>
    </xf>
    <xf numFmtId="0" fontId="5" fillId="10" borderId="77" xfId="0" applyFont="1" applyFill="1" applyBorder="1" applyAlignment="1">
      <alignment horizontal="center" vertical="center"/>
    </xf>
    <xf numFmtId="166" fontId="5" fillId="10" borderId="19" xfId="0" applyNumberFormat="1" applyFont="1" applyFill="1" applyBorder="1" applyAlignment="1">
      <alignment horizontal="center" vertical="center"/>
    </xf>
    <xf numFmtId="166" fontId="5" fillId="10" borderId="21" xfId="0" applyNumberFormat="1" applyFont="1" applyFill="1" applyBorder="1" applyAlignment="1">
      <alignment horizontal="center" vertical="center"/>
    </xf>
    <xf numFmtId="0" fontId="5" fillId="10" borderId="4" xfId="0" applyFont="1" applyFill="1" applyBorder="1" applyAlignment="1">
      <alignment horizontal="center" vertical="center"/>
    </xf>
    <xf numFmtId="0" fontId="5" fillId="10" borderId="5" xfId="0" applyFont="1" applyFill="1" applyBorder="1" applyAlignment="1">
      <alignment horizontal="center" vertical="center"/>
    </xf>
    <xf numFmtId="0" fontId="5" fillId="10" borderId="81" xfId="0" applyFont="1" applyFill="1" applyBorder="1" applyAlignment="1">
      <alignment horizontal="center" vertical="center"/>
    </xf>
    <xf numFmtId="166" fontId="5" fillId="10" borderId="82" xfId="0" applyNumberFormat="1" applyFont="1" applyFill="1" applyBorder="1" applyAlignment="1">
      <alignment horizontal="center" vertical="center"/>
    </xf>
    <xf numFmtId="166" fontId="5" fillId="10" borderId="6" xfId="0" applyNumberFormat="1" applyFont="1" applyFill="1" applyBorder="1" applyAlignment="1">
      <alignment horizontal="center" vertical="center"/>
    </xf>
    <xf numFmtId="0" fontId="4" fillId="11" borderId="4" xfId="0" applyFont="1" applyFill="1" applyBorder="1" applyAlignment="1">
      <alignment horizontal="center" vertical="center"/>
    </xf>
    <xf numFmtId="0" fontId="4" fillId="11" borderId="5" xfId="0" applyFont="1" applyFill="1" applyBorder="1" applyAlignment="1">
      <alignment horizontal="center" vertical="center"/>
    </xf>
    <xf numFmtId="0" fontId="4" fillId="11" borderId="6" xfId="0" applyFont="1" applyFill="1" applyBorder="1" applyAlignment="1">
      <alignment horizontal="center" vertical="center"/>
    </xf>
    <xf numFmtId="0" fontId="4" fillId="11" borderId="70" xfId="0" applyFont="1" applyFill="1" applyBorder="1" applyAlignment="1">
      <alignment horizontal="center" vertical="center"/>
    </xf>
    <xf numFmtId="0" fontId="4" fillId="11" borderId="72" xfId="0" applyFont="1" applyFill="1" applyBorder="1" applyAlignment="1">
      <alignment horizontal="center" vertical="center"/>
    </xf>
    <xf numFmtId="0" fontId="4" fillId="11" borderId="55" xfId="0" applyFont="1" applyFill="1" applyBorder="1" applyAlignment="1">
      <alignment horizontal="center" vertical="center"/>
    </xf>
    <xf numFmtId="0" fontId="4" fillId="11" borderId="3" xfId="0" applyFont="1" applyFill="1" applyBorder="1" applyAlignment="1">
      <alignment horizontal="center" vertical="center"/>
    </xf>
    <xf numFmtId="0" fontId="5" fillId="10" borderId="47" xfId="0" applyFont="1" applyFill="1" applyBorder="1" applyAlignment="1">
      <alignment horizontal="center" vertical="center"/>
    </xf>
    <xf numFmtId="0" fontId="5" fillId="10" borderId="48" xfId="0" applyFont="1" applyFill="1" applyBorder="1" applyAlignment="1">
      <alignment horizontal="center" vertical="center"/>
    </xf>
    <xf numFmtId="0" fontId="4" fillId="10" borderId="19" xfId="0" applyFont="1" applyFill="1" applyBorder="1" applyAlignment="1">
      <alignment horizontal="center" vertical="center"/>
    </xf>
    <xf numFmtId="0" fontId="4" fillId="10" borderId="21" xfId="0" applyFont="1" applyFill="1" applyBorder="1" applyAlignment="1">
      <alignment horizontal="center" vertical="center"/>
    </xf>
    <xf numFmtId="0" fontId="5" fillId="10" borderId="62" xfId="0" applyFont="1" applyFill="1" applyBorder="1" applyAlignment="1">
      <alignment horizontal="center" vertical="center"/>
    </xf>
    <xf numFmtId="0" fontId="5" fillId="10" borderId="63" xfId="0" applyFont="1" applyFill="1" applyBorder="1" applyAlignment="1">
      <alignment horizontal="center" vertical="center"/>
    </xf>
    <xf numFmtId="0" fontId="5" fillId="10" borderId="78" xfId="0" applyFont="1" applyFill="1" applyBorder="1" applyAlignment="1">
      <alignment horizontal="center" vertical="center"/>
    </xf>
    <xf numFmtId="0" fontId="5" fillId="10" borderId="38" xfId="0" applyFont="1" applyFill="1" applyBorder="1" applyAlignment="1">
      <alignment horizontal="center" vertical="center"/>
    </xf>
    <xf numFmtId="0" fontId="2" fillId="2" borderId="83" xfId="0" applyFont="1" applyFill="1" applyBorder="1" applyAlignment="1">
      <alignment horizontal="center" vertical="center"/>
    </xf>
    <xf numFmtId="0" fontId="2" fillId="2" borderId="69" xfId="0" applyFont="1" applyFill="1" applyBorder="1" applyAlignment="1">
      <alignment horizontal="center" vertical="center"/>
    </xf>
    <xf numFmtId="0" fontId="2" fillId="2" borderId="74" xfId="0" applyFont="1" applyFill="1" applyBorder="1" applyAlignment="1">
      <alignment horizontal="center" vertical="center"/>
    </xf>
    <xf numFmtId="0" fontId="11" fillId="9" borderId="4" xfId="0" applyFont="1" applyFill="1" applyBorder="1" applyAlignment="1">
      <alignment horizontal="center" vertical="center"/>
    </xf>
    <xf numFmtId="0" fontId="11" fillId="9" borderId="5" xfId="0" applyFont="1" applyFill="1" applyBorder="1" applyAlignment="1">
      <alignment horizontal="center" vertical="center"/>
    </xf>
    <xf numFmtId="0" fontId="11" fillId="9" borderId="6" xfId="0" applyFont="1" applyFill="1" applyBorder="1" applyAlignment="1">
      <alignment horizontal="center" vertical="center"/>
    </xf>
    <xf numFmtId="0" fontId="12" fillId="9" borderId="4" xfId="0" applyFont="1" applyFill="1" applyBorder="1" applyAlignment="1">
      <alignment horizontal="center" vertical="center"/>
    </xf>
    <xf numFmtId="0" fontId="12" fillId="9" borderId="5" xfId="0" applyFont="1" applyFill="1" applyBorder="1" applyAlignment="1">
      <alignment horizontal="center" vertical="center"/>
    </xf>
    <xf numFmtId="0" fontId="12" fillId="9" borderId="6" xfId="0" applyFont="1" applyFill="1" applyBorder="1" applyAlignment="1">
      <alignment horizontal="center" vertical="center"/>
    </xf>
    <xf numFmtId="0" fontId="4" fillId="2" borderId="62" xfId="0" applyFont="1" applyFill="1" applyBorder="1" applyAlignment="1">
      <alignment horizontal="center" vertical="center"/>
    </xf>
    <xf numFmtId="0" fontId="4" fillId="2" borderId="84" xfId="0" applyFont="1" applyFill="1" applyBorder="1" applyAlignment="1">
      <alignment horizontal="center" vertical="center"/>
    </xf>
    <xf numFmtId="0" fontId="4" fillId="2" borderId="63" xfId="0" applyFont="1" applyFill="1" applyBorder="1" applyAlignment="1">
      <alignment horizontal="center" vertical="center"/>
    </xf>
    <xf numFmtId="0" fontId="4" fillId="2" borderId="58" xfId="0" applyFont="1" applyFill="1" applyBorder="1" applyAlignment="1">
      <alignment horizontal="center" vertical="center"/>
    </xf>
    <xf numFmtId="0" fontId="4" fillId="2" borderId="92" xfId="0" applyFont="1" applyFill="1" applyBorder="1" applyAlignment="1">
      <alignment horizontal="center" vertical="center"/>
    </xf>
    <xf numFmtId="0" fontId="4" fillId="2" borderId="93" xfId="0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/>
    </xf>
    <xf numFmtId="0" fontId="4" fillId="7" borderId="5" xfId="0" applyFont="1" applyFill="1" applyBorder="1" applyAlignment="1">
      <alignment horizontal="center" vertical="center"/>
    </xf>
    <xf numFmtId="0" fontId="4" fillId="7" borderId="6" xfId="0" applyFont="1" applyFill="1" applyBorder="1" applyAlignment="1">
      <alignment horizontal="center" vertical="center"/>
    </xf>
    <xf numFmtId="0" fontId="4" fillId="10" borderId="70" xfId="0" applyFont="1" applyFill="1" applyBorder="1" applyAlignment="1">
      <alignment horizontal="center" vertical="center"/>
    </xf>
    <xf numFmtId="0" fontId="4" fillId="10" borderId="71" xfId="0" applyFont="1" applyFill="1" applyBorder="1" applyAlignment="1">
      <alignment horizontal="center" vertical="center"/>
    </xf>
    <xf numFmtId="0" fontId="4" fillId="10" borderId="3" xfId="0" applyFont="1" applyFill="1" applyBorder="1" applyAlignment="1">
      <alignment horizontal="center" vertical="center"/>
    </xf>
    <xf numFmtId="0" fontId="4" fillId="10" borderId="77" xfId="0" applyFont="1" applyFill="1" applyBorder="1" applyAlignment="1">
      <alignment horizontal="center" vertical="center"/>
    </xf>
    <xf numFmtId="0" fontId="2" fillId="3" borderId="83" xfId="0" applyFont="1" applyFill="1" applyBorder="1" applyAlignment="1">
      <alignment horizontal="center" vertical="center"/>
    </xf>
    <xf numFmtId="0" fontId="2" fillId="2" borderId="75" xfId="0" applyFont="1" applyFill="1" applyBorder="1" applyAlignment="1">
      <alignment horizontal="center" vertical="center"/>
    </xf>
    <xf numFmtId="0" fontId="2" fillId="2" borderId="76" xfId="0" applyFont="1" applyFill="1" applyBorder="1" applyAlignment="1">
      <alignment horizontal="center" vertical="center"/>
    </xf>
    <xf numFmtId="0" fontId="2" fillId="2" borderId="77" xfId="0" applyFont="1" applyFill="1" applyBorder="1" applyAlignment="1">
      <alignment horizontal="center" vertical="center"/>
    </xf>
    <xf numFmtId="0" fontId="1" fillId="2" borderId="62" xfId="0" applyFont="1" applyFill="1" applyBorder="1" applyAlignment="1">
      <alignment horizontal="center" vertical="center" wrapText="1"/>
    </xf>
    <xf numFmtId="0" fontId="1" fillId="2" borderId="84" xfId="0" applyFont="1" applyFill="1" applyBorder="1" applyAlignment="1">
      <alignment horizontal="center" vertical="center" wrapText="1"/>
    </xf>
    <xf numFmtId="0" fontId="1" fillId="2" borderId="63" xfId="0" applyFont="1" applyFill="1" applyBorder="1" applyAlignment="1">
      <alignment horizontal="center" vertical="center" wrapText="1"/>
    </xf>
    <xf numFmtId="0" fontId="1" fillId="2" borderId="78" xfId="0" applyFont="1" applyFill="1" applyBorder="1" applyAlignment="1">
      <alignment horizontal="center" vertical="center" wrapText="1"/>
    </xf>
    <xf numFmtId="0" fontId="1" fillId="2" borderId="79" xfId="0" applyFont="1" applyFill="1" applyBorder="1" applyAlignment="1">
      <alignment horizontal="center" vertical="center" wrapText="1"/>
    </xf>
    <xf numFmtId="0" fontId="1" fillId="2" borderId="38" xfId="0" applyFont="1" applyFill="1" applyBorder="1" applyAlignment="1">
      <alignment horizontal="center" vertical="center" wrapText="1"/>
    </xf>
    <xf numFmtId="0" fontId="2" fillId="8" borderId="83" xfId="0" applyFont="1" applyFill="1" applyBorder="1" applyAlignment="1">
      <alignment horizontal="center" vertical="center"/>
    </xf>
    <xf numFmtId="0" fontId="2" fillId="8" borderId="69" xfId="0" applyFont="1" applyFill="1" applyBorder="1" applyAlignment="1">
      <alignment horizontal="center" vertical="center"/>
    </xf>
    <xf numFmtId="0" fontId="2" fillId="8" borderId="74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45" xfId="0" applyFont="1" applyFill="1" applyBorder="1" applyAlignment="1">
      <alignment horizontal="center" vertical="center"/>
    </xf>
    <xf numFmtId="0" fontId="1" fillId="2" borderId="43" xfId="0" applyFont="1" applyFill="1" applyBorder="1" applyAlignment="1">
      <alignment horizontal="center" vertical="center"/>
    </xf>
    <xf numFmtId="0" fontId="1" fillId="2" borderId="58" xfId="0" applyFont="1" applyFill="1" applyBorder="1" applyAlignment="1">
      <alignment horizontal="center" vertical="center"/>
    </xf>
    <xf numFmtId="0" fontId="1" fillId="2" borderId="92" xfId="0" applyFont="1" applyFill="1" applyBorder="1" applyAlignment="1">
      <alignment horizontal="center" vertical="center"/>
    </xf>
    <xf numFmtId="0" fontId="1" fillId="2" borderId="59" xfId="0" applyFont="1" applyFill="1" applyBorder="1" applyAlignment="1">
      <alignment horizontal="center" vertical="center"/>
    </xf>
    <xf numFmtId="166" fontId="2" fillId="2" borderId="68" xfId="0" applyNumberFormat="1" applyFont="1" applyFill="1" applyBorder="1" applyAlignment="1">
      <alignment horizontal="center" vertical="center"/>
    </xf>
    <xf numFmtId="166" fontId="2" fillId="2" borderId="15" xfId="0" applyNumberFormat="1" applyFont="1" applyFill="1" applyBorder="1" applyAlignment="1">
      <alignment horizontal="center" vertical="center"/>
    </xf>
    <xf numFmtId="166" fontId="2" fillId="2" borderId="90" xfId="0" applyNumberFormat="1" applyFont="1" applyFill="1" applyBorder="1" applyAlignment="1">
      <alignment horizontal="center" vertical="center"/>
    </xf>
    <xf numFmtId="166" fontId="2" fillId="2" borderId="93" xfId="0" applyNumberFormat="1" applyFont="1" applyFill="1" applyBorder="1" applyAlignment="1">
      <alignment horizontal="center" vertical="center"/>
    </xf>
    <xf numFmtId="0" fontId="1" fillId="2" borderId="42" xfId="0" applyFont="1" applyFill="1" applyBorder="1" applyAlignment="1">
      <alignment horizontal="center" vertical="center"/>
    </xf>
    <xf numFmtId="0" fontId="1" fillId="2" borderId="32" xfId="0" applyFont="1" applyFill="1" applyBorder="1" applyAlignment="1">
      <alignment horizontal="center" vertical="center"/>
    </xf>
    <xf numFmtId="0" fontId="1" fillId="2" borderId="78" xfId="0" applyFont="1" applyFill="1" applyBorder="1" applyAlignment="1">
      <alignment horizontal="center" vertical="center"/>
    </xf>
    <xf numFmtId="0" fontId="1" fillId="2" borderId="89" xfId="0" applyFont="1" applyFill="1" applyBorder="1" applyAlignment="1">
      <alignment horizontal="center" vertical="center"/>
    </xf>
    <xf numFmtId="0" fontId="1" fillId="2" borderId="44" xfId="0" applyFont="1" applyFill="1" applyBorder="1" applyAlignment="1">
      <alignment horizontal="center" vertical="center"/>
    </xf>
    <xf numFmtId="0" fontId="1" fillId="2" borderId="46" xfId="0" applyFont="1" applyFill="1" applyBorder="1" applyAlignment="1">
      <alignment horizontal="center" vertical="center"/>
    </xf>
    <xf numFmtId="0" fontId="1" fillId="2" borderId="66" xfId="0" applyFont="1" applyFill="1" applyBorder="1" applyAlignment="1">
      <alignment horizontal="center" vertical="center"/>
    </xf>
    <xf numFmtId="0" fontId="1" fillId="2" borderId="62" xfId="0" applyFont="1" applyFill="1" applyBorder="1" applyAlignment="1">
      <alignment horizontal="center" vertical="center"/>
    </xf>
    <xf numFmtId="0" fontId="1" fillId="2" borderId="84" xfId="0" applyFont="1" applyFill="1" applyBorder="1" applyAlignment="1">
      <alignment horizontal="center" vertical="center"/>
    </xf>
    <xf numFmtId="0" fontId="1" fillId="2" borderId="49" xfId="0" applyFont="1" applyFill="1" applyBorder="1" applyAlignment="1">
      <alignment horizontal="center" vertical="center"/>
    </xf>
    <xf numFmtId="0" fontId="1" fillId="2" borderId="79" xfId="0" applyFont="1" applyFill="1" applyBorder="1" applyAlignment="1">
      <alignment horizontal="center" vertical="center"/>
    </xf>
    <xf numFmtId="166" fontId="2" fillId="2" borderId="50" xfId="0" applyNumberFormat="1" applyFont="1" applyFill="1" applyBorder="1" applyAlignment="1">
      <alignment horizontal="center" vertical="center"/>
    </xf>
    <xf numFmtId="166" fontId="2" fillId="2" borderId="63" xfId="0" applyNumberFormat="1" applyFont="1" applyFill="1" applyBorder="1" applyAlignment="1">
      <alignment horizontal="center" vertical="center"/>
    </xf>
    <xf numFmtId="166" fontId="2" fillId="2" borderId="88" xfId="0" applyNumberFormat="1" applyFont="1" applyFill="1" applyBorder="1" applyAlignment="1">
      <alignment horizontal="center" vertical="center"/>
    </xf>
    <xf numFmtId="166" fontId="2" fillId="2" borderId="38" xfId="0" applyNumberFormat="1" applyFont="1" applyFill="1" applyBorder="1" applyAlignment="1">
      <alignment horizontal="center" vertical="center"/>
    </xf>
    <xf numFmtId="0" fontId="2" fillId="7" borderId="13" xfId="0" applyFont="1" applyFill="1" applyBorder="1" applyAlignment="1">
      <alignment horizontal="center" vertical="center"/>
    </xf>
    <xf numFmtId="0" fontId="2" fillId="7" borderId="45" xfId="0" applyFont="1" applyFill="1" applyBorder="1" applyAlignment="1">
      <alignment horizontal="center" vertical="center"/>
    </xf>
    <xf numFmtId="0" fontId="2" fillId="7" borderId="43" xfId="0" applyFont="1" applyFill="1" applyBorder="1" applyAlignment="1">
      <alignment horizontal="center" vertical="center"/>
    </xf>
    <xf numFmtId="0" fontId="2" fillId="7" borderId="78" xfId="0" applyFont="1" applyFill="1" applyBorder="1" applyAlignment="1">
      <alignment horizontal="center" vertical="center"/>
    </xf>
    <xf numFmtId="0" fontId="2" fillId="7" borderId="79" xfId="0" applyFont="1" applyFill="1" applyBorder="1" applyAlignment="1">
      <alignment horizontal="center" vertical="center"/>
    </xf>
    <xf numFmtId="0" fontId="2" fillId="7" borderId="89" xfId="0" applyFont="1" applyFill="1" applyBorder="1" applyAlignment="1">
      <alignment horizontal="center" vertical="center"/>
    </xf>
    <xf numFmtId="10" fontId="2" fillId="3" borderId="68" xfId="0" applyNumberFormat="1" applyFont="1" applyFill="1" applyBorder="1" applyAlignment="1">
      <alignment horizontal="center" vertical="center"/>
    </xf>
    <xf numFmtId="10" fontId="2" fillId="3" borderId="15" xfId="0" applyNumberFormat="1" applyFont="1" applyFill="1" applyBorder="1" applyAlignment="1">
      <alignment horizontal="center" vertical="center"/>
    </xf>
    <xf numFmtId="10" fontId="2" fillId="3" borderId="88" xfId="0" applyNumberFormat="1" applyFont="1" applyFill="1" applyBorder="1" applyAlignment="1">
      <alignment horizontal="center" vertical="center"/>
    </xf>
    <xf numFmtId="10" fontId="2" fillId="3" borderId="38" xfId="0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 wrapText="1"/>
    </xf>
    <xf numFmtId="0" fontId="1" fillId="2" borderId="45" xfId="0" applyFont="1" applyFill="1" applyBorder="1" applyAlignment="1">
      <alignment horizontal="center" vertical="center" wrapText="1"/>
    </xf>
    <xf numFmtId="0" fontId="1" fillId="2" borderId="43" xfId="0" applyFont="1" applyFill="1" applyBorder="1" applyAlignment="1">
      <alignment horizontal="center" vertical="center" wrapText="1"/>
    </xf>
    <xf numFmtId="0" fontId="1" fillId="2" borderId="42" xfId="0" applyFont="1" applyFill="1" applyBorder="1" applyAlignment="1">
      <alignment horizontal="center" vertical="center" wrapText="1"/>
    </xf>
    <xf numFmtId="0" fontId="1" fillId="2" borderId="29" xfId="0" applyFont="1" applyFill="1" applyBorder="1" applyAlignment="1">
      <alignment horizontal="center" vertical="center" wrapText="1"/>
    </xf>
    <xf numFmtId="0" fontId="1" fillId="2" borderId="32" xfId="0" applyFont="1" applyFill="1" applyBorder="1" applyAlignment="1">
      <alignment horizontal="center" vertical="center" wrapText="1"/>
    </xf>
    <xf numFmtId="0" fontId="1" fillId="2" borderId="89" xfId="0" applyFont="1" applyFill="1" applyBorder="1" applyAlignment="1">
      <alignment horizontal="center" vertical="center" wrapText="1"/>
    </xf>
    <xf numFmtId="166" fontId="2" fillId="2" borderId="31" xfId="0" applyNumberFormat="1" applyFont="1" applyFill="1" applyBorder="1" applyAlignment="1">
      <alignment horizontal="center" vertical="center"/>
    </xf>
    <xf numFmtId="166" fontId="2" fillId="2" borderId="91" xfId="0" applyNumberFormat="1" applyFont="1" applyFill="1" applyBorder="1" applyAlignment="1">
      <alignment horizontal="center" vertical="center"/>
    </xf>
    <xf numFmtId="0" fontId="2" fillId="7" borderId="13" xfId="0" applyFont="1" applyFill="1" applyBorder="1" applyAlignment="1">
      <alignment vertical="center"/>
    </xf>
    <xf numFmtId="0" fontId="2" fillId="7" borderId="45" xfId="0" applyFont="1" applyFill="1" applyBorder="1" applyAlignment="1">
      <alignment vertical="center"/>
    </xf>
    <xf numFmtId="0" fontId="2" fillId="7" borderId="43" xfId="0" applyFont="1" applyFill="1" applyBorder="1" applyAlignment="1">
      <alignment vertical="center"/>
    </xf>
    <xf numFmtId="0" fontId="2" fillId="7" borderId="78" xfId="0" applyFont="1" applyFill="1" applyBorder="1" applyAlignment="1">
      <alignment vertical="center"/>
    </xf>
    <xf numFmtId="0" fontId="2" fillId="7" borderId="79" xfId="0" applyFont="1" applyFill="1" applyBorder="1" applyAlignment="1">
      <alignment vertical="center"/>
    </xf>
    <xf numFmtId="0" fontId="2" fillId="7" borderId="89" xfId="0" applyFont="1" applyFill="1" applyBorder="1" applyAlignment="1">
      <alignment vertical="center"/>
    </xf>
    <xf numFmtId="0" fontId="1" fillId="2" borderId="83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0" fillId="2" borderId="83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1" fillId="2" borderId="68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2" borderId="29" xfId="0" applyFont="1" applyFill="1" applyBorder="1" applyAlignment="1">
      <alignment horizontal="center" vertical="center"/>
    </xf>
    <xf numFmtId="0" fontId="1" fillId="2" borderId="88" xfId="0" applyFont="1" applyFill="1" applyBorder="1" applyAlignment="1">
      <alignment horizontal="center" vertical="center"/>
    </xf>
    <xf numFmtId="166" fontId="1" fillId="2" borderId="50" xfId="0" applyNumberFormat="1" applyFont="1" applyFill="1" applyBorder="1" applyAlignment="1">
      <alignment horizontal="center" vertical="center"/>
    </xf>
    <xf numFmtId="166" fontId="1" fillId="2" borderId="63" xfId="0" applyNumberFormat="1" applyFont="1" applyFill="1" applyBorder="1" applyAlignment="1">
      <alignment horizontal="center" vertical="center"/>
    </xf>
    <xf numFmtId="166" fontId="1" fillId="2" borderId="90" xfId="0" applyNumberFormat="1" applyFont="1" applyFill="1" applyBorder="1" applyAlignment="1">
      <alignment horizontal="center" vertical="center"/>
    </xf>
    <xf numFmtId="166" fontId="1" fillId="2" borderId="93" xfId="0" applyNumberFormat="1" applyFont="1" applyFill="1" applyBorder="1" applyAlignment="1">
      <alignment horizontal="center" vertical="center"/>
    </xf>
    <xf numFmtId="166" fontId="2" fillId="3" borderId="55" xfId="0" applyNumberFormat="1" applyFont="1" applyFill="1" applyBorder="1" applyAlignment="1">
      <alignment horizontal="center" vertical="center"/>
    </xf>
    <xf numFmtId="166" fontId="2" fillId="3" borderId="3" xfId="0" applyNumberFormat="1" applyFont="1" applyFill="1" applyBorder="1" applyAlignment="1">
      <alignment horizontal="center" vertical="center"/>
    </xf>
    <xf numFmtId="166" fontId="2" fillId="3" borderId="8" xfId="0" applyNumberFormat="1" applyFont="1" applyFill="1" applyBorder="1" applyAlignment="1">
      <alignment horizontal="center" vertical="center"/>
    </xf>
    <xf numFmtId="166" fontId="2" fillId="3" borderId="21" xfId="0" applyNumberFormat="1" applyFont="1" applyFill="1" applyBorder="1" applyAlignment="1">
      <alignment horizontal="center" vertical="center"/>
    </xf>
    <xf numFmtId="0" fontId="2" fillId="7" borderId="73" xfId="0" applyFont="1" applyFill="1" applyBorder="1" applyAlignment="1">
      <alignment horizontal="left" vertical="center" wrapText="1"/>
    </xf>
    <xf numFmtId="0" fontId="2" fillId="7" borderId="69" xfId="0" applyFont="1" applyFill="1" applyBorder="1" applyAlignment="1">
      <alignment horizontal="left" vertical="center" wrapText="1"/>
    </xf>
    <xf numFmtId="0" fontId="2" fillId="7" borderId="74" xfId="0" applyFont="1" applyFill="1" applyBorder="1" applyAlignment="1">
      <alignment horizontal="left" vertical="center" wrapText="1"/>
    </xf>
    <xf numFmtId="168" fontId="2" fillId="3" borderId="83" xfId="0" applyNumberFormat="1" applyFont="1" applyFill="1" applyBorder="1" applyAlignment="1">
      <alignment horizontal="center" vertical="center"/>
    </xf>
    <xf numFmtId="168" fontId="2" fillId="3" borderId="8" xfId="0" applyNumberFormat="1" applyFont="1" applyFill="1" applyBorder="1" applyAlignment="1">
      <alignment horizontal="center" vertical="center"/>
    </xf>
    <xf numFmtId="168" fontId="1" fillId="2" borderId="50" xfId="0" applyNumberFormat="1" applyFont="1" applyFill="1" applyBorder="1" applyAlignment="1">
      <alignment horizontal="center" vertical="center"/>
    </xf>
    <xf numFmtId="168" fontId="1" fillId="2" borderId="63" xfId="0" applyNumberFormat="1" applyFont="1" applyFill="1" applyBorder="1" applyAlignment="1">
      <alignment horizontal="center" vertical="center"/>
    </xf>
    <xf numFmtId="168" fontId="1" fillId="2" borderId="90" xfId="0" applyNumberFormat="1" applyFont="1" applyFill="1" applyBorder="1" applyAlignment="1">
      <alignment horizontal="center" vertical="center"/>
    </xf>
    <xf numFmtId="168" fontId="1" fillId="2" borderId="93" xfId="0" applyNumberFormat="1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left" vertical="center"/>
    </xf>
    <xf numFmtId="0" fontId="2" fillId="7" borderId="5" xfId="0" applyFont="1" applyFill="1" applyBorder="1" applyAlignment="1">
      <alignment horizontal="left" vertical="center"/>
    </xf>
    <xf numFmtId="0" fontId="2" fillId="7" borderId="81" xfId="0" applyFont="1" applyFill="1" applyBorder="1" applyAlignment="1">
      <alignment horizontal="left" vertical="center"/>
    </xf>
    <xf numFmtId="168" fontId="2" fillId="2" borderId="82" xfId="0" applyNumberFormat="1" applyFont="1" applyFill="1" applyBorder="1" applyAlignment="1">
      <alignment horizontal="center" vertical="center"/>
    </xf>
    <xf numFmtId="168" fontId="2" fillId="2" borderId="6" xfId="0" applyNumberFormat="1" applyFont="1" applyFill="1" applyBorder="1" applyAlignment="1">
      <alignment horizontal="center" vertical="center"/>
    </xf>
    <xf numFmtId="168" fontId="2" fillId="3" borderId="19" xfId="0" applyNumberFormat="1" applyFont="1" applyFill="1" applyBorder="1" applyAlignment="1">
      <alignment horizontal="center" vertical="center"/>
    </xf>
    <xf numFmtId="168" fontId="2" fillId="3" borderId="21" xfId="0" applyNumberFormat="1" applyFont="1" applyFill="1" applyBorder="1" applyAlignment="1">
      <alignment horizontal="center" vertical="center"/>
    </xf>
    <xf numFmtId="168" fontId="2" fillId="2" borderId="50" xfId="0" applyNumberFormat="1" applyFont="1" applyFill="1" applyBorder="1" applyAlignment="1">
      <alignment horizontal="center" vertical="center"/>
    </xf>
    <xf numFmtId="168" fontId="2" fillId="2" borderId="63" xfId="0" applyNumberFormat="1" applyFont="1" applyFill="1" applyBorder="1" applyAlignment="1">
      <alignment horizontal="center" vertical="center"/>
    </xf>
    <xf numFmtId="168" fontId="2" fillId="2" borderId="90" xfId="0" applyNumberFormat="1" applyFont="1" applyFill="1" applyBorder="1" applyAlignment="1">
      <alignment horizontal="center" vertical="center"/>
    </xf>
    <xf numFmtId="168" fontId="2" fillId="2" borderId="93" xfId="0" applyNumberFormat="1" applyFont="1" applyFill="1" applyBorder="1" applyAlignment="1">
      <alignment horizontal="center" vertical="center"/>
    </xf>
    <xf numFmtId="168" fontId="2" fillId="3" borderId="55" xfId="0" applyNumberFormat="1" applyFont="1" applyFill="1" applyBorder="1" applyAlignment="1">
      <alignment horizontal="center" vertical="center"/>
    </xf>
    <xf numFmtId="168" fontId="2" fillId="3" borderId="3" xfId="0" applyNumberFormat="1" applyFont="1" applyFill="1" applyBorder="1" applyAlignment="1">
      <alignment horizontal="center" vertical="center"/>
    </xf>
    <xf numFmtId="168" fontId="2" fillId="2" borderId="68" xfId="0" applyNumberFormat="1" applyFont="1" applyFill="1" applyBorder="1" applyAlignment="1">
      <alignment horizontal="center" vertical="center"/>
    </xf>
    <xf numFmtId="168" fontId="2" fillId="2" borderId="15" xfId="0" applyNumberFormat="1" applyFont="1" applyFill="1" applyBorder="1" applyAlignment="1">
      <alignment horizontal="center" vertical="center"/>
    </xf>
    <xf numFmtId="0" fontId="1" fillId="2" borderId="70" xfId="0" applyFont="1" applyFill="1" applyBorder="1" applyAlignment="1">
      <alignment horizontal="center" vertical="center" wrapText="1"/>
    </xf>
    <xf numFmtId="0" fontId="1" fillId="2" borderId="71" xfId="0" applyFont="1" applyFill="1" applyBorder="1" applyAlignment="1">
      <alignment horizontal="center" vertical="center" wrapText="1"/>
    </xf>
    <xf numFmtId="0" fontId="1" fillId="2" borderId="72" xfId="0" applyFont="1" applyFill="1" applyBorder="1" applyAlignment="1">
      <alignment horizontal="center" vertical="center" wrapText="1"/>
    </xf>
    <xf numFmtId="166" fontId="1" fillId="2" borderId="55" xfId="0" applyNumberFormat="1" applyFont="1" applyFill="1" applyBorder="1" applyAlignment="1">
      <alignment horizontal="center" vertical="center"/>
    </xf>
    <xf numFmtId="166" fontId="1" fillId="2" borderId="3" xfId="0" applyNumberFormat="1" applyFont="1" applyFill="1" applyBorder="1" applyAlignment="1">
      <alignment horizontal="center" vertical="center"/>
    </xf>
    <xf numFmtId="0" fontId="2" fillId="7" borderId="73" xfId="0" applyFont="1" applyFill="1" applyBorder="1" applyAlignment="1">
      <alignment horizontal="left" vertical="center"/>
    </xf>
    <xf numFmtId="0" fontId="2" fillId="7" borderId="69" xfId="0" applyFont="1" applyFill="1" applyBorder="1" applyAlignment="1">
      <alignment horizontal="left" vertical="center"/>
    </xf>
    <xf numFmtId="0" fontId="2" fillId="7" borderId="74" xfId="0" applyFont="1" applyFill="1" applyBorder="1" applyAlignment="1">
      <alignment horizontal="left" vertical="center"/>
    </xf>
    <xf numFmtId="0" fontId="8" fillId="3" borderId="83" xfId="0" applyFont="1" applyFill="1" applyBorder="1" applyAlignment="1">
      <alignment horizontal="center" vertical="center" wrapText="1"/>
    </xf>
    <xf numFmtId="0" fontId="8" fillId="3" borderId="74" xfId="0" applyFont="1" applyFill="1" applyBorder="1" applyAlignment="1">
      <alignment horizontal="center" vertical="center" wrapText="1"/>
    </xf>
    <xf numFmtId="0" fontId="2" fillId="3" borderId="83" xfId="0" applyFont="1" applyFill="1" applyBorder="1" applyAlignment="1">
      <alignment horizontal="center" vertical="center" wrapText="1"/>
    </xf>
    <xf numFmtId="0" fontId="2" fillId="3" borderId="69" xfId="0" applyFont="1" applyFill="1" applyBorder="1" applyAlignment="1">
      <alignment horizontal="center" vertical="center" wrapText="1"/>
    </xf>
    <xf numFmtId="0" fontId="2" fillId="3" borderId="74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 vertical="center" wrapText="1"/>
    </xf>
    <xf numFmtId="0" fontId="8" fillId="3" borderId="77" xfId="0" applyFont="1" applyFill="1" applyBorder="1" applyAlignment="1">
      <alignment horizontal="center" vertical="center" wrapText="1"/>
    </xf>
    <xf numFmtId="0" fontId="2" fillId="3" borderId="19" xfId="0" applyFont="1" applyFill="1" applyBorder="1" applyAlignment="1">
      <alignment horizontal="center" vertical="center" wrapText="1"/>
    </xf>
    <xf numFmtId="0" fontId="2" fillId="3" borderId="76" xfId="0" applyFont="1" applyFill="1" applyBorder="1" applyAlignment="1">
      <alignment horizontal="center" vertical="center" wrapText="1"/>
    </xf>
    <xf numFmtId="0" fontId="2" fillId="3" borderId="77" xfId="0" applyFont="1" applyFill="1" applyBorder="1" applyAlignment="1">
      <alignment horizontal="center" vertical="center" wrapText="1"/>
    </xf>
    <xf numFmtId="0" fontId="1" fillId="2" borderId="52" xfId="0" applyFont="1" applyFill="1" applyBorder="1" applyAlignment="1">
      <alignment horizontal="center" vertical="center" wrapText="1"/>
    </xf>
    <xf numFmtId="0" fontId="1" fillId="2" borderId="54" xfId="0" applyFont="1" applyFill="1" applyBorder="1" applyAlignment="1">
      <alignment horizontal="center" vertical="center" wrapText="1"/>
    </xf>
    <xf numFmtId="166" fontId="1" fillId="2" borderId="64" xfId="0" applyNumberFormat="1" applyFont="1" applyFill="1" applyBorder="1" applyAlignment="1">
      <alignment horizontal="center" vertical="center" shrinkToFit="1"/>
    </xf>
    <xf numFmtId="166" fontId="1" fillId="2" borderId="65" xfId="0" applyNumberFormat="1" applyFont="1" applyFill="1" applyBorder="1" applyAlignment="1">
      <alignment horizontal="center" vertical="center" shrinkToFit="1"/>
    </xf>
    <xf numFmtId="49" fontId="2" fillId="3" borderId="83" xfId="0" applyNumberFormat="1" applyFont="1" applyFill="1" applyBorder="1" applyAlignment="1">
      <alignment horizontal="center" vertical="center" wrapText="1"/>
    </xf>
    <xf numFmtId="49" fontId="2" fillId="3" borderId="74" xfId="0" applyNumberFormat="1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1" fillId="2" borderId="49" xfId="0" applyFont="1" applyFill="1" applyBorder="1" applyAlignment="1">
      <alignment horizontal="center" vertical="center" wrapText="1"/>
    </xf>
    <xf numFmtId="0" fontId="1" fillId="2" borderId="58" xfId="0" applyFont="1" applyFill="1" applyBorder="1" applyAlignment="1">
      <alignment horizontal="center" vertical="center" wrapText="1"/>
    </xf>
    <xf numFmtId="0" fontId="1" fillId="2" borderId="59" xfId="0" applyFont="1" applyFill="1" applyBorder="1" applyAlignment="1">
      <alignment horizontal="center" vertical="center" wrapText="1"/>
    </xf>
    <xf numFmtId="0" fontId="1" fillId="2" borderId="50" xfId="0" applyFont="1" applyFill="1" applyBorder="1" applyAlignment="1">
      <alignment horizontal="center" vertical="center" wrapText="1"/>
    </xf>
    <xf numFmtId="0" fontId="1" fillId="2" borderId="90" xfId="0" applyFont="1" applyFill="1" applyBorder="1" applyAlignment="1">
      <alignment horizontal="center" vertical="center" wrapText="1"/>
    </xf>
    <xf numFmtId="0" fontId="1" fillId="2" borderId="92" xfId="0" applyFont="1" applyFill="1" applyBorder="1" applyAlignment="1">
      <alignment horizontal="center" vertical="center" wrapText="1"/>
    </xf>
    <xf numFmtId="0" fontId="1" fillId="2" borderId="51" xfId="0" applyFont="1" applyFill="1" applyBorder="1" applyAlignment="1">
      <alignment horizontal="center" vertical="center" wrapText="1"/>
    </xf>
    <xf numFmtId="0" fontId="1" fillId="2" borderId="53" xfId="0" applyFont="1" applyFill="1" applyBorder="1" applyAlignment="1">
      <alignment horizontal="center" vertical="center" wrapText="1"/>
    </xf>
    <xf numFmtId="49" fontId="2" fillId="3" borderId="19" xfId="0" applyNumberFormat="1" applyFont="1" applyFill="1" applyBorder="1" applyAlignment="1">
      <alignment horizontal="center" vertical="center" wrapText="1"/>
    </xf>
    <xf numFmtId="49" fontId="2" fillId="3" borderId="77" xfId="0" applyNumberFormat="1" applyFont="1" applyFill="1" applyBorder="1" applyAlignment="1">
      <alignment horizontal="center" vertical="center" wrapText="1"/>
    </xf>
    <xf numFmtId="0" fontId="8" fillId="3" borderId="55" xfId="0" applyFont="1" applyFill="1" applyBorder="1" applyAlignment="1">
      <alignment horizontal="center" vertical="center" wrapText="1"/>
    </xf>
    <xf numFmtId="0" fontId="8" fillId="3" borderId="72" xfId="0" applyFont="1" applyFill="1" applyBorder="1" applyAlignment="1">
      <alignment horizontal="center" vertical="center" wrapText="1"/>
    </xf>
    <xf numFmtId="0" fontId="2" fillId="3" borderId="55" xfId="0" applyFont="1" applyFill="1" applyBorder="1" applyAlignment="1">
      <alignment horizontal="center" vertical="center" wrapText="1"/>
    </xf>
    <xf numFmtId="0" fontId="2" fillId="3" borderId="71" xfId="0" applyFont="1" applyFill="1" applyBorder="1" applyAlignment="1">
      <alignment horizontal="center" vertical="center" wrapText="1"/>
    </xf>
    <xf numFmtId="0" fontId="2" fillId="3" borderId="72" xfId="0" applyFont="1" applyFill="1" applyBorder="1" applyAlignment="1">
      <alignment horizontal="center" vertical="center" wrapText="1"/>
    </xf>
    <xf numFmtId="0" fontId="9" fillId="3" borderId="83" xfId="0" applyFont="1" applyFill="1" applyBorder="1" applyAlignment="1">
      <alignment horizontal="center" vertical="center" wrapText="1"/>
    </xf>
    <xf numFmtId="0" fontId="9" fillId="3" borderId="69" xfId="0" applyFont="1" applyFill="1" applyBorder="1" applyAlignment="1">
      <alignment horizontal="center" vertical="center" wrapText="1"/>
    </xf>
    <xf numFmtId="0" fontId="9" fillId="3" borderId="74" xfId="0" applyFont="1" applyFill="1" applyBorder="1" applyAlignment="1">
      <alignment horizontal="center" vertical="center" wrapText="1"/>
    </xf>
    <xf numFmtId="166" fontId="1" fillId="2" borderId="52" xfId="0" applyNumberFormat="1" applyFont="1" applyFill="1" applyBorder="1" applyAlignment="1">
      <alignment horizontal="center" vertical="center" shrinkToFit="1"/>
    </xf>
    <xf numFmtId="166" fontId="1" fillId="2" borderId="54" xfId="0" applyNumberFormat="1" applyFont="1" applyFill="1" applyBorder="1" applyAlignment="1">
      <alignment horizontal="center" vertical="center" shrinkToFit="1"/>
    </xf>
    <xf numFmtId="0" fontId="15" fillId="3" borderId="55" xfId="0" applyFont="1" applyFill="1" applyBorder="1" applyAlignment="1">
      <alignment horizontal="center" vertical="center" wrapText="1"/>
    </xf>
    <xf numFmtId="0" fontId="15" fillId="3" borderId="72" xfId="0" applyFont="1" applyFill="1" applyBorder="1" applyAlignment="1">
      <alignment horizontal="center" vertical="center" wrapText="1"/>
    </xf>
    <xf numFmtId="0" fontId="9" fillId="3" borderId="55" xfId="0" applyFont="1" applyFill="1" applyBorder="1" applyAlignment="1">
      <alignment horizontal="center" vertical="center" wrapText="1"/>
    </xf>
    <xf numFmtId="0" fontId="9" fillId="3" borderId="71" xfId="0" applyFont="1" applyFill="1" applyBorder="1" applyAlignment="1">
      <alignment horizontal="center" vertical="center" wrapText="1"/>
    </xf>
    <xf numFmtId="0" fontId="9" fillId="3" borderId="72" xfId="0" applyFont="1" applyFill="1" applyBorder="1" applyAlignment="1">
      <alignment horizontal="center" vertical="center" wrapText="1"/>
    </xf>
    <xf numFmtId="49" fontId="2" fillId="3" borderId="55" xfId="0" applyNumberFormat="1" applyFont="1" applyFill="1" applyBorder="1" applyAlignment="1">
      <alignment horizontal="center" vertical="center" wrapText="1"/>
    </xf>
    <xf numFmtId="49" fontId="2" fillId="3" borderId="72" xfId="0" applyNumberFormat="1" applyFont="1" applyFill="1" applyBorder="1" applyAlignment="1">
      <alignment horizontal="center" vertical="center" wrapText="1"/>
    </xf>
    <xf numFmtId="0" fontId="2" fillId="0" borderId="47" xfId="0" applyFont="1" applyBorder="1" applyAlignment="1">
      <alignment horizontal="center" vertical="center"/>
    </xf>
    <xf numFmtId="0" fontId="2" fillId="0" borderId="85" xfId="0" applyFont="1" applyBorder="1" applyAlignment="1">
      <alignment horizontal="center" vertical="center"/>
    </xf>
    <xf numFmtId="0" fontId="2" fillId="2" borderId="13" xfId="0" applyFont="1" applyFill="1" applyBorder="1" applyAlignment="1">
      <alignment horizontal="left" vertical="center"/>
    </xf>
    <xf numFmtId="0" fontId="2" fillId="2" borderId="45" xfId="0" applyFont="1" applyFill="1" applyBorder="1" applyAlignment="1">
      <alignment horizontal="left" vertical="center"/>
    </xf>
    <xf numFmtId="0" fontId="2" fillId="2" borderId="43" xfId="0" applyFont="1" applyFill="1" applyBorder="1" applyAlignment="1">
      <alignment horizontal="left" vertical="center"/>
    </xf>
    <xf numFmtId="0" fontId="2" fillId="2" borderId="78" xfId="0" applyFont="1" applyFill="1" applyBorder="1" applyAlignment="1">
      <alignment horizontal="left" vertical="center"/>
    </xf>
    <xf numFmtId="0" fontId="2" fillId="2" borderId="79" xfId="0" applyFont="1" applyFill="1" applyBorder="1" applyAlignment="1">
      <alignment horizontal="left" vertical="center"/>
    </xf>
    <xf numFmtId="0" fontId="2" fillId="2" borderId="89" xfId="0" applyFont="1" applyFill="1" applyBorder="1" applyAlignment="1">
      <alignment horizontal="left" vertical="center"/>
    </xf>
    <xf numFmtId="0" fontId="2" fillId="2" borderId="68" xfId="0" applyFont="1" applyFill="1" applyBorder="1" applyAlignment="1">
      <alignment horizontal="left" vertical="center"/>
    </xf>
    <xf numFmtId="0" fontId="2" fillId="2" borderId="88" xfId="0" applyFont="1" applyFill="1" applyBorder="1" applyAlignment="1">
      <alignment horizontal="left" vertical="center"/>
    </xf>
    <xf numFmtId="0" fontId="2" fillId="0" borderId="48" xfId="0" applyFont="1" applyBorder="1" applyAlignment="1">
      <alignment horizontal="center" vertical="center"/>
    </xf>
    <xf numFmtId="0" fontId="2" fillId="2" borderId="90" xfId="0" applyFont="1" applyFill="1" applyBorder="1" applyAlignment="1">
      <alignment horizontal="left" vertical="center"/>
    </xf>
    <xf numFmtId="0" fontId="2" fillId="2" borderId="92" xfId="0" applyFont="1" applyFill="1" applyBorder="1" applyAlignment="1">
      <alignment horizontal="left" vertical="center"/>
    </xf>
    <xf numFmtId="0" fontId="2" fillId="2" borderId="59" xfId="0" applyFont="1" applyFill="1" applyBorder="1" applyAlignment="1">
      <alignment horizontal="left" vertical="center"/>
    </xf>
    <xf numFmtId="0" fontId="1" fillId="2" borderId="62" xfId="0" applyFont="1" applyFill="1" applyBorder="1" applyAlignment="1">
      <alignment horizontal="left" vertical="center"/>
    </xf>
    <xf numFmtId="0" fontId="1" fillId="2" borderId="84" xfId="0" applyFont="1" applyFill="1" applyBorder="1" applyAlignment="1">
      <alignment horizontal="left" vertical="center"/>
    </xf>
    <xf numFmtId="0" fontId="1" fillId="2" borderId="63" xfId="0" applyFont="1" applyFill="1" applyBorder="1" applyAlignment="1">
      <alignment horizontal="left" vertical="center"/>
    </xf>
    <xf numFmtId="0" fontId="1" fillId="2" borderId="58" xfId="0" applyFont="1" applyFill="1" applyBorder="1" applyAlignment="1">
      <alignment horizontal="left" vertical="center"/>
    </xf>
    <xf numFmtId="0" fontId="1" fillId="2" borderId="92" xfId="0" applyFont="1" applyFill="1" applyBorder="1" applyAlignment="1">
      <alignment horizontal="left" vertical="center"/>
    </xf>
    <xf numFmtId="0" fontId="1" fillId="2" borderId="93" xfId="0" applyFont="1" applyFill="1" applyBorder="1" applyAlignment="1">
      <alignment horizontal="left" vertical="center"/>
    </xf>
    <xf numFmtId="0" fontId="1" fillId="2" borderId="50" xfId="0" applyFont="1" applyFill="1" applyBorder="1" applyAlignment="1">
      <alignment horizontal="center" vertical="center"/>
    </xf>
    <xf numFmtId="0" fontId="1" fillId="2" borderId="63" xfId="0" applyFont="1" applyFill="1" applyBorder="1" applyAlignment="1">
      <alignment horizontal="center" vertical="center"/>
    </xf>
    <xf numFmtId="0" fontId="1" fillId="2" borderId="38" xfId="0" applyFont="1" applyFill="1" applyBorder="1" applyAlignment="1">
      <alignment horizontal="center" vertical="center"/>
    </xf>
    <xf numFmtId="0" fontId="17" fillId="2" borderId="62" xfId="0" applyFont="1" applyFill="1" applyBorder="1" applyAlignment="1">
      <alignment horizontal="left" vertical="center"/>
    </xf>
    <xf numFmtId="0" fontId="18" fillId="0" borderId="84" xfId="0" applyFont="1" applyBorder="1"/>
    <xf numFmtId="0" fontId="18" fillId="0" borderId="63" xfId="0" applyFont="1" applyBorder="1"/>
    <xf numFmtId="0" fontId="18" fillId="0" borderId="58" xfId="0" applyFont="1" applyBorder="1"/>
    <xf numFmtId="0" fontId="18" fillId="0" borderId="92" xfId="0" applyFont="1" applyBorder="1"/>
    <xf numFmtId="0" fontId="18" fillId="0" borderId="93" xfId="0" applyFont="1" applyBorder="1"/>
    <xf numFmtId="0" fontId="1" fillId="2" borderId="4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2" fillId="2" borderId="62" xfId="0" applyFont="1" applyFill="1" applyBorder="1" applyAlignment="1">
      <alignment horizontal="left" vertical="center"/>
    </xf>
    <xf numFmtId="0" fontId="2" fillId="2" borderId="84" xfId="0" applyFont="1" applyFill="1" applyBorder="1" applyAlignment="1">
      <alignment horizontal="left" vertical="center"/>
    </xf>
    <xf numFmtId="0" fontId="2" fillId="2" borderId="63" xfId="0" applyFont="1" applyFill="1" applyBorder="1" applyAlignment="1">
      <alignment horizontal="left" vertical="center"/>
    </xf>
    <xf numFmtId="0" fontId="2" fillId="2" borderId="38" xfId="0" applyFont="1" applyFill="1" applyBorder="1" applyAlignment="1">
      <alignment horizontal="left" vertical="center"/>
    </xf>
    <xf numFmtId="0" fontId="2" fillId="0" borderId="44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2" fillId="0" borderId="66" xfId="0" applyFont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73" xfId="0" applyFont="1" applyFill="1" applyBorder="1" applyAlignment="1">
      <alignment horizontal="center" vertical="center"/>
    </xf>
    <xf numFmtId="0" fontId="3" fillId="0" borderId="18" xfId="0" applyFont="1" applyBorder="1"/>
    <xf numFmtId="0" fontId="3" fillId="0" borderId="37" xfId="0" applyFont="1" applyBorder="1"/>
    <xf numFmtId="0" fontId="3" fillId="0" borderId="36" xfId="0" applyFont="1" applyBorder="1"/>
    <xf numFmtId="0" fontId="2" fillId="0" borderId="11" xfId="0" applyFont="1" applyBorder="1" applyAlignment="1">
      <alignment horizontal="left" vertical="center"/>
    </xf>
    <xf numFmtId="0" fontId="2" fillId="2" borderId="13" xfId="0" applyFont="1" applyFill="1" applyBorder="1" applyAlignment="1">
      <alignment horizontal="left" vertical="top" wrapText="1"/>
    </xf>
    <xf numFmtId="0" fontId="2" fillId="2" borderId="9" xfId="0" applyFont="1" applyFill="1" applyBorder="1" applyAlignment="1">
      <alignment horizontal="left" vertical="center" wrapText="1"/>
    </xf>
    <xf numFmtId="165" fontId="2" fillId="0" borderId="11" xfId="0" applyNumberFormat="1" applyFont="1" applyBorder="1" applyAlignment="1">
      <alignment horizontal="left" vertical="center"/>
    </xf>
    <xf numFmtId="0" fontId="2" fillId="2" borderId="40" xfId="0" applyFont="1" applyFill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/>
    </xf>
    <xf numFmtId="164" fontId="2" fillId="3" borderId="11" xfId="0" applyNumberFormat="1" applyFont="1" applyFill="1" applyBorder="1" applyAlignment="1">
      <alignment horizontal="left" vertical="center"/>
    </xf>
    <xf numFmtId="0" fontId="2" fillId="2" borderId="9" xfId="0" applyFont="1" applyFill="1" applyBorder="1" applyAlignment="1">
      <alignment horizontal="left" vertical="center"/>
    </xf>
    <xf numFmtId="0" fontId="2" fillId="2" borderId="11" xfId="0" applyFont="1" applyFill="1" applyBorder="1" applyAlignment="1">
      <alignment horizontal="left" vertical="center"/>
    </xf>
    <xf numFmtId="0" fontId="17" fillId="0" borderId="0" xfId="0" applyFont="1" applyAlignment="1">
      <alignment horizontal="center" vertical="center"/>
    </xf>
    <xf numFmtId="0" fontId="0" fillId="0" borderId="0" xfId="0" applyFont="1" applyAlignment="1"/>
    <xf numFmtId="0" fontId="16" fillId="2" borderId="70" xfId="0" applyFont="1" applyFill="1" applyBorder="1" applyAlignment="1">
      <alignment horizontal="center" vertical="center"/>
    </xf>
    <xf numFmtId="0" fontId="18" fillId="0" borderId="71" xfId="0" applyFont="1" applyBorder="1"/>
    <xf numFmtId="0" fontId="18" fillId="0" borderId="3" xfId="0" applyFont="1" applyBorder="1"/>
    <xf numFmtId="0" fontId="16" fillId="2" borderId="73" xfId="0" applyFont="1" applyFill="1" applyBorder="1" applyAlignment="1">
      <alignment horizontal="left" vertical="center"/>
    </xf>
    <xf numFmtId="0" fontId="18" fillId="0" borderId="69" xfId="0" applyFont="1" applyBorder="1"/>
    <xf numFmtId="0" fontId="18" fillId="0" borderId="8" xfId="0" applyFont="1" applyBorder="1"/>
    <xf numFmtId="0" fontId="17" fillId="2" borderId="4" xfId="0" applyFont="1" applyFill="1" applyBorder="1" applyAlignment="1">
      <alignment horizontal="left" vertical="center" wrapText="1"/>
    </xf>
    <xf numFmtId="0" fontId="18" fillId="0" borderId="5" xfId="0" applyFont="1" applyBorder="1"/>
    <xf numFmtId="0" fontId="18" fillId="0" borderId="6" xfId="0" applyFont="1" applyBorder="1"/>
    <xf numFmtId="0" fontId="16" fillId="2" borderId="69" xfId="0" applyFont="1" applyFill="1" applyBorder="1" applyAlignment="1">
      <alignment horizontal="left" vertical="center"/>
    </xf>
    <xf numFmtId="0" fontId="16" fillId="2" borderId="78" xfId="0" applyFont="1" applyFill="1" applyBorder="1" applyAlignment="1">
      <alignment horizontal="left" vertical="center" wrapText="1"/>
    </xf>
    <xf numFmtId="0" fontId="18" fillId="0" borderId="79" xfId="0" applyFont="1" applyBorder="1"/>
    <xf numFmtId="0" fontId="18" fillId="0" borderId="38" xfId="0" applyFont="1" applyBorder="1"/>
    <xf numFmtId="0" fontId="16" fillId="2" borderId="73" xfId="0" applyFont="1" applyFill="1" applyBorder="1" applyAlignment="1">
      <alignment horizontal="center" vertical="center" wrapText="1"/>
    </xf>
    <xf numFmtId="0" fontId="18" fillId="0" borderId="74" xfId="0" applyFont="1" applyBorder="1"/>
    <xf numFmtId="0" fontId="16" fillId="2" borderId="102" xfId="0" applyFont="1" applyFill="1" applyBorder="1" applyAlignment="1">
      <alignment horizontal="center" vertical="center" wrapText="1"/>
    </xf>
    <xf numFmtId="0" fontId="16" fillId="2" borderId="103" xfId="0" applyFont="1" applyFill="1" applyBorder="1" applyAlignment="1">
      <alignment horizontal="center" vertical="center" wrapText="1"/>
    </xf>
    <xf numFmtId="0" fontId="16" fillId="2" borderId="104" xfId="0" applyFont="1" applyFill="1" applyBorder="1" applyAlignment="1">
      <alignment horizontal="center" vertical="center" wrapText="1"/>
    </xf>
    <xf numFmtId="0" fontId="16" fillId="2" borderId="105" xfId="0" applyFont="1" applyFill="1" applyBorder="1" applyAlignment="1">
      <alignment horizontal="center" vertical="center"/>
    </xf>
    <xf numFmtId="0" fontId="16" fillId="2" borderId="103" xfId="0" applyFont="1" applyFill="1" applyBorder="1" applyAlignment="1">
      <alignment horizontal="center" vertical="center"/>
    </xf>
    <xf numFmtId="0" fontId="16" fillId="2" borderId="106" xfId="0" applyFont="1" applyFill="1" applyBorder="1" applyAlignment="1">
      <alignment horizontal="center" vertical="center"/>
    </xf>
    <xf numFmtId="0" fontId="16" fillId="2" borderId="73" xfId="0" applyFont="1" applyFill="1" applyBorder="1" applyAlignment="1">
      <alignment vertical="center" wrapText="1"/>
    </xf>
    <xf numFmtId="0" fontId="16" fillId="2" borderId="83" xfId="0" applyFont="1" applyFill="1" applyBorder="1" applyAlignment="1">
      <alignment vertical="center" wrapText="1"/>
    </xf>
    <xf numFmtId="0" fontId="16" fillId="2" borderId="13" xfId="0" applyFont="1" applyFill="1" applyBorder="1" applyAlignment="1">
      <alignment horizontal="left" vertical="center"/>
    </xf>
    <xf numFmtId="0" fontId="18" fillId="0" borderId="45" xfId="0" applyFont="1" applyBorder="1"/>
    <xf numFmtId="0" fontId="18" fillId="0" borderId="15" xfId="0" applyFont="1" applyBorder="1"/>
    <xf numFmtId="0" fontId="17" fillId="2" borderId="5" xfId="0" applyFont="1" applyFill="1" applyBorder="1" applyAlignment="1">
      <alignment horizontal="left" vertical="center" wrapText="1"/>
    </xf>
    <xf numFmtId="0" fontId="17" fillId="2" borderId="6" xfId="0" applyFont="1" applyFill="1" applyBorder="1" applyAlignment="1">
      <alignment horizontal="left" vertical="center" wrapText="1"/>
    </xf>
    <xf numFmtId="0" fontId="16" fillId="2" borderId="4" xfId="0" applyFont="1" applyFill="1" applyBorder="1" applyAlignment="1">
      <alignment horizontal="center" vertical="center"/>
    </xf>
    <xf numFmtId="0" fontId="16" fillId="2" borderId="5" xfId="0" applyFont="1" applyFill="1" applyBorder="1" applyAlignment="1">
      <alignment horizontal="center" vertical="center"/>
    </xf>
    <xf numFmtId="0" fontId="16" fillId="2" borderId="6" xfId="0" applyFont="1" applyFill="1" applyBorder="1" applyAlignment="1">
      <alignment horizontal="center" vertical="center"/>
    </xf>
    <xf numFmtId="0" fontId="16" fillId="2" borderId="71" xfId="0" applyFont="1" applyFill="1" applyBorder="1" applyAlignment="1">
      <alignment horizontal="center" vertical="center"/>
    </xf>
    <xf numFmtId="0" fontId="16" fillId="2" borderId="3" xfId="0" applyFont="1" applyFill="1" applyBorder="1" applyAlignment="1">
      <alignment horizontal="center" vertical="center"/>
    </xf>
    <xf numFmtId="0" fontId="16" fillId="2" borderId="69" xfId="0" applyFont="1" applyFill="1" applyBorder="1" applyAlignment="1">
      <alignment horizontal="center" vertical="center" wrapText="1"/>
    </xf>
    <xf numFmtId="0" fontId="16" fillId="2" borderId="74" xfId="0" applyFont="1" applyFill="1" applyBorder="1" applyAlignment="1">
      <alignment horizontal="center" vertical="center" wrapText="1"/>
    </xf>
    <xf numFmtId="0" fontId="16" fillId="2" borderId="83" xfId="0" applyFont="1" applyFill="1" applyBorder="1" applyAlignment="1">
      <alignment horizontal="center" vertical="center" wrapText="1"/>
    </xf>
    <xf numFmtId="0" fontId="16" fillId="2" borderId="8" xfId="0" applyFont="1" applyFill="1" applyBorder="1" applyAlignment="1">
      <alignment horizontal="center" vertical="center" wrapText="1"/>
    </xf>
    <xf numFmtId="0" fontId="16" fillId="2" borderId="83" xfId="0" applyFont="1" applyFill="1" applyBorder="1" applyAlignment="1">
      <alignment horizontal="center" vertical="center"/>
    </xf>
    <xf numFmtId="0" fontId="16" fillId="2" borderId="74" xfId="0" applyFont="1" applyFill="1" applyBorder="1" applyAlignment="1">
      <alignment horizontal="center" vertical="center"/>
    </xf>
    <xf numFmtId="0" fontId="16" fillId="0" borderId="4" xfId="0" applyFont="1" applyBorder="1" applyAlignment="1">
      <alignment vertical="center" wrapText="1"/>
    </xf>
    <xf numFmtId="0" fontId="17" fillId="2" borderId="94" xfId="0" applyFont="1" applyFill="1" applyBorder="1" applyAlignment="1">
      <alignment horizontal="left" vertical="center"/>
    </xf>
    <xf numFmtId="0" fontId="18" fillId="0" borderId="95" xfId="0" applyFont="1" applyBorder="1"/>
    <xf numFmtId="0" fontId="18" fillId="0" borderId="96" xfId="0" applyFont="1" applyBorder="1"/>
    <xf numFmtId="0" fontId="18" fillId="0" borderId="97" xfId="0" applyFont="1" applyBorder="1"/>
    <xf numFmtId="0" fontId="18" fillId="0" borderId="98" xfId="0" applyFont="1" applyBorder="1"/>
    <xf numFmtId="0" fontId="16" fillId="0" borderId="99" xfId="0" applyFont="1" applyBorder="1" applyAlignment="1">
      <alignment horizontal="left" vertical="center" wrapText="1"/>
    </xf>
    <xf numFmtId="0" fontId="18" fillId="0" borderId="100" xfId="0" applyFont="1" applyBorder="1"/>
    <xf numFmtId="0" fontId="18" fillId="0" borderId="101" xfId="0" applyFont="1" applyBorder="1"/>
    <xf numFmtId="0" fontId="16" fillId="2" borderId="83" xfId="0" applyFont="1" applyFill="1" applyBorder="1" applyAlignment="1">
      <alignment horizontal="left" vertical="center" wrapText="1"/>
    </xf>
    <xf numFmtId="0" fontId="1" fillId="4" borderId="24" xfId="0" applyFont="1" applyFill="1" applyBorder="1" applyAlignment="1">
      <alignment horizontal="center" vertical="center"/>
    </xf>
    <xf numFmtId="0" fontId="3" fillId="0" borderId="25" xfId="0" applyFont="1" applyBorder="1"/>
    <xf numFmtId="0" fontId="3" fillId="0" borderId="26" xfId="0" applyFont="1" applyBorder="1"/>
    <xf numFmtId="0" fontId="3" fillId="0" borderId="16" xfId="0" applyFont="1" applyBorder="1"/>
    <xf numFmtId="0" fontId="3" fillId="0" borderId="17" xfId="0" applyFont="1" applyBorder="1"/>
    <xf numFmtId="0" fontId="2" fillId="2" borderId="4" xfId="0" applyFont="1" applyFill="1" applyBorder="1" applyAlignment="1">
      <alignment horizontal="center" vertical="center"/>
    </xf>
    <xf numFmtId="0" fontId="2" fillId="5" borderId="27" xfId="0" applyFont="1" applyFill="1" applyBorder="1" applyAlignment="1">
      <alignment horizontal="center" vertical="center" wrapText="1"/>
    </xf>
    <xf numFmtId="0" fontId="3" fillId="0" borderId="33" xfId="0" applyFont="1" applyBorder="1"/>
    <xf numFmtId="0" fontId="6" fillId="3" borderId="28" xfId="0" applyFont="1" applyFill="1" applyBorder="1" applyAlignment="1">
      <alignment horizontal="center" vertical="center" wrapText="1"/>
    </xf>
    <xf numFmtId="0" fontId="3" fillId="0" borderId="29" xfId="0" applyFont="1" applyBorder="1"/>
    <xf numFmtId="0" fontId="3" fillId="0" borderId="30" xfId="0" applyFont="1" applyBorder="1"/>
    <xf numFmtId="0" fontId="3" fillId="0" borderId="34" xfId="0" applyFont="1" applyBorder="1"/>
    <xf numFmtId="0" fontId="3" fillId="0" borderId="35" xfId="0" applyFont="1" applyBorder="1"/>
    <xf numFmtId="0" fontId="6" fillId="5" borderId="27" xfId="0" applyFont="1" applyFill="1" applyBorder="1" applyAlignment="1">
      <alignment horizontal="left" vertical="center" wrapText="1"/>
    </xf>
    <xf numFmtId="12" fontId="2" fillId="0" borderId="31" xfId="0" applyNumberFormat="1" applyFont="1" applyBorder="1" applyAlignment="1">
      <alignment horizontal="center" vertical="center"/>
    </xf>
    <xf numFmtId="0" fontId="3" fillId="0" borderId="32" xfId="0" applyFont="1" applyBorder="1"/>
    <xf numFmtId="0" fontId="2" fillId="5" borderId="11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/>
    </xf>
    <xf numFmtId="0" fontId="3" fillId="0" borderId="38" xfId="0" applyFont="1" applyBorder="1"/>
    <xf numFmtId="0" fontId="2" fillId="0" borderId="39" xfId="0" applyFont="1" applyBorder="1" applyAlignment="1">
      <alignment horizontal="left" vertical="center"/>
    </xf>
    <xf numFmtId="0" fontId="3" fillId="0" borderId="14" xfId="0" applyFont="1" applyBorder="1"/>
    <xf numFmtId="0" fontId="3" fillId="0" borderId="15" xfId="0" applyFont="1" applyBorder="1"/>
    <xf numFmtId="0" fontId="2" fillId="2" borderId="13" xfId="0" applyFont="1" applyFill="1" applyBorder="1" applyAlignment="1">
      <alignment horizontal="left" vertical="center" wrapText="1"/>
    </xf>
    <xf numFmtId="166" fontId="1" fillId="7" borderId="55" xfId="0" applyNumberFormat="1" applyFont="1" applyFill="1" applyBorder="1" applyAlignment="1">
      <alignment horizontal="center" vertical="center"/>
    </xf>
    <xf numFmtId="166" fontId="1" fillId="7" borderId="72" xfId="0" applyNumberFormat="1" applyFont="1" applyFill="1" applyBorder="1" applyAlignment="1">
      <alignment horizontal="center" vertical="center"/>
    </xf>
    <xf numFmtId="167" fontId="1" fillId="7" borderId="70" xfId="0" applyNumberFormat="1" applyFont="1" applyFill="1" applyBorder="1" applyAlignment="1">
      <alignment horizontal="center" vertical="center"/>
    </xf>
    <xf numFmtId="167" fontId="1" fillId="7" borderId="71" xfId="0" applyNumberFormat="1" applyFont="1" applyFill="1" applyBorder="1" applyAlignment="1">
      <alignment horizontal="center" vertical="center"/>
    </xf>
    <xf numFmtId="167" fontId="1" fillId="7" borderId="72" xfId="0" applyNumberFormat="1" applyFont="1" applyFill="1" applyBorder="1" applyAlignment="1">
      <alignment horizontal="center" vertical="center"/>
    </xf>
    <xf numFmtId="0" fontId="1" fillId="2" borderId="93" xfId="0" applyFont="1" applyFill="1" applyBorder="1" applyAlignment="1">
      <alignment horizontal="center" vertical="center" wrapText="1"/>
    </xf>
    <xf numFmtId="0" fontId="5" fillId="7" borderId="75" xfId="0" applyFont="1" applyFill="1" applyBorder="1" applyAlignment="1">
      <alignment horizontal="center" vertical="center"/>
    </xf>
    <xf numFmtId="0" fontId="5" fillId="7" borderId="76" xfId="0" applyFont="1" applyFill="1" applyBorder="1" applyAlignment="1">
      <alignment horizontal="center" vertical="center"/>
    </xf>
    <xf numFmtId="0" fontId="5" fillId="7" borderId="77" xfId="0" applyFont="1" applyFill="1" applyBorder="1" applyAlignment="1">
      <alignment horizontal="center" vertical="center"/>
    </xf>
    <xf numFmtId="0" fontId="4" fillId="11" borderId="75" xfId="0" applyFont="1" applyFill="1" applyBorder="1" applyAlignment="1">
      <alignment horizontal="center" vertical="center"/>
    </xf>
    <xf numFmtId="0" fontId="4" fillId="11" borderId="77" xfId="0" applyFont="1" applyFill="1" applyBorder="1" applyAlignment="1">
      <alignment horizontal="center" vertical="center"/>
    </xf>
    <xf numFmtId="0" fontId="2" fillId="3" borderId="68" xfId="0" applyFont="1" applyFill="1" applyBorder="1" applyAlignment="1">
      <alignment horizontal="left" vertical="center" wrapText="1"/>
    </xf>
    <xf numFmtId="0" fontId="2" fillId="3" borderId="45" xfId="0" applyFont="1" applyFill="1" applyBorder="1" applyAlignment="1">
      <alignment horizontal="left" vertical="center" wrapText="1"/>
    </xf>
    <xf numFmtId="0" fontId="2" fillId="3" borderId="43" xfId="0" applyFont="1" applyFill="1" applyBorder="1" applyAlignment="1">
      <alignment horizontal="left" vertical="center" wrapText="1"/>
    </xf>
    <xf numFmtId="0" fontId="2" fillId="3" borderId="88" xfId="0" applyFont="1" applyFill="1" applyBorder="1" applyAlignment="1">
      <alignment horizontal="left" vertical="center" wrapText="1"/>
    </xf>
    <xf numFmtId="0" fontId="2" fillId="3" borderId="79" xfId="0" applyFont="1" applyFill="1" applyBorder="1" applyAlignment="1">
      <alignment horizontal="left" vertical="center" wrapText="1"/>
    </xf>
    <xf numFmtId="0" fontId="2" fillId="3" borderId="89" xfId="0" applyFont="1" applyFill="1" applyBorder="1" applyAlignment="1">
      <alignment horizontal="left" vertical="center" wrapText="1"/>
    </xf>
    <xf numFmtId="0" fontId="2" fillId="2" borderId="68" xfId="0" applyFont="1" applyFill="1" applyBorder="1" applyAlignment="1">
      <alignment horizontal="left" vertical="center" wrapText="1"/>
    </xf>
    <xf numFmtId="0" fontId="2" fillId="2" borderId="45" xfId="0" applyFont="1" applyFill="1" applyBorder="1" applyAlignment="1">
      <alignment horizontal="left" vertical="center" wrapText="1"/>
    </xf>
    <xf numFmtId="0" fontId="2" fillId="2" borderId="43" xfId="0" applyFont="1" applyFill="1" applyBorder="1" applyAlignment="1">
      <alignment horizontal="left" vertical="center" wrapText="1"/>
    </xf>
    <xf numFmtId="0" fontId="2" fillId="2" borderId="88" xfId="0" applyFont="1" applyFill="1" applyBorder="1" applyAlignment="1">
      <alignment horizontal="left" vertical="center" wrapText="1"/>
    </xf>
    <xf numFmtId="0" fontId="2" fillId="2" borderId="79" xfId="0" applyFont="1" applyFill="1" applyBorder="1" applyAlignment="1">
      <alignment horizontal="left" vertical="center" wrapText="1"/>
    </xf>
    <xf numFmtId="0" fontId="2" fillId="2" borderId="89" xfId="0" applyFont="1" applyFill="1" applyBorder="1" applyAlignment="1">
      <alignment horizontal="left" vertical="center" wrapText="1"/>
    </xf>
    <xf numFmtId="166" fontId="1" fillId="2" borderId="68" xfId="0" applyNumberFormat="1" applyFont="1" applyFill="1" applyBorder="1" applyAlignment="1">
      <alignment horizontal="center" vertical="center"/>
    </xf>
    <xf numFmtId="166" fontId="1" fillId="2" borderId="15" xfId="0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2" borderId="45" xfId="0" applyFont="1" applyFill="1" applyBorder="1" applyAlignment="1">
      <alignment horizontal="left" vertical="center"/>
    </xf>
    <xf numFmtId="0" fontId="1" fillId="2" borderId="43" xfId="0" applyFont="1" applyFill="1" applyBorder="1" applyAlignment="1">
      <alignment horizontal="left" vertical="center"/>
    </xf>
    <xf numFmtId="0" fontId="1" fillId="2" borderId="59" xfId="0" applyFont="1" applyFill="1" applyBorder="1" applyAlignment="1">
      <alignment horizontal="left" vertical="center"/>
    </xf>
    <xf numFmtId="0" fontId="1" fillId="2" borderId="93" xfId="0" applyFont="1" applyFill="1" applyBorder="1" applyAlignment="1">
      <alignment horizontal="center" vertical="center"/>
    </xf>
    <xf numFmtId="0" fontId="7" fillId="2" borderId="62" xfId="0" applyFont="1" applyFill="1" applyBorder="1" applyAlignment="1">
      <alignment horizontal="center" vertical="center" wrapText="1"/>
    </xf>
    <xf numFmtId="0" fontId="7" fillId="2" borderId="84" xfId="0" applyFont="1" applyFill="1" applyBorder="1" applyAlignment="1">
      <alignment horizontal="center" vertical="center" wrapText="1"/>
    </xf>
    <xf numFmtId="0" fontId="7" fillId="2" borderId="49" xfId="0" applyFont="1" applyFill="1" applyBorder="1" applyAlignment="1">
      <alignment horizontal="center" vertical="center" wrapText="1"/>
    </xf>
    <xf numFmtId="0" fontId="7" fillId="2" borderId="78" xfId="0" applyFont="1" applyFill="1" applyBorder="1" applyAlignment="1">
      <alignment horizontal="center" vertical="center" wrapText="1"/>
    </xf>
    <xf numFmtId="0" fontId="7" fillId="2" borderId="79" xfId="0" applyFont="1" applyFill="1" applyBorder="1" applyAlignment="1">
      <alignment horizontal="center" vertical="center" wrapText="1"/>
    </xf>
    <xf numFmtId="0" fontId="7" fillId="2" borderId="89" xfId="0" applyFont="1" applyFill="1" applyBorder="1" applyAlignment="1">
      <alignment horizontal="center" vertical="center" wrapText="1"/>
    </xf>
    <xf numFmtId="166" fontId="1" fillId="2" borderId="50" xfId="0" applyNumberFormat="1" applyFont="1" applyFill="1" applyBorder="1" applyAlignment="1">
      <alignment horizontal="center" vertical="center" wrapText="1"/>
    </xf>
    <xf numFmtId="166" fontId="1" fillId="2" borderId="63" xfId="0" applyNumberFormat="1" applyFont="1" applyFill="1" applyBorder="1" applyAlignment="1">
      <alignment horizontal="center" vertical="center" wrapText="1"/>
    </xf>
    <xf numFmtId="166" fontId="1" fillId="2" borderId="88" xfId="0" applyNumberFormat="1" applyFont="1" applyFill="1" applyBorder="1" applyAlignment="1">
      <alignment horizontal="center" vertical="center" wrapText="1"/>
    </xf>
    <xf numFmtId="166" fontId="1" fillId="2" borderId="38" xfId="0" applyNumberFormat="1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 wrapText="1"/>
    </xf>
    <xf numFmtId="0" fontId="1" fillId="3" borderId="45" xfId="0" applyFont="1" applyFill="1" applyBorder="1" applyAlignment="1">
      <alignment horizontal="center" vertical="center" wrapText="1"/>
    </xf>
    <xf numFmtId="0" fontId="1" fillId="3" borderId="43" xfId="0" applyFont="1" applyFill="1" applyBorder="1" applyAlignment="1">
      <alignment horizontal="center" vertical="center" wrapText="1"/>
    </xf>
    <xf numFmtId="0" fontId="1" fillId="3" borderId="58" xfId="0" applyFont="1" applyFill="1" applyBorder="1" applyAlignment="1">
      <alignment horizontal="center" vertical="center" wrapText="1"/>
    </xf>
    <xf numFmtId="0" fontId="1" fillId="3" borderId="92" xfId="0" applyFont="1" applyFill="1" applyBorder="1" applyAlignment="1">
      <alignment horizontal="center" vertical="center" wrapText="1"/>
    </xf>
    <xf numFmtId="0" fontId="1" fillId="3" borderId="59" xfId="0" applyFont="1" applyFill="1" applyBorder="1" applyAlignment="1">
      <alignment horizontal="center" vertical="center" wrapText="1"/>
    </xf>
    <xf numFmtId="166" fontId="1" fillId="3" borderId="68" xfId="0" applyNumberFormat="1" applyFont="1" applyFill="1" applyBorder="1" applyAlignment="1">
      <alignment horizontal="left" vertical="center" wrapText="1"/>
    </xf>
    <xf numFmtId="166" fontId="1" fillId="3" borderId="15" xfId="0" applyNumberFormat="1" applyFont="1" applyFill="1" applyBorder="1" applyAlignment="1">
      <alignment horizontal="left" vertical="center" wrapText="1"/>
    </xf>
    <xf numFmtId="166" fontId="1" fillId="3" borderId="90" xfId="0" applyNumberFormat="1" applyFont="1" applyFill="1" applyBorder="1" applyAlignment="1">
      <alignment horizontal="left" vertical="center" wrapText="1"/>
    </xf>
    <xf numFmtId="166" fontId="1" fillId="3" borderId="93" xfId="0" applyNumberFormat="1" applyFont="1" applyFill="1" applyBorder="1" applyAlignment="1">
      <alignment horizontal="left" vertical="center" wrapText="1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center" vertical="center" wrapText="1"/>
    </xf>
    <xf numFmtId="0" fontId="7" fillId="6" borderId="5" xfId="0" applyFont="1" applyFill="1" applyBorder="1" applyAlignment="1">
      <alignment horizontal="center" vertical="center" wrapText="1"/>
    </xf>
    <xf numFmtId="0" fontId="7" fillId="6" borderId="6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98"/>
  <sheetViews>
    <sheetView showGridLines="0" tabSelected="1" topLeftCell="A98" workbookViewId="0">
      <selection activeCell="A119" sqref="A119:B119"/>
    </sheetView>
  </sheetViews>
  <sheetFormatPr defaultColWidth="14.42578125" defaultRowHeight="15" customHeight="1"/>
  <cols>
    <col min="1" max="1" width="13.7109375" customWidth="1"/>
    <col min="2" max="2" width="15.5703125" customWidth="1"/>
    <col min="3" max="3" width="20" customWidth="1"/>
    <col min="4" max="4" width="15.7109375" customWidth="1"/>
    <col min="5" max="5" width="23.85546875" customWidth="1"/>
    <col min="6" max="6" width="20.7109375" customWidth="1"/>
    <col min="7" max="7" width="18.28515625" customWidth="1"/>
    <col min="8" max="8" width="18.7109375" customWidth="1"/>
    <col min="9" max="9" width="16.5703125" customWidth="1"/>
    <col min="10" max="10" width="14.7109375" customWidth="1"/>
    <col min="11" max="11" width="21.5703125" customWidth="1"/>
    <col min="12" max="12" width="24.5703125" customWidth="1"/>
    <col min="13" max="26" width="8.85546875" customWidth="1"/>
  </cols>
  <sheetData>
    <row r="1" spans="1:26" ht="18.75" customHeight="1">
      <c r="A1" s="397" t="s">
        <v>472</v>
      </c>
      <c r="B1" s="398"/>
      <c r="C1" s="398"/>
      <c r="D1" s="398"/>
      <c r="E1" s="398"/>
      <c r="F1" s="398"/>
      <c r="G1" s="398"/>
      <c r="H1" s="398"/>
      <c r="I1" s="398"/>
      <c r="J1" s="398"/>
      <c r="K1" s="398"/>
      <c r="L1" s="398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.75" customHeight="1">
      <c r="A2" s="398"/>
      <c r="B2" s="398"/>
      <c r="C2" s="398"/>
      <c r="D2" s="398"/>
      <c r="E2" s="398"/>
      <c r="F2" s="398"/>
      <c r="G2" s="398"/>
      <c r="H2" s="398"/>
      <c r="I2" s="398"/>
      <c r="J2" s="398"/>
      <c r="K2" s="398"/>
      <c r="L2" s="398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8.75" customHeight="1" thickBot="1">
      <c r="A3" s="371"/>
      <c r="B3" s="371"/>
      <c r="C3" s="371"/>
      <c r="D3" s="371"/>
      <c r="E3" s="371"/>
      <c r="F3" s="371"/>
      <c r="G3" s="371"/>
      <c r="H3" s="371"/>
      <c r="I3" s="371"/>
      <c r="J3" s="371"/>
      <c r="K3" s="371"/>
      <c r="L3" s="37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.75" customHeight="1">
      <c r="A4" s="399" t="s">
        <v>0</v>
      </c>
      <c r="B4" s="400"/>
      <c r="C4" s="400"/>
      <c r="D4" s="400"/>
      <c r="E4" s="400"/>
      <c r="F4" s="400"/>
      <c r="G4" s="400"/>
      <c r="H4" s="400"/>
      <c r="I4" s="400"/>
      <c r="J4" s="400"/>
      <c r="K4" s="400"/>
      <c r="L4" s="40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8.75" customHeight="1" thickBot="1">
      <c r="A5" s="402" t="s">
        <v>1</v>
      </c>
      <c r="B5" s="403"/>
      <c r="C5" s="403"/>
      <c r="D5" s="403"/>
      <c r="E5" s="403"/>
      <c r="F5" s="403"/>
      <c r="G5" s="403"/>
      <c r="H5" s="403"/>
      <c r="I5" s="403"/>
      <c r="J5" s="403"/>
      <c r="K5" s="403"/>
      <c r="L5" s="404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8.75" customHeight="1" thickBot="1">
      <c r="A6" s="405" t="s">
        <v>2</v>
      </c>
      <c r="B6" s="406"/>
      <c r="C6" s="406"/>
      <c r="D6" s="406"/>
      <c r="E6" s="406"/>
      <c r="F6" s="406"/>
      <c r="G6" s="407"/>
      <c r="H6" s="408" t="s">
        <v>3</v>
      </c>
      <c r="I6" s="403"/>
      <c r="J6" s="403"/>
      <c r="K6" s="403"/>
      <c r="L6" s="404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8.75" customHeight="1">
      <c r="A7" s="409" t="s">
        <v>4</v>
      </c>
      <c r="B7" s="410"/>
      <c r="C7" s="410"/>
      <c r="D7" s="410"/>
      <c r="E7" s="410"/>
      <c r="F7" s="410"/>
      <c r="G7" s="410"/>
      <c r="H7" s="410"/>
      <c r="I7" s="410"/>
      <c r="J7" s="410"/>
      <c r="K7" s="410"/>
      <c r="L7" s="41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56.25" customHeight="1">
      <c r="A8" s="412" t="s">
        <v>5</v>
      </c>
      <c r="B8" s="403"/>
      <c r="C8" s="413"/>
      <c r="D8" s="436" t="s">
        <v>6</v>
      </c>
      <c r="E8" s="413"/>
      <c r="F8" s="82" t="s">
        <v>7</v>
      </c>
      <c r="G8" s="82" t="s">
        <v>8</v>
      </c>
      <c r="H8" s="447" t="s">
        <v>8</v>
      </c>
      <c r="I8" s="403"/>
      <c r="J8" s="403"/>
      <c r="K8" s="403"/>
      <c r="L8" s="404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7.5" customHeight="1">
      <c r="A9" s="420" t="s">
        <v>9</v>
      </c>
      <c r="B9" s="403"/>
      <c r="C9" s="403"/>
      <c r="D9" s="403"/>
      <c r="E9" s="413"/>
      <c r="F9" s="82" t="s">
        <v>10</v>
      </c>
      <c r="G9" s="82" t="s">
        <v>473</v>
      </c>
      <c r="H9" s="421" t="s">
        <v>11</v>
      </c>
      <c r="I9" s="403"/>
      <c r="J9" s="403"/>
      <c r="K9" s="403"/>
      <c r="L9" s="404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8.75" customHeight="1" thickBot="1">
      <c r="A10" s="422" t="s">
        <v>12</v>
      </c>
      <c r="B10" s="423"/>
      <c r="C10" s="423"/>
      <c r="D10" s="423"/>
      <c r="E10" s="423"/>
      <c r="F10" s="423"/>
      <c r="G10" s="423"/>
      <c r="H10" s="423"/>
      <c r="I10" s="423"/>
      <c r="J10" s="423"/>
      <c r="K10" s="423"/>
      <c r="L10" s="424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8.75" customHeight="1" thickBot="1">
      <c r="A11" s="405" t="s">
        <v>474</v>
      </c>
      <c r="B11" s="425"/>
      <c r="C11" s="425"/>
      <c r="D11" s="425"/>
      <c r="E11" s="425"/>
      <c r="F11" s="425"/>
      <c r="G11" s="426"/>
      <c r="H11" s="427" t="s">
        <v>475</v>
      </c>
      <c r="I11" s="428"/>
      <c r="J11" s="428"/>
      <c r="K11" s="428"/>
      <c r="L11" s="429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1.75" customHeight="1">
      <c r="A12" s="399" t="s">
        <v>476</v>
      </c>
      <c r="B12" s="430"/>
      <c r="C12" s="430"/>
      <c r="D12" s="430"/>
      <c r="E12" s="430"/>
      <c r="F12" s="430"/>
      <c r="G12" s="430"/>
      <c r="H12" s="430"/>
      <c r="I12" s="430"/>
      <c r="J12" s="430"/>
      <c r="K12" s="430"/>
      <c r="L12" s="43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6" customHeight="1">
      <c r="A13" s="412" t="s">
        <v>477</v>
      </c>
      <c r="B13" s="432"/>
      <c r="C13" s="433"/>
      <c r="D13" s="436" t="s">
        <v>478</v>
      </c>
      <c r="E13" s="437"/>
      <c r="F13" s="434" t="s">
        <v>479</v>
      </c>
      <c r="G13" s="433"/>
      <c r="H13" s="434" t="s">
        <v>13</v>
      </c>
      <c r="I13" s="432"/>
      <c r="J13" s="432"/>
      <c r="K13" s="432"/>
      <c r="L13" s="435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2.25" customHeight="1" thickBot="1">
      <c r="A14" s="414" t="s">
        <v>480</v>
      </c>
      <c r="B14" s="415"/>
      <c r="C14" s="415"/>
      <c r="D14" s="415"/>
      <c r="E14" s="416"/>
      <c r="F14" s="417" t="s">
        <v>14</v>
      </c>
      <c r="G14" s="418"/>
      <c r="H14" s="418"/>
      <c r="I14" s="418"/>
      <c r="J14" s="418"/>
      <c r="K14" s="418"/>
      <c r="L14" s="419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8.75" customHeight="1">
      <c r="A15" s="2"/>
      <c r="B15" s="2"/>
      <c r="C15" s="2"/>
      <c r="D15" s="2"/>
      <c r="E15" s="2"/>
      <c r="F15" s="2"/>
      <c r="G15" s="2"/>
      <c r="H15" s="2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8.75" customHeight="1">
      <c r="A16" s="3"/>
      <c r="B16" s="3"/>
      <c r="C16" s="3"/>
      <c r="D16" s="3"/>
      <c r="E16" s="3"/>
      <c r="F16" s="3"/>
      <c r="G16" s="3"/>
      <c r="H16" s="3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 customHeight="1">
      <c r="A17" s="448" t="s">
        <v>15</v>
      </c>
      <c r="B17" s="449"/>
      <c r="C17" s="449"/>
      <c r="D17" s="449"/>
      <c r="E17" s="449"/>
      <c r="F17" s="449"/>
      <c r="G17" s="449"/>
      <c r="H17" s="449"/>
      <c r="I17" s="449"/>
      <c r="J17" s="449"/>
      <c r="K17" s="449"/>
      <c r="L17" s="450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 customHeight="1">
      <c r="A18" s="451"/>
      <c r="B18" s="398"/>
      <c r="C18" s="398"/>
      <c r="D18" s="398"/>
      <c r="E18" s="398"/>
      <c r="F18" s="398"/>
      <c r="G18" s="398"/>
      <c r="H18" s="398"/>
      <c r="I18" s="398"/>
      <c r="J18" s="398"/>
      <c r="K18" s="398"/>
      <c r="L18" s="452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8.75" customHeight="1">
      <c r="A19" s="453" t="s">
        <v>466</v>
      </c>
      <c r="B19" s="117"/>
      <c r="C19" s="117"/>
      <c r="D19" s="117"/>
      <c r="E19" s="117"/>
      <c r="F19" s="117"/>
      <c r="G19" s="117"/>
      <c r="H19" s="117"/>
      <c r="I19" s="117"/>
      <c r="J19" s="117"/>
      <c r="K19" s="117"/>
      <c r="L19" s="118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8.75" customHeight="1">
      <c r="A20" s="454" t="s">
        <v>16</v>
      </c>
      <c r="B20" s="456"/>
      <c r="C20" s="457"/>
      <c r="D20" s="457"/>
      <c r="E20" s="457"/>
      <c r="F20" s="457"/>
      <c r="G20" s="458"/>
      <c r="H20" s="461" t="s">
        <v>17</v>
      </c>
      <c r="I20" s="462"/>
      <c r="J20" s="398"/>
      <c r="K20" s="398"/>
      <c r="L20" s="463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8.75" customHeight="1">
      <c r="A21" s="455"/>
      <c r="B21" s="459"/>
      <c r="C21" s="460"/>
      <c r="D21" s="460"/>
      <c r="E21" s="460"/>
      <c r="F21" s="460"/>
      <c r="G21" s="387"/>
      <c r="H21" s="455"/>
      <c r="I21" s="459"/>
      <c r="J21" s="460"/>
      <c r="K21" s="460"/>
      <c r="L21" s="387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8.75" customHeight="1">
      <c r="A22" s="464" t="s">
        <v>18</v>
      </c>
      <c r="B22" s="84"/>
      <c r="C22" s="83"/>
      <c r="D22" s="86"/>
      <c r="E22" s="86"/>
      <c r="F22" s="86"/>
      <c r="G22" s="86"/>
      <c r="H22" s="86"/>
      <c r="I22" s="86"/>
      <c r="J22" s="86"/>
      <c r="K22" s="86"/>
      <c r="L22" s="84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8.75" customHeight="1">
      <c r="A23" s="4" t="s">
        <v>19</v>
      </c>
      <c r="B23" s="465"/>
      <c r="C23" s="86"/>
      <c r="D23" s="86"/>
      <c r="E23" s="86"/>
      <c r="F23" s="86"/>
      <c r="G23" s="86"/>
      <c r="H23" s="84"/>
      <c r="I23" s="4" t="s">
        <v>20</v>
      </c>
      <c r="J23" s="85"/>
      <c r="K23" s="86"/>
      <c r="L23" s="84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8.75" customHeight="1">
      <c r="A24" s="4" t="s">
        <v>21</v>
      </c>
      <c r="B24" s="466"/>
      <c r="C24" s="86"/>
      <c r="D24" s="86"/>
      <c r="E24" s="86"/>
      <c r="F24" s="86"/>
      <c r="G24" s="86"/>
      <c r="H24" s="86"/>
      <c r="I24" s="86"/>
      <c r="J24" s="86"/>
      <c r="K24" s="86"/>
      <c r="L24" s="84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8.75" customHeight="1">
      <c r="A25" s="5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8.75" customHeight="1">
      <c r="A26" s="448" t="s">
        <v>22</v>
      </c>
      <c r="B26" s="449"/>
      <c r="C26" s="449"/>
      <c r="D26" s="449"/>
      <c r="E26" s="449"/>
      <c r="F26" s="449"/>
      <c r="G26" s="449"/>
      <c r="H26" s="449"/>
      <c r="I26" s="449"/>
      <c r="J26" s="449"/>
      <c r="K26" s="449"/>
      <c r="L26" s="450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8.75" customHeight="1">
      <c r="A27" s="386"/>
      <c r="B27" s="460"/>
      <c r="C27" s="460"/>
      <c r="D27" s="460"/>
      <c r="E27" s="460"/>
      <c r="F27" s="460"/>
      <c r="G27" s="460"/>
      <c r="H27" s="460"/>
      <c r="I27" s="460"/>
      <c r="J27" s="460"/>
      <c r="K27" s="460"/>
      <c r="L27" s="467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 customHeight="1">
      <c r="A28" s="346" t="s">
        <v>23</v>
      </c>
      <c r="B28" s="385"/>
      <c r="C28" s="468" t="s">
        <v>24</v>
      </c>
      <c r="D28" s="469"/>
      <c r="E28" s="469"/>
      <c r="F28" s="469"/>
      <c r="G28" s="469"/>
      <c r="H28" s="469"/>
      <c r="I28" s="469"/>
      <c r="J28" s="469"/>
      <c r="K28" s="469"/>
      <c r="L28" s="470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 customHeight="1">
      <c r="A29" s="386"/>
      <c r="B29" s="387"/>
      <c r="C29" s="459"/>
      <c r="D29" s="460"/>
      <c r="E29" s="460"/>
      <c r="F29" s="460"/>
      <c r="G29" s="460"/>
      <c r="H29" s="460"/>
      <c r="I29" s="460"/>
      <c r="J29" s="460"/>
      <c r="K29" s="460"/>
      <c r="L29" s="467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8.75" customHeight="1">
      <c r="A30" s="395" t="s">
        <v>25</v>
      </c>
      <c r="B30" s="84"/>
      <c r="C30" s="396" t="s">
        <v>26</v>
      </c>
      <c r="D30" s="86"/>
      <c r="E30" s="86"/>
      <c r="F30" s="86"/>
      <c r="G30" s="86"/>
      <c r="H30" s="86"/>
      <c r="I30" s="86"/>
      <c r="J30" s="86"/>
      <c r="K30" s="86"/>
      <c r="L30" s="87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8.75" customHeight="1">
      <c r="A31" s="346" t="s">
        <v>27</v>
      </c>
      <c r="B31" s="385"/>
      <c r="C31" s="7"/>
      <c r="D31" s="7" t="s">
        <v>28</v>
      </c>
      <c r="E31" s="388" t="s">
        <v>29</v>
      </c>
      <c r="F31" s="86"/>
      <c r="G31" s="86"/>
      <c r="H31" s="86"/>
      <c r="I31" s="86"/>
      <c r="J31" s="86"/>
      <c r="K31" s="86"/>
      <c r="L31" s="87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8.75" customHeight="1">
      <c r="A32" s="386"/>
      <c r="B32" s="387"/>
      <c r="C32" s="7"/>
      <c r="D32" s="388" t="s">
        <v>30</v>
      </c>
      <c r="E32" s="86"/>
      <c r="F32" s="86"/>
      <c r="G32" s="86"/>
      <c r="H32" s="86"/>
      <c r="I32" s="86"/>
      <c r="J32" s="86"/>
      <c r="K32" s="86"/>
      <c r="L32" s="87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471" t="s">
        <v>31</v>
      </c>
      <c r="B33" s="385"/>
      <c r="C33" s="388" t="s">
        <v>32</v>
      </c>
      <c r="D33" s="86"/>
      <c r="E33" s="86"/>
      <c r="F33" s="86"/>
      <c r="G33" s="86"/>
      <c r="H33" s="86"/>
      <c r="I33" s="86"/>
      <c r="J33" s="86"/>
      <c r="K33" s="86"/>
      <c r="L33" s="87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8.75" customHeight="1">
      <c r="A34" s="451"/>
      <c r="B34" s="463"/>
      <c r="C34" s="394" t="s">
        <v>33</v>
      </c>
      <c r="D34" s="86"/>
      <c r="E34" s="86"/>
      <c r="F34" s="86"/>
      <c r="G34" s="86"/>
      <c r="H34" s="86"/>
      <c r="I34" s="86"/>
      <c r="J34" s="86"/>
      <c r="K34" s="86"/>
      <c r="L34" s="87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8.75" customHeight="1">
      <c r="A35" s="451"/>
      <c r="B35" s="463"/>
      <c r="C35" s="388" t="s">
        <v>34</v>
      </c>
      <c r="D35" s="86"/>
      <c r="E35" s="86"/>
      <c r="F35" s="86"/>
      <c r="G35" s="86"/>
      <c r="H35" s="86"/>
      <c r="I35" s="86"/>
      <c r="J35" s="86"/>
      <c r="K35" s="86"/>
      <c r="L35" s="87"/>
      <c r="M35" s="1"/>
      <c r="N35" s="1"/>
      <c r="O35" s="77" t="s">
        <v>45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8.75" customHeight="1">
      <c r="A36" s="386"/>
      <c r="B36" s="387"/>
      <c r="C36" s="388" t="s">
        <v>35</v>
      </c>
      <c r="D36" s="86"/>
      <c r="E36" s="86"/>
      <c r="F36" s="86"/>
      <c r="G36" s="86"/>
      <c r="H36" s="86"/>
      <c r="I36" s="86"/>
      <c r="J36" s="86"/>
      <c r="K36" s="86"/>
      <c r="L36" s="87"/>
      <c r="M36" s="1"/>
      <c r="N36" s="1"/>
      <c r="O36" s="77" t="s">
        <v>246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8.75" customHeight="1">
      <c r="A37" s="346" t="s">
        <v>36</v>
      </c>
      <c r="B37" s="385"/>
      <c r="C37" s="388" t="s">
        <v>37</v>
      </c>
      <c r="D37" s="86"/>
      <c r="E37" s="86"/>
      <c r="F37" s="86"/>
      <c r="G37" s="86"/>
      <c r="H37" s="86"/>
      <c r="I37" s="86"/>
      <c r="J37" s="86"/>
      <c r="K37" s="86"/>
      <c r="L37" s="87"/>
      <c r="M37" s="1"/>
      <c r="N37" s="1"/>
      <c r="O37" s="77" t="s">
        <v>250</v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8.75" customHeight="1">
      <c r="A38" s="386"/>
      <c r="B38" s="387"/>
      <c r="C38" s="388" t="s">
        <v>38</v>
      </c>
      <c r="D38" s="86"/>
      <c r="E38" s="86"/>
      <c r="F38" s="86"/>
      <c r="G38" s="86"/>
      <c r="H38" s="86"/>
      <c r="I38" s="86"/>
      <c r="J38" s="86"/>
      <c r="K38" s="86"/>
      <c r="L38" s="87"/>
      <c r="M38" s="1"/>
      <c r="N38" s="1"/>
      <c r="O38" s="77" t="s">
        <v>468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8.75" customHeight="1">
      <c r="A39" s="389" t="s">
        <v>39</v>
      </c>
      <c r="B39" s="385"/>
      <c r="C39" s="388" t="s">
        <v>40</v>
      </c>
      <c r="D39" s="86"/>
      <c r="E39" s="86"/>
      <c r="F39" s="86"/>
      <c r="G39" s="86"/>
      <c r="H39" s="86"/>
      <c r="I39" s="86"/>
      <c r="J39" s="86"/>
      <c r="K39" s="86"/>
      <c r="L39" s="87"/>
      <c r="M39" s="1"/>
      <c r="N39" s="1"/>
      <c r="O39" s="77" t="s">
        <v>255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8.75" customHeight="1">
      <c r="A40" s="386"/>
      <c r="B40" s="387"/>
      <c r="C40" s="388" t="s">
        <v>41</v>
      </c>
      <c r="D40" s="86"/>
      <c r="E40" s="86"/>
      <c r="F40" s="86"/>
      <c r="G40" s="86"/>
      <c r="H40" s="86"/>
      <c r="I40" s="86"/>
      <c r="J40" s="86"/>
      <c r="K40" s="86"/>
      <c r="L40" s="87"/>
      <c r="M40" s="1"/>
      <c r="N40" s="1"/>
      <c r="O40" s="77" t="s">
        <v>259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40.5" customHeight="1">
      <c r="A41" s="390" t="s">
        <v>42</v>
      </c>
      <c r="B41" s="84"/>
      <c r="C41" s="391" t="s">
        <v>43</v>
      </c>
      <c r="D41" s="86"/>
      <c r="E41" s="86"/>
      <c r="F41" s="86"/>
      <c r="G41" s="86"/>
      <c r="H41" s="86"/>
      <c r="I41" s="86"/>
      <c r="J41" s="86"/>
      <c r="K41" s="86"/>
      <c r="L41" s="87"/>
      <c r="M41" s="1"/>
      <c r="N41" s="1"/>
      <c r="O41" s="77" t="s">
        <v>260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58.5" customHeight="1">
      <c r="A42" s="392" t="s">
        <v>44</v>
      </c>
      <c r="B42" s="98"/>
      <c r="C42" s="393" t="s">
        <v>45</v>
      </c>
      <c r="D42" s="97"/>
      <c r="E42" s="97"/>
      <c r="F42" s="97"/>
      <c r="G42" s="97"/>
      <c r="H42" s="97"/>
      <c r="I42" s="97"/>
      <c r="J42" s="97"/>
      <c r="K42" s="97"/>
      <c r="L42" s="101"/>
      <c r="M42" s="1"/>
      <c r="N42" s="1"/>
      <c r="O42" s="77" t="s">
        <v>467</v>
      </c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8.75" customHeight="1" thickBo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8.75" customHeight="1">
      <c r="A44" s="367" t="s">
        <v>46</v>
      </c>
      <c r="B44" s="368"/>
      <c r="C44" s="368"/>
      <c r="D44" s="368"/>
      <c r="E44" s="368"/>
      <c r="F44" s="368"/>
      <c r="G44" s="368"/>
      <c r="H44" s="368"/>
      <c r="I44" s="368"/>
      <c r="J44" s="368"/>
      <c r="K44" s="368"/>
      <c r="L44" s="369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8.75" customHeight="1" thickBot="1">
      <c r="A45" s="370"/>
      <c r="B45" s="371"/>
      <c r="C45" s="371"/>
      <c r="D45" s="371"/>
      <c r="E45" s="371"/>
      <c r="F45" s="371"/>
      <c r="G45" s="371"/>
      <c r="H45" s="371"/>
      <c r="I45" s="371"/>
      <c r="J45" s="371"/>
      <c r="K45" s="371"/>
      <c r="L45" s="372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8.75" customHeight="1" thickBot="1">
      <c r="A46" s="438" t="s">
        <v>471</v>
      </c>
      <c r="B46" s="406"/>
      <c r="C46" s="406"/>
      <c r="D46" s="406"/>
      <c r="E46" s="406"/>
      <c r="F46" s="406"/>
      <c r="G46" s="406"/>
      <c r="H46" s="406"/>
      <c r="I46" s="406"/>
      <c r="J46" s="406"/>
      <c r="K46" s="406"/>
      <c r="L46" s="407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9.5" thickBot="1">
      <c r="A47" s="80"/>
      <c r="B47" s="80"/>
      <c r="C47" s="80"/>
      <c r="D47" s="80"/>
      <c r="E47" s="80"/>
      <c r="F47" s="80"/>
      <c r="G47" s="80"/>
      <c r="H47" s="80"/>
      <c r="I47" s="80"/>
      <c r="J47" s="80"/>
      <c r="K47" s="80"/>
      <c r="L47" s="78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8.75">
      <c r="A48" s="367" t="s">
        <v>48</v>
      </c>
      <c r="B48" s="368"/>
      <c r="C48" s="368"/>
      <c r="D48" s="368"/>
      <c r="E48" s="368"/>
      <c r="F48" s="368"/>
      <c r="G48" s="368"/>
      <c r="H48" s="368"/>
      <c r="I48" s="368"/>
      <c r="J48" s="368"/>
      <c r="K48" s="368"/>
      <c r="L48" s="369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9.5" thickBot="1">
      <c r="A49" s="370"/>
      <c r="B49" s="371"/>
      <c r="C49" s="371"/>
      <c r="D49" s="371"/>
      <c r="E49" s="371"/>
      <c r="F49" s="371"/>
      <c r="G49" s="371"/>
      <c r="H49" s="371"/>
      <c r="I49" s="371"/>
      <c r="J49" s="371"/>
      <c r="K49" s="371"/>
      <c r="L49" s="372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8.75" customHeight="1" thickBot="1">
      <c r="A50" s="438" t="s">
        <v>471</v>
      </c>
      <c r="B50" s="406"/>
      <c r="C50" s="406"/>
      <c r="D50" s="406"/>
      <c r="E50" s="406"/>
      <c r="F50" s="406"/>
      <c r="G50" s="406"/>
      <c r="H50" s="406"/>
      <c r="I50" s="406"/>
      <c r="J50" s="406"/>
      <c r="K50" s="406"/>
      <c r="L50" s="407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8.75" customHeight="1" thickBot="1">
      <c r="A51" s="80"/>
      <c r="B51" s="80"/>
      <c r="C51" s="80"/>
      <c r="D51" s="80"/>
      <c r="E51" s="80"/>
      <c r="F51" s="80"/>
      <c r="G51" s="80"/>
      <c r="H51" s="80"/>
      <c r="I51" s="80"/>
      <c r="J51" s="80"/>
      <c r="K51" s="80"/>
      <c r="L51" s="78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8.75" customHeight="1">
      <c r="A52" s="367" t="s">
        <v>49</v>
      </c>
      <c r="B52" s="368"/>
      <c r="C52" s="368"/>
      <c r="D52" s="368"/>
      <c r="E52" s="368"/>
      <c r="F52" s="368"/>
      <c r="G52" s="368"/>
      <c r="H52" s="368"/>
      <c r="I52" s="368"/>
      <c r="J52" s="368"/>
      <c r="K52" s="368"/>
      <c r="L52" s="369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8.75" customHeight="1" thickBot="1">
      <c r="A53" s="370"/>
      <c r="B53" s="371"/>
      <c r="C53" s="371"/>
      <c r="D53" s="371"/>
      <c r="E53" s="371"/>
      <c r="F53" s="371"/>
      <c r="G53" s="371"/>
      <c r="H53" s="371"/>
      <c r="I53" s="371"/>
      <c r="J53" s="371"/>
      <c r="K53" s="371"/>
      <c r="L53" s="372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9.5" thickBot="1">
      <c r="A54" s="438" t="s">
        <v>471</v>
      </c>
      <c r="B54" s="406"/>
      <c r="C54" s="406"/>
      <c r="D54" s="406"/>
      <c r="E54" s="406"/>
      <c r="F54" s="406"/>
      <c r="G54" s="406"/>
      <c r="H54" s="406"/>
      <c r="I54" s="406"/>
      <c r="J54" s="406"/>
      <c r="K54" s="406"/>
      <c r="L54" s="407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9.5" thickBot="1">
      <c r="A55" s="80"/>
      <c r="B55" s="80"/>
      <c r="C55" s="80"/>
      <c r="D55" s="80"/>
      <c r="E55" s="80"/>
      <c r="F55" s="80"/>
      <c r="G55" s="80"/>
      <c r="H55" s="80"/>
      <c r="I55" s="80"/>
      <c r="J55" s="80"/>
      <c r="K55" s="80"/>
      <c r="L55" s="78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8.75">
      <c r="A56" s="439" t="s">
        <v>50</v>
      </c>
      <c r="B56" s="440"/>
      <c r="C56" s="440"/>
      <c r="D56" s="440"/>
      <c r="E56" s="440"/>
      <c r="F56" s="440"/>
      <c r="G56" s="440"/>
      <c r="H56" s="440"/>
      <c r="I56" s="440"/>
      <c r="J56" s="440"/>
      <c r="K56" s="440"/>
      <c r="L56" s="44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8.75" customHeight="1" thickBot="1">
      <c r="A57" s="442"/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443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8.75" customHeight="1" thickBot="1">
      <c r="A58" s="444" t="s">
        <v>47</v>
      </c>
      <c r="B58" s="445"/>
      <c r="C58" s="445"/>
      <c r="D58" s="445"/>
      <c r="E58" s="445"/>
      <c r="F58" s="445"/>
      <c r="G58" s="445"/>
      <c r="H58" s="445"/>
      <c r="I58" s="445"/>
      <c r="J58" s="445"/>
      <c r="K58" s="445"/>
      <c r="L58" s="446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9.5" thickBot="1">
      <c r="A59" s="81"/>
      <c r="B59" s="81"/>
      <c r="C59" s="81"/>
      <c r="D59" s="81"/>
      <c r="E59" s="81"/>
      <c r="F59" s="81"/>
      <c r="G59" s="81"/>
      <c r="H59" s="81"/>
      <c r="I59" s="81"/>
      <c r="J59" s="81"/>
      <c r="K59" s="81"/>
      <c r="L59" s="8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9.5" thickBot="1">
      <c r="A60" s="373" t="s">
        <v>51</v>
      </c>
      <c r="B60" s="374"/>
      <c r="C60" s="374"/>
      <c r="D60" s="374"/>
      <c r="E60" s="374"/>
      <c r="F60" s="374"/>
      <c r="G60" s="374"/>
      <c r="H60" s="374"/>
      <c r="I60" s="374"/>
      <c r="J60" s="374"/>
      <c r="K60" s="374"/>
      <c r="L60" s="375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8.75">
      <c r="A61" s="376" t="s">
        <v>52</v>
      </c>
      <c r="B61" s="377"/>
      <c r="C61" s="377"/>
      <c r="D61" s="377"/>
      <c r="E61" s="377"/>
      <c r="F61" s="377"/>
      <c r="G61" s="377"/>
      <c r="H61" s="377"/>
      <c r="I61" s="377"/>
      <c r="J61" s="377"/>
      <c r="K61" s="377"/>
      <c r="L61" s="378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8.75" customHeight="1">
      <c r="A62" s="349"/>
      <c r="B62" s="350"/>
      <c r="C62" s="350"/>
      <c r="D62" s="350"/>
      <c r="E62" s="350"/>
      <c r="F62" s="350"/>
      <c r="G62" s="350"/>
      <c r="H62" s="350"/>
      <c r="I62" s="350"/>
      <c r="J62" s="350"/>
      <c r="K62" s="350"/>
      <c r="L62" s="379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8.75">
      <c r="A63" s="384" t="s">
        <v>53</v>
      </c>
      <c r="B63" s="166"/>
      <c r="C63" s="166"/>
      <c r="D63" s="166"/>
      <c r="E63" s="166"/>
      <c r="F63" s="166"/>
      <c r="G63" s="166"/>
      <c r="H63" s="166"/>
      <c r="I63" s="166"/>
      <c r="J63" s="167"/>
      <c r="K63" s="165" t="s">
        <v>54</v>
      </c>
      <c r="L63" s="383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8.75">
      <c r="A64" s="380"/>
      <c r="B64" s="352" t="s">
        <v>55</v>
      </c>
      <c r="C64" s="347"/>
      <c r="D64" s="347"/>
      <c r="E64" s="347"/>
      <c r="F64" s="347"/>
      <c r="G64" s="347"/>
      <c r="H64" s="347"/>
      <c r="I64" s="347"/>
      <c r="J64" s="348"/>
      <c r="K64" s="206">
        <f>K95</f>
        <v>0</v>
      </c>
      <c r="L64" s="207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8.75">
      <c r="A65" s="381"/>
      <c r="B65" s="353"/>
      <c r="C65" s="350"/>
      <c r="D65" s="350"/>
      <c r="E65" s="350"/>
      <c r="F65" s="350"/>
      <c r="G65" s="350"/>
      <c r="H65" s="350"/>
      <c r="I65" s="350"/>
      <c r="J65" s="351"/>
      <c r="K65" s="242"/>
      <c r="L65" s="243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8.75">
      <c r="A66" s="381"/>
      <c r="B66" s="483" t="s">
        <v>56</v>
      </c>
      <c r="C66" s="484"/>
      <c r="D66" s="484"/>
      <c r="E66" s="484"/>
      <c r="F66" s="484"/>
      <c r="G66" s="484"/>
      <c r="H66" s="484"/>
      <c r="I66" s="484"/>
      <c r="J66" s="485"/>
      <c r="K66" s="242"/>
      <c r="L66" s="243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6" ht="18.75">
      <c r="A67" s="382"/>
      <c r="B67" s="486"/>
      <c r="C67" s="487"/>
      <c r="D67" s="487"/>
      <c r="E67" s="487"/>
      <c r="F67" s="487"/>
      <c r="G67" s="487"/>
      <c r="H67" s="487"/>
      <c r="I67" s="487"/>
      <c r="J67" s="488"/>
      <c r="K67" s="242"/>
      <c r="L67" s="243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6" ht="18.75">
      <c r="A68" s="344"/>
      <c r="B68" s="352" t="s">
        <v>57</v>
      </c>
      <c r="C68" s="347"/>
      <c r="D68" s="347"/>
      <c r="E68" s="347"/>
      <c r="F68" s="347"/>
      <c r="G68" s="347"/>
      <c r="H68" s="347"/>
      <c r="I68" s="347"/>
      <c r="J68" s="348"/>
      <c r="K68" s="242"/>
      <c r="L68" s="243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6" ht="18.75" customHeight="1">
      <c r="A69" s="345"/>
      <c r="B69" s="353"/>
      <c r="C69" s="350"/>
      <c r="D69" s="350"/>
      <c r="E69" s="350"/>
      <c r="F69" s="350"/>
      <c r="G69" s="350"/>
      <c r="H69" s="350"/>
      <c r="I69" s="350"/>
      <c r="J69" s="351"/>
      <c r="K69" s="242"/>
      <c r="L69" s="243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6" ht="18.75" customHeight="1">
      <c r="A70" s="344"/>
      <c r="B70" s="352" t="s">
        <v>58</v>
      </c>
      <c r="C70" s="347"/>
      <c r="D70" s="347"/>
      <c r="E70" s="347"/>
      <c r="F70" s="347"/>
      <c r="G70" s="347"/>
      <c r="H70" s="347"/>
      <c r="I70" s="347"/>
      <c r="J70" s="348"/>
      <c r="K70" s="242"/>
      <c r="L70" s="243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6" ht="18.75" customHeight="1">
      <c r="A71" s="345"/>
      <c r="B71" s="353"/>
      <c r="C71" s="350"/>
      <c r="D71" s="350"/>
      <c r="E71" s="350"/>
      <c r="F71" s="350"/>
      <c r="G71" s="350"/>
      <c r="H71" s="350"/>
      <c r="I71" s="350"/>
      <c r="J71" s="351"/>
      <c r="K71" s="242"/>
      <c r="L71" s="243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6" ht="18.75" customHeight="1">
      <c r="A72" s="344"/>
      <c r="B72" s="489" t="s">
        <v>59</v>
      </c>
      <c r="C72" s="490"/>
      <c r="D72" s="490"/>
      <c r="E72" s="490"/>
      <c r="F72" s="490"/>
      <c r="G72" s="490"/>
      <c r="H72" s="490"/>
      <c r="I72" s="490"/>
      <c r="J72" s="491"/>
      <c r="K72" s="242"/>
      <c r="L72" s="243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6" ht="18.75" customHeight="1">
      <c r="A73" s="345"/>
      <c r="B73" s="492"/>
      <c r="C73" s="493"/>
      <c r="D73" s="493"/>
      <c r="E73" s="493"/>
      <c r="F73" s="493"/>
      <c r="G73" s="493"/>
      <c r="H73" s="493"/>
      <c r="I73" s="493"/>
      <c r="J73" s="494"/>
      <c r="K73" s="242"/>
      <c r="L73" s="243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6" ht="18" customHeight="1">
      <c r="A74" s="344"/>
      <c r="B74" s="352" t="s">
        <v>60</v>
      </c>
      <c r="C74" s="347"/>
      <c r="D74" s="347"/>
      <c r="E74" s="347"/>
      <c r="F74" s="347"/>
      <c r="G74" s="347"/>
      <c r="H74" s="347"/>
      <c r="I74" s="347"/>
      <c r="J74" s="348"/>
      <c r="K74" s="242"/>
      <c r="L74" s="243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6" ht="18.75" customHeight="1">
      <c r="A75" s="345"/>
      <c r="B75" s="353"/>
      <c r="C75" s="350"/>
      <c r="D75" s="350"/>
      <c r="E75" s="350"/>
      <c r="F75" s="350"/>
      <c r="G75" s="350"/>
      <c r="H75" s="350"/>
      <c r="I75" s="350"/>
      <c r="J75" s="351"/>
      <c r="K75" s="242"/>
      <c r="L75" s="243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6" ht="18.75" customHeight="1">
      <c r="A76" s="344"/>
      <c r="B76" s="352" t="s">
        <v>61</v>
      </c>
      <c r="C76" s="347"/>
      <c r="D76" s="347"/>
      <c r="E76" s="347"/>
      <c r="F76" s="347"/>
      <c r="G76" s="347"/>
      <c r="H76" s="347"/>
      <c r="I76" s="347"/>
      <c r="J76" s="348"/>
      <c r="K76" s="242"/>
      <c r="L76" s="243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6" ht="25.5" customHeight="1">
      <c r="A77" s="345"/>
      <c r="B77" s="353"/>
      <c r="C77" s="350"/>
      <c r="D77" s="350"/>
      <c r="E77" s="350"/>
      <c r="F77" s="350"/>
      <c r="G77" s="350"/>
      <c r="H77" s="350"/>
      <c r="I77" s="350"/>
      <c r="J77" s="351"/>
      <c r="K77" s="242"/>
      <c r="L77" s="243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6" ht="18.75" customHeight="1">
      <c r="A78" s="344"/>
      <c r="B78" s="352" t="s">
        <v>62</v>
      </c>
      <c r="C78" s="347"/>
      <c r="D78" s="347"/>
      <c r="E78" s="347"/>
      <c r="F78" s="347"/>
      <c r="G78" s="347"/>
      <c r="H78" s="347"/>
      <c r="I78" s="347"/>
      <c r="J78" s="348"/>
      <c r="K78" s="242"/>
      <c r="L78" s="243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6" ht="18.75" customHeight="1">
      <c r="A79" s="345"/>
      <c r="B79" s="353"/>
      <c r="C79" s="350"/>
      <c r="D79" s="350"/>
      <c r="E79" s="350"/>
      <c r="F79" s="350"/>
      <c r="G79" s="350"/>
      <c r="H79" s="350"/>
      <c r="I79" s="350"/>
      <c r="J79" s="351"/>
      <c r="K79" s="242"/>
      <c r="L79" s="243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6" ht="18.75" customHeight="1">
      <c r="A80" s="344"/>
      <c r="B80" s="352" t="s">
        <v>63</v>
      </c>
      <c r="C80" s="347"/>
      <c r="D80" s="347"/>
      <c r="E80" s="347"/>
      <c r="F80" s="347"/>
      <c r="G80" s="347"/>
      <c r="H80" s="347"/>
      <c r="I80" s="347"/>
      <c r="J80" s="348"/>
      <c r="K80" s="242"/>
      <c r="L80" s="243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8.75" customHeight="1" thickBot="1">
      <c r="A81" s="354"/>
      <c r="B81" s="355"/>
      <c r="C81" s="356"/>
      <c r="D81" s="356"/>
      <c r="E81" s="356"/>
      <c r="F81" s="356"/>
      <c r="G81" s="356"/>
      <c r="H81" s="356"/>
      <c r="I81" s="356"/>
      <c r="J81" s="357"/>
      <c r="K81" s="208"/>
      <c r="L81" s="209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8.75" customHeight="1" thickBo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23.25" customHeight="1">
      <c r="A83" s="358" t="s">
        <v>64</v>
      </c>
      <c r="B83" s="359"/>
      <c r="C83" s="359"/>
      <c r="D83" s="359"/>
      <c r="E83" s="359"/>
      <c r="F83" s="359"/>
      <c r="G83" s="359"/>
      <c r="H83" s="359"/>
      <c r="I83" s="359"/>
      <c r="J83" s="359"/>
      <c r="K83" s="359"/>
      <c r="L83" s="360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8.75" customHeight="1" thickBot="1">
      <c r="A84" s="361"/>
      <c r="B84" s="362"/>
      <c r="C84" s="362"/>
      <c r="D84" s="362"/>
      <c r="E84" s="362"/>
      <c r="F84" s="362"/>
      <c r="G84" s="362"/>
      <c r="H84" s="362"/>
      <c r="I84" s="362"/>
      <c r="J84" s="362"/>
      <c r="K84" s="362"/>
      <c r="L84" s="363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8.75" customHeight="1">
      <c r="A85" s="217" t="s">
        <v>65</v>
      </c>
      <c r="B85" s="218"/>
      <c r="C85" s="218"/>
      <c r="D85" s="218"/>
      <c r="E85" s="218"/>
      <c r="F85" s="218"/>
      <c r="G85" s="218"/>
      <c r="H85" s="218"/>
      <c r="I85" s="218"/>
      <c r="J85" s="219"/>
      <c r="K85" s="364" t="s">
        <v>66</v>
      </c>
      <c r="L85" s="365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8.75" customHeight="1">
      <c r="A86" s="212"/>
      <c r="B86" s="220"/>
      <c r="C86" s="220"/>
      <c r="D86" s="220"/>
      <c r="E86" s="220"/>
      <c r="F86" s="220"/>
      <c r="G86" s="220"/>
      <c r="H86" s="220"/>
      <c r="I86" s="220"/>
      <c r="J86" s="213"/>
      <c r="K86" s="257"/>
      <c r="L86" s="366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8.75" customHeight="1">
      <c r="A87" s="346" t="s">
        <v>67</v>
      </c>
      <c r="B87" s="347"/>
      <c r="C87" s="347"/>
      <c r="D87" s="347"/>
      <c r="E87" s="347"/>
      <c r="F87" s="347"/>
      <c r="G87" s="347"/>
      <c r="H87" s="347"/>
      <c r="I87" s="347"/>
      <c r="J87" s="348"/>
      <c r="K87" s="206">
        <f>SUM(K181,L110,L145,K187,K233,K241,K249)</f>
        <v>0</v>
      </c>
      <c r="L87" s="207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8.75" customHeight="1">
      <c r="A88" s="349"/>
      <c r="B88" s="350"/>
      <c r="C88" s="350"/>
      <c r="D88" s="350"/>
      <c r="E88" s="350"/>
      <c r="F88" s="350"/>
      <c r="G88" s="350"/>
      <c r="H88" s="350"/>
      <c r="I88" s="350"/>
      <c r="J88" s="351"/>
      <c r="K88" s="223"/>
      <c r="L88" s="224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8.75" customHeight="1">
      <c r="A89" s="346" t="s">
        <v>68</v>
      </c>
      <c r="B89" s="347"/>
      <c r="C89" s="347"/>
      <c r="D89" s="347"/>
      <c r="E89" s="347"/>
      <c r="F89" s="347"/>
      <c r="G89" s="347"/>
      <c r="H89" s="347"/>
      <c r="I89" s="347"/>
      <c r="J89" s="348"/>
      <c r="K89" s="206">
        <f>SUM(K288,K292)</f>
        <v>0</v>
      </c>
      <c r="L89" s="207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8.75" customHeight="1">
      <c r="A90" s="349"/>
      <c r="B90" s="350"/>
      <c r="C90" s="350"/>
      <c r="D90" s="350"/>
      <c r="E90" s="350"/>
      <c r="F90" s="350"/>
      <c r="G90" s="350"/>
      <c r="H90" s="350"/>
      <c r="I90" s="350"/>
      <c r="J90" s="351"/>
      <c r="K90" s="223"/>
      <c r="L90" s="224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8.75" customHeight="1">
      <c r="A91" s="346" t="s">
        <v>69</v>
      </c>
      <c r="B91" s="347"/>
      <c r="C91" s="347"/>
      <c r="D91" s="347"/>
      <c r="E91" s="347"/>
      <c r="F91" s="347"/>
      <c r="G91" s="347"/>
      <c r="H91" s="347"/>
      <c r="I91" s="347"/>
      <c r="J91" s="348"/>
      <c r="K91" s="206">
        <f>K300</f>
        <v>0</v>
      </c>
      <c r="L91" s="207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8.75" customHeight="1">
      <c r="A92" s="349"/>
      <c r="B92" s="350"/>
      <c r="C92" s="350"/>
      <c r="D92" s="350"/>
      <c r="E92" s="350"/>
      <c r="F92" s="350"/>
      <c r="G92" s="350"/>
      <c r="H92" s="350"/>
      <c r="I92" s="350"/>
      <c r="J92" s="351"/>
      <c r="K92" s="223"/>
      <c r="L92" s="224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8.75" customHeight="1">
      <c r="A93" s="346" t="s">
        <v>70</v>
      </c>
      <c r="B93" s="347"/>
      <c r="C93" s="347"/>
      <c r="D93" s="347"/>
      <c r="E93" s="347"/>
      <c r="F93" s="347"/>
      <c r="G93" s="347"/>
      <c r="H93" s="347"/>
      <c r="I93" s="347"/>
      <c r="J93" s="348"/>
      <c r="K93" s="206">
        <f>K304</f>
        <v>0</v>
      </c>
      <c r="L93" s="207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8.75" customHeight="1">
      <c r="A94" s="349"/>
      <c r="B94" s="350"/>
      <c r="C94" s="350"/>
      <c r="D94" s="350"/>
      <c r="E94" s="350"/>
      <c r="F94" s="350"/>
      <c r="G94" s="350"/>
      <c r="H94" s="350"/>
      <c r="I94" s="350"/>
      <c r="J94" s="351"/>
      <c r="K94" s="223"/>
      <c r="L94" s="224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8.75" customHeight="1">
      <c r="A95" s="497" t="s">
        <v>54</v>
      </c>
      <c r="B95" s="498"/>
      <c r="C95" s="498"/>
      <c r="D95" s="498"/>
      <c r="E95" s="498"/>
      <c r="F95" s="498"/>
      <c r="G95" s="498"/>
      <c r="H95" s="498"/>
      <c r="I95" s="498"/>
      <c r="J95" s="499"/>
      <c r="K95" s="495">
        <f>SUM(K87:L94)</f>
        <v>0</v>
      </c>
      <c r="L95" s="496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8.75" customHeight="1" thickBot="1">
      <c r="A96" s="361"/>
      <c r="B96" s="362"/>
      <c r="C96" s="362"/>
      <c r="D96" s="362"/>
      <c r="E96" s="362"/>
      <c r="F96" s="362"/>
      <c r="G96" s="362"/>
      <c r="H96" s="362"/>
      <c r="I96" s="362"/>
      <c r="J96" s="500"/>
      <c r="K96" s="260"/>
      <c r="L96" s="26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8.75" customHeight="1" thickBo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8.75" customHeight="1">
      <c r="A98" s="217" t="s">
        <v>71</v>
      </c>
      <c r="B98" s="218"/>
      <c r="C98" s="218"/>
      <c r="D98" s="218"/>
      <c r="E98" s="218"/>
      <c r="F98" s="218"/>
      <c r="G98" s="218"/>
      <c r="H98" s="218"/>
      <c r="I98" s="218"/>
      <c r="J98" s="218"/>
      <c r="K98" s="218"/>
      <c r="L98" s="365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8.75" customHeight="1" thickBot="1">
      <c r="A99" s="203"/>
      <c r="B99" s="204"/>
      <c r="C99" s="204"/>
      <c r="D99" s="204"/>
      <c r="E99" s="204"/>
      <c r="F99" s="204"/>
      <c r="G99" s="204"/>
      <c r="H99" s="204"/>
      <c r="I99" s="204"/>
      <c r="J99" s="204"/>
      <c r="K99" s="204"/>
      <c r="L99" s="50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8.75" customHeight="1" thickBo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8.75" customHeight="1">
      <c r="A101" s="502" t="s">
        <v>72</v>
      </c>
      <c r="B101" s="503"/>
      <c r="C101" s="503"/>
      <c r="D101" s="503"/>
      <c r="E101" s="503"/>
      <c r="F101" s="503"/>
      <c r="G101" s="503"/>
      <c r="H101" s="503"/>
      <c r="I101" s="503"/>
      <c r="J101" s="504"/>
      <c r="K101" s="508">
        <f>K103</f>
        <v>0</v>
      </c>
      <c r="L101" s="509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8.75" customHeight="1">
      <c r="A102" s="505"/>
      <c r="B102" s="506"/>
      <c r="C102" s="506"/>
      <c r="D102" s="506"/>
      <c r="E102" s="506"/>
      <c r="F102" s="506"/>
      <c r="G102" s="506"/>
      <c r="H102" s="506"/>
      <c r="I102" s="506"/>
      <c r="J102" s="507"/>
      <c r="K102" s="510"/>
      <c r="L102" s="51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8.75" customHeight="1">
      <c r="A103" s="512" t="s">
        <v>73</v>
      </c>
      <c r="B103" s="513"/>
      <c r="C103" s="513"/>
      <c r="D103" s="513"/>
      <c r="E103" s="513"/>
      <c r="F103" s="513"/>
      <c r="G103" s="513"/>
      <c r="H103" s="513"/>
      <c r="I103" s="513"/>
      <c r="J103" s="514"/>
      <c r="K103" s="518"/>
      <c r="L103" s="519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8.75" customHeight="1" thickBot="1">
      <c r="A104" s="515"/>
      <c r="B104" s="516"/>
      <c r="C104" s="516"/>
      <c r="D104" s="516"/>
      <c r="E104" s="516"/>
      <c r="F104" s="516"/>
      <c r="G104" s="516"/>
      <c r="H104" s="516"/>
      <c r="I104" s="516"/>
      <c r="J104" s="517"/>
      <c r="K104" s="520"/>
      <c r="L104" s="52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8.75" customHeight="1" thickBo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9"/>
      <c r="L106" s="9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8.75" customHeight="1" thickBot="1">
      <c r="A107" s="522" t="s">
        <v>74</v>
      </c>
      <c r="B107" s="523"/>
      <c r="C107" s="523"/>
      <c r="D107" s="523"/>
      <c r="E107" s="523"/>
      <c r="F107" s="523"/>
      <c r="G107" s="523"/>
      <c r="H107" s="523"/>
      <c r="I107" s="523"/>
      <c r="J107" s="523"/>
      <c r="K107" s="523"/>
      <c r="L107" s="524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4.25" customHeight="1" thickBot="1">
      <c r="A108" s="525" t="s">
        <v>75</v>
      </c>
      <c r="B108" s="526"/>
      <c r="C108" s="526"/>
      <c r="D108" s="526"/>
      <c r="E108" s="526"/>
      <c r="F108" s="526"/>
      <c r="G108" s="526"/>
      <c r="H108" s="526"/>
      <c r="I108" s="526"/>
      <c r="J108" s="526"/>
      <c r="K108" s="526"/>
      <c r="L108" s="527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5" customHeight="1" thickBot="1">
      <c r="A109" s="528" t="s">
        <v>76</v>
      </c>
      <c r="B109" s="529"/>
      <c r="C109" s="529"/>
      <c r="D109" s="529"/>
      <c r="E109" s="529"/>
      <c r="F109" s="529"/>
      <c r="G109" s="529"/>
      <c r="H109" s="529"/>
      <c r="I109" s="529"/>
      <c r="J109" s="529"/>
      <c r="K109" s="529"/>
      <c r="L109" s="530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8.75" customHeight="1">
      <c r="A110" s="191" t="s">
        <v>77</v>
      </c>
      <c r="B110" s="317"/>
      <c r="C110" s="320" t="s">
        <v>78</v>
      </c>
      <c r="D110" s="192"/>
      <c r="E110" s="317"/>
      <c r="F110" s="320" t="s">
        <v>79</v>
      </c>
      <c r="G110" s="317"/>
      <c r="H110" s="323" t="s">
        <v>80</v>
      </c>
      <c r="I110" s="323" t="s">
        <v>81</v>
      </c>
      <c r="J110" s="323" t="s">
        <v>82</v>
      </c>
      <c r="K110" s="323" t="s">
        <v>83</v>
      </c>
      <c r="L110" s="335">
        <f>SUM(L112:L142)</f>
        <v>0</v>
      </c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8" customHeight="1" thickBot="1">
      <c r="A111" s="318"/>
      <c r="B111" s="319"/>
      <c r="C111" s="321"/>
      <c r="D111" s="322"/>
      <c r="E111" s="319"/>
      <c r="F111" s="321"/>
      <c r="G111" s="319"/>
      <c r="H111" s="324"/>
      <c r="I111" s="324"/>
      <c r="J111" s="324"/>
      <c r="K111" s="324"/>
      <c r="L111" s="336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8.75" customHeight="1" thickBot="1">
      <c r="A112" s="337"/>
      <c r="B112" s="338"/>
      <c r="C112" s="339"/>
      <c r="D112" s="340"/>
      <c r="E112" s="341"/>
      <c r="F112" s="342"/>
      <c r="G112" s="343"/>
      <c r="H112" s="10"/>
      <c r="I112" s="11"/>
      <c r="J112" s="12"/>
      <c r="K112" s="13"/>
      <c r="L112" s="14">
        <f t="shared" ref="L112:L142" si="0">J112*K112</f>
        <v>0</v>
      </c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8" customHeight="1" thickBot="1">
      <c r="A113" s="337"/>
      <c r="B113" s="338"/>
      <c r="C113" s="332"/>
      <c r="D113" s="333"/>
      <c r="E113" s="334"/>
      <c r="F113" s="312"/>
      <c r="G113" s="313"/>
      <c r="H113" s="15"/>
      <c r="I113" s="16"/>
      <c r="J113" s="17"/>
      <c r="K113" s="18"/>
      <c r="L113" s="14">
        <f t="shared" si="0"/>
        <v>0</v>
      </c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8.75" customHeight="1" thickBot="1">
      <c r="A114" s="337"/>
      <c r="B114" s="338"/>
      <c r="C114" s="332"/>
      <c r="D114" s="333"/>
      <c r="E114" s="334"/>
      <c r="F114" s="312"/>
      <c r="G114" s="313"/>
      <c r="H114" s="15"/>
      <c r="I114" s="16"/>
      <c r="J114" s="17"/>
      <c r="K114" s="18"/>
      <c r="L114" s="14">
        <f t="shared" si="0"/>
        <v>0</v>
      </c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8.75" customHeight="1" thickBot="1">
      <c r="A115" s="337"/>
      <c r="B115" s="338"/>
      <c r="C115" s="332"/>
      <c r="D115" s="333"/>
      <c r="E115" s="334"/>
      <c r="F115" s="312"/>
      <c r="G115" s="313"/>
      <c r="H115" s="15"/>
      <c r="I115" s="16"/>
      <c r="J115" s="17"/>
      <c r="K115" s="18"/>
      <c r="L115" s="14">
        <f t="shared" si="0"/>
        <v>0</v>
      </c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8.75" customHeight="1" thickBot="1">
      <c r="A116" s="337"/>
      <c r="B116" s="338"/>
      <c r="C116" s="332"/>
      <c r="D116" s="333"/>
      <c r="E116" s="334"/>
      <c r="F116" s="312"/>
      <c r="G116" s="313"/>
      <c r="H116" s="15"/>
      <c r="I116" s="16"/>
      <c r="J116" s="17"/>
      <c r="K116" s="18"/>
      <c r="L116" s="14">
        <f t="shared" si="0"/>
        <v>0</v>
      </c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8.75" customHeight="1" thickBot="1">
      <c r="A117" s="337"/>
      <c r="B117" s="338"/>
      <c r="C117" s="332"/>
      <c r="D117" s="333"/>
      <c r="E117" s="334"/>
      <c r="F117" s="312"/>
      <c r="G117" s="313"/>
      <c r="H117" s="15"/>
      <c r="I117" s="16"/>
      <c r="J117" s="17"/>
      <c r="K117" s="18"/>
      <c r="L117" s="14">
        <f t="shared" si="0"/>
        <v>0</v>
      </c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9.5" thickBot="1">
      <c r="A118" s="337"/>
      <c r="B118" s="338"/>
      <c r="C118" s="332"/>
      <c r="D118" s="333"/>
      <c r="E118" s="334"/>
      <c r="F118" s="312"/>
      <c r="G118" s="313"/>
      <c r="H118" s="15"/>
      <c r="I118" s="16"/>
      <c r="J118" s="17"/>
      <c r="K118" s="18"/>
      <c r="L118" s="14">
        <f t="shared" si="0"/>
        <v>0</v>
      </c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8.75" customHeight="1" thickBot="1">
      <c r="A119" s="337"/>
      <c r="B119" s="338"/>
      <c r="C119" s="332"/>
      <c r="D119" s="333"/>
      <c r="E119" s="334"/>
      <c r="F119" s="312"/>
      <c r="G119" s="313"/>
      <c r="H119" s="15"/>
      <c r="I119" s="16"/>
      <c r="J119" s="17"/>
      <c r="K119" s="18"/>
      <c r="L119" s="14">
        <f t="shared" si="0"/>
        <v>0</v>
      </c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8.75" customHeight="1" thickBot="1">
      <c r="A120" s="337"/>
      <c r="B120" s="338"/>
      <c r="C120" s="332"/>
      <c r="D120" s="333"/>
      <c r="E120" s="334"/>
      <c r="F120" s="312"/>
      <c r="G120" s="313"/>
      <c r="H120" s="15"/>
      <c r="I120" s="16"/>
      <c r="J120" s="17"/>
      <c r="K120" s="18"/>
      <c r="L120" s="14">
        <f t="shared" si="0"/>
        <v>0</v>
      </c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9.5" thickBot="1">
      <c r="A121" s="337"/>
      <c r="B121" s="338"/>
      <c r="C121" s="332"/>
      <c r="D121" s="333"/>
      <c r="E121" s="334"/>
      <c r="F121" s="312"/>
      <c r="G121" s="313"/>
      <c r="H121" s="15"/>
      <c r="I121" s="16"/>
      <c r="J121" s="17"/>
      <c r="K121" s="18"/>
      <c r="L121" s="14">
        <f t="shared" si="0"/>
        <v>0</v>
      </c>
      <c r="M121" s="1"/>
      <c r="N121" s="1"/>
      <c r="O121" s="77" t="s">
        <v>274</v>
      </c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8.75" customHeight="1" thickBot="1">
      <c r="A122" s="337"/>
      <c r="B122" s="338"/>
      <c r="C122" s="332"/>
      <c r="D122" s="333"/>
      <c r="E122" s="334"/>
      <c r="F122" s="312"/>
      <c r="G122" s="313"/>
      <c r="H122" s="15"/>
      <c r="I122" s="16"/>
      <c r="J122" s="17"/>
      <c r="K122" s="18"/>
      <c r="L122" s="14">
        <f t="shared" si="0"/>
        <v>0</v>
      </c>
      <c r="M122" s="1"/>
      <c r="N122" s="1"/>
      <c r="O122" s="77" t="s">
        <v>278</v>
      </c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8.75" customHeight="1" thickBot="1">
      <c r="A123" s="337"/>
      <c r="B123" s="338"/>
      <c r="C123" s="332"/>
      <c r="D123" s="333"/>
      <c r="E123" s="334"/>
      <c r="F123" s="312"/>
      <c r="G123" s="313"/>
      <c r="H123" s="15"/>
      <c r="I123" s="16"/>
      <c r="J123" s="17"/>
      <c r="K123" s="18"/>
      <c r="L123" s="14">
        <f t="shared" si="0"/>
        <v>0</v>
      </c>
      <c r="M123" s="19"/>
      <c r="N123" s="19"/>
      <c r="O123" s="79" t="s">
        <v>282</v>
      </c>
      <c r="P123" s="19"/>
      <c r="Q123" s="19"/>
      <c r="R123" s="19"/>
      <c r="S123" s="19"/>
      <c r="T123" s="19"/>
      <c r="U123" s="19"/>
      <c r="V123" s="19"/>
      <c r="W123" s="19"/>
      <c r="X123" s="19"/>
      <c r="Y123" s="19"/>
    </row>
    <row r="124" spans="1:25" ht="18.75" customHeight="1" thickBot="1">
      <c r="A124" s="337"/>
      <c r="B124" s="338"/>
      <c r="C124" s="300"/>
      <c r="D124" s="301"/>
      <c r="E124" s="302"/>
      <c r="F124" s="312"/>
      <c r="G124" s="313"/>
      <c r="H124" s="20"/>
      <c r="I124" s="16"/>
      <c r="J124" s="17"/>
      <c r="K124" s="21"/>
      <c r="L124" s="14">
        <f t="shared" si="0"/>
        <v>0</v>
      </c>
      <c r="M124" s="19"/>
      <c r="N124" s="19"/>
      <c r="O124" s="79" t="s">
        <v>286</v>
      </c>
      <c r="P124" s="19"/>
      <c r="Q124" s="19"/>
      <c r="R124" s="19"/>
      <c r="S124" s="19"/>
      <c r="T124" s="19"/>
      <c r="U124" s="19"/>
      <c r="V124" s="19"/>
      <c r="W124" s="19"/>
      <c r="X124" s="19"/>
      <c r="Y124" s="19"/>
    </row>
    <row r="125" spans="1:25" ht="18.75" customHeight="1" thickBot="1">
      <c r="A125" s="337"/>
      <c r="B125" s="338"/>
      <c r="C125" s="300"/>
      <c r="D125" s="301"/>
      <c r="E125" s="302"/>
      <c r="F125" s="312"/>
      <c r="G125" s="313"/>
      <c r="H125" s="20"/>
      <c r="I125" s="16"/>
      <c r="J125" s="17"/>
      <c r="K125" s="21"/>
      <c r="L125" s="14">
        <f t="shared" si="0"/>
        <v>0</v>
      </c>
      <c r="M125" s="19"/>
      <c r="N125" s="19"/>
      <c r="O125" s="79" t="s">
        <v>290</v>
      </c>
      <c r="P125" s="19"/>
      <c r="Q125" s="19"/>
      <c r="R125" s="19"/>
      <c r="S125" s="19"/>
      <c r="T125" s="19"/>
      <c r="U125" s="19"/>
      <c r="V125" s="19"/>
      <c r="W125" s="19"/>
      <c r="X125" s="19"/>
      <c r="Y125" s="19"/>
    </row>
    <row r="126" spans="1:25" ht="18.75" customHeight="1" thickBot="1">
      <c r="A126" s="337"/>
      <c r="B126" s="338"/>
      <c r="C126" s="300"/>
      <c r="D126" s="301"/>
      <c r="E126" s="302"/>
      <c r="F126" s="312"/>
      <c r="G126" s="313"/>
      <c r="H126" s="20"/>
      <c r="I126" s="16"/>
      <c r="J126" s="17"/>
      <c r="K126" s="21"/>
      <c r="L126" s="14">
        <f t="shared" si="0"/>
        <v>0</v>
      </c>
      <c r="M126" s="19"/>
      <c r="N126" s="19"/>
      <c r="O126" s="79" t="s">
        <v>294</v>
      </c>
      <c r="P126" s="19"/>
      <c r="Q126" s="19"/>
      <c r="R126" s="19"/>
      <c r="S126" s="19"/>
      <c r="T126" s="19"/>
      <c r="U126" s="19"/>
      <c r="V126" s="19"/>
      <c r="W126" s="19"/>
      <c r="X126" s="19"/>
      <c r="Y126" s="19"/>
    </row>
    <row r="127" spans="1:25" ht="18.75" customHeight="1" thickBot="1">
      <c r="A127" s="337"/>
      <c r="B127" s="338"/>
      <c r="C127" s="300"/>
      <c r="D127" s="301"/>
      <c r="E127" s="302"/>
      <c r="F127" s="312"/>
      <c r="G127" s="313"/>
      <c r="H127" s="20"/>
      <c r="I127" s="16"/>
      <c r="J127" s="17"/>
      <c r="K127" s="21"/>
      <c r="L127" s="14">
        <f t="shared" si="0"/>
        <v>0</v>
      </c>
      <c r="M127" s="19"/>
      <c r="N127" s="19"/>
      <c r="O127" s="79" t="s">
        <v>298</v>
      </c>
      <c r="P127" s="19"/>
      <c r="Q127" s="19"/>
      <c r="R127" s="19"/>
      <c r="S127" s="19"/>
      <c r="T127" s="19"/>
      <c r="U127" s="19"/>
      <c r="V127" s="19"/>
      <c r="W127" s="19"/>
      <c r="X127" s="19"/>
      <c r="Y127" s="19"/>
    </row>
    <row r="128" spans="1:25" ht="18.75" customHeight="1" thickBot="1">
      <c r="A128" s="337"/>
      <c r="B128" s="338"/>
      <c r="C128" s="300"/>
      <c r="D128" s="301"/>
      <c r="E128" s="302"/>
      <c r="F128" s="312"/>
      <c r="G128" s="313"/>
      <c r="H128" s="20"/>
      <c r="I128" s="16"/>
      <c r="J128" s="17"/>
      <c r="K128" s="21"/>
      <c r="L128" s="14">
        <f t="shared" si="0"/>
        <v>0</v>
      </c>
      <c r="M128" s="19"/>
      <c r="N128" s="19"/>
      <c r="O128" s="79" t="s">
        <v>306</v>
      </c>
      <c r="P128" s="19"/>
      <c r="Q128" s="19"/>
      <c r="R128" s="19"/>
      <c r="S128" s="19"/>
      <c r="T128" s="19"/>
      <c r="U128" s="19"/>
      <c r="V128" s="19"/>
      <c r="W128" s="19"/>
      <c r="X128" s="19"/>
      <c r="Y128" s="19"/>
    </row>
    <row r="129" spans="1:25" ht="18.75" customHeight="1" thickBot="1">
      <c r="A129" s="337"/>
      <c r="B129" s="338"/>
      <c r="C129" s="300"/>
      <c r="D129" s="301"/>
      <c r="E129" s="302"/>
      <c r="F129" s="312"/>
      <c r="G129" s="313"/>
      <c r="H129" s="20"/>
      <c r="I129" s="16"/>
      <c r="J129" s="17"/>
      <c r="K129" s="21"/>
      <c r="L129" s="14">
        <f t="shared" si="0"/>
        <v>0</v>
      </c>
      <c r="M129" s="19"/>
      <c r="N129" s="19"/>
      <c r="O129" s="79" t="s">
        <v>310</v>
      </c>
      <c r="P129" s="19"/>
      <c r="Q129" s="19"/>
      <c r="R129" s="19"/>
      <c r="S129" s="19"/>
      <c r="T129" s="19"/>
      <c r="U129" s="19"/>
      <c r="V129" s="19"/>
      <c r="W129" s="19"/>
      <c r="X129" s="19"/>
      <c r="Y129" s="19"/>
    </row>
    <row r="130" spans="1:25" ht="18.75" customHeight="1" thickBot="1">
      <c r="A130" s="337"/>
      <c r="B130" s="338"/>
      <c r="C130" s="300"/>
      <c r="D130" s="301"/>
      <c r="E130" s="302"/>
      <c r="F130" s="312"/>
      <c r="G130" s="313"/>
      <c r="H130" s="20"/>
      <c r="I130" s="16"/>
      <c r="J130" s="17"/>
      <c r="K130" s="21"/>
      <c r="L130" s="14">
        <f t="shared" si="0"/>
        <v>0</v>
      </c>
      <c r="M130" s="19"/>
      <c r="N130" s="19"/>
      <c r="O130" s="79" t="s">
        <v>314</v>
      </c>
      <c r="P130" s="19"/>
      <c r="Q130" s="19"/>
      <c r="R130" s="19"/>
      <c r="S130" s="19"/>
      <c r="T130" s="19"/>
      <c r="U130" s="19"/>
      <c r="V130" s="19"/>
      <c r="W130" s="19"/>
      <c r="X130" s="19"/>
      <c r="Y130" s="19"/>
    </row>
    <row r="131" spans="1:25" ht="18.75" customHeight="1" thickBot="1">
      <c r="A131" s="337"/>
      <c r="B131" s="338"/>
      <c r="C131" s="300"/>
      <c r="D131" s="301"/>
      <c r="E131" s="302"/>
      <c r="F131" s="312"/>
      <c r="G131" s="313"/>
      <c r="H131" s="20"/>
      <c r="I131" s="16"/>
      <c r="J131" s="17"/>
      <c r="K131" s="21"/>
      <c r="L131" s="14">
        <f t="shared" si="0"/>
        <v>0</v>
      </c>
      <c r="M131" s="19"/>
      <c r="N131" s="19"/>
      <c r="O131" s="79" t="s">
        <v>469</v>
      </c>
      <c r="P131" s="19"/>
      <c r="Q131" s="19"/>
      <c r="R131" s="19"/>
      <c r="S131" s="19"/>
      <c r="T131" s="19"/>
      <c r="U131" s="19"/>
      <c r="V131" s="19"/>
      <c r="W131" s="19"/>
      <c r="X131" s="19"/>
      <c r="Y131" s="19"/>
    </row>
    <row r="132" spans="1:25" ht="18.75" customHeight="1" thickBot="1">
      <c r="A132" s="337"/>
      <c r="B132" s="338"/>
      <c r="C132" s="300"/>
      <c r="D132" s="301"/>
      <c r="E132" s="302"/>
      <c r="F132" s="312"/>
      <c r="G132" s="313"/>
      <c r="H132" s="20"/>
      <c r="I132" s="16"/>
      <c r="J132" s="17"/>
      <c r="K132" s="21"/>
      <c r="L132" s="14">
        <f t="shared" si="0"/>
        <v>0</v>
      </c>
      <c r="M132" s="19"/>
      <c r="N132" s="19"/>
      <c r="O132" s="79" t="s">
        <v>322</v>
      </c>
      <c r="P132" s="19"/>
      <c r="Q132" s="19"/>
      <c r="R132" s="19"/>
      <c r="S132" s="19"/>
      <c r="T132" s="19"/>
      <c r="U132" s="19"/>
      <c r="V132" s="19"/>
      <c r="W132" s="19"/>
      <c r="X132" s="19"/>
      <c r="Y132" s="19"/>
    </row>
    <row r="133" spans="1:25" ht="18.75" customHeight="1" thickBot="1">
      <c r="A133" s="337"/>
      <c r="B133" s="338"/>
      <c r="C133" s="300"/>
      <c r="D133" s="301"/>
      <c r="E133" s="302"/>
      <c r="F133" s="312"/>
      <c r="G133" s="313"/>
      <c r="H133" s="20"/>
      <c r="I133" s="16"/>
      <c r="J133" s="17"/>
      <c r="K133" s="21"/>
      <c r="L133" s="14">
        <f t="shared" si="0"/>
        <v>0</v>
      </c>
      <c r="M133" s="19"/>
      <c r="N133" s="19"/>
      <c r="O133" s="79" t="s">
        <v>326</v>
      </c>
      <c r="P133" s="19"/>
      <c r="Q133" s="19"/>
      <c r="R133" s="19"/>
      <c r="S133" s="19"/>
      <c r="T133" s="19"/>
      <c r="U133" s="19"/>
      <c r="V133" s="19"/>
      <c r="W133" s="19"/>
      <c r="X133" s="19"/>
      <c r="Y133" s="19"/>
    </row>
    <row r="134" spans="1:25" ht="18.75" customHeight="1" thickBot="1">
      <c r="A134" s="337"/>
      <c r="B134" s="338"/>
      <c r="C134" s="300"/>
      <c r="D134" s="301"/>
      <c r="E134" s="302"/>
      <c r="F134" s="312"/>
      <c r="G134" s="313"/>
      <c r="H134" s="20"/>
      <c r="I134" s="16"/>
      <c r="J134" s="17"/>
      <c r="K134" s="21"/>
      <c r="L134" s="14">
        <f t="shared" si="0"/>
        <v>0</v>
      </c>
      <c r="M134" s="19"/>
      <c r="N134" s="19"/>
      <c r="O134" s="79" t="s">
        <v>330</v>
      </c>
      <c r="P134" s="19"/>
      <c r="Q134" s="19"/>
      <c r="R134" s="19"/>
      <c r="S134" s="19"/>
      <c r="T134" s="19"/>
      <c r="U134" s="19"/>
      <c r="V134" s="19"/>
      <c r="W134" s="19"/>
      <c r="X134" s="19"/>
      <c r="Y134" s="19"/>
    </row>
    <row r="135" spans="1:25" ht="18.75" customHeight="1" thickBot="1">
      <c r="A135" s="337"/>
      <c r="B135" s="338"/>
      <c r="C135" s="300"/>
      <c r="D135" s="301"/>
      <c r="E135" s="302"/>
      <c r="F135" s="312"/>
      <c r="G135" s="313"/>
      <c r="H135" s="20"/>
      <c r="I135" s="16"/>
      <c r="J135" s="17"/>
      <c r="K135" s="21"/>
      <c r="L135" s="14">
        <f t="shared" si="0"/>
        <v>0</v>
      </c>
      <c r="M135" s="19"/>
      <c r="N135" s="19"/>
      <c r="O135" s="79" t="s">
        <v>334</v>
      </c>
      <c r="P135" s="19"/>
      <c r="Q135" s="19"/>
      <c r="R135" s="19"/>
      <c r="S135" s="19"/>
      <c r="T135" s="19"/>
      <c r="U135" s="19"/>
      <c r="V135" s="19"/>
      <c r="W135" s="19"/>
      <c r="X135" s="19"/>
      <c r="Y135" s="19"/>
    </row>
    <row r="136" spans="1:25" ht="18.75" customHeight="1" thickBot="1">
      <c r="A136" s="337"/>
      <c r="B136" s="338"/>
      <c r="C136" s="300"/>
      <c r="D136" s="301"/>
      <c r="E136" s="302"/>
      <c r="F136" s="312"/>
      <c r="G136" s="313"/>
      <c r="H136" s="20"/>
      <c r="I136" s="16"/>
      <c r="J136" s="17"/>
      <c r="K136" s="21"/>
      <c r="L136" s="14">
        <f t="shared" si="0"/>
        <v>0</v>
      </c>
      <c r="M136" s="19"/>
      <c r="N136" s="19"/>
      <c r="O136" s="79" t="s">
        <v>470</v>
      </c>
      <c r="P136" s="19"/>
      <c r="Q136" s="19"/>
      <c r="R136" s="19"/>
      <c r="S136" s="19"/>
      <c r="T136" s="19"/>
      <c r="U136" s="19"/>
      <c r="V136" s="19"/>
      <c r="W136" s="19"/>
      <c r="X136" s="19"/>
      <c r="Y136" s="19"/>
    </row>
    <row r="137" spans="1:25" ht="18.75" customHeight="1" thickBot="1">
      <c r="A137" s="337"/>
      <c r="B137" s="338"/>
      <c r="C137" s="300"/>
      <c r="D137" s="301"/>
      <c r="E137" s="302"/>
      <c r="F137" s="312"/>
      <c r="G137" s="313"/>
      <c r="H137" s="20"/>
      <c r="I137" s="16"/>
      <c r="J137" s="17"/>
      <c r="K137" s="21"/>
      <c r="L137" s="14">
        <f t="shared" si="0"/>
        <v>0</v>
      </c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</row>
    <row r="138" spans="1:25" ht="18.75" customHeight="1" thickBot="1">
      <c r="A138" s="337"/>
      <c r="B138" s="338"/>
      <c r="C138" s="300"/>
      <c r="D138" s="301"/>
      <c r="E138" s="302"/>
      <c r="F138" s="312"/>
      <c r="G138" s="313"/>
      <c r="H138" s="20"/>
      <c r="I138" s="16"/>
      <c r="J138" s="17"/>
      <c r="K138" s="21"/>
      <c r="L138" s="14">
        <f t="shared" si="0"/>
        <v>0</v>
      </c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</row>
    <row r="139" spans="1:25" ht="18.75" customHeight="1" thickBot="1">
      <c r="A139" s="337"/>
      <c r="B139" s="338"/>
      <c r="C139" s="300"/>
      <c r="D139" s="301"/>
      <c r="E139" s="302"/>
      <c r="F139" s="312"/>
      <c r="G139" s="313"/>
      <c r="H139" s="20"/>
      <c r="I139" s="16"/>
      <c r="J139" s="17"/>
      <c r="K139" s="21"/>
      <c r="L139" s="14">
        <f t="shared" si="0"/>
        <v>0</v>
      </c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</row>
    <row r="140" spans="1:25" ht="18.75" customHeight="1" thickBot="1">
      <c r="A140" s="337"/>
      <c r="B140" s="338"/>
      <c r="C140" s="300"/>
      <c r="D140" s="301"/>
      <c r="E140" s="302"/>
      <c r="F140" s="312"/>
      <c r="G140" s="313"/>
      <c r="H140" s="20"/>
      <c r="I140" s="16"/>
      <c r="J140" s="17"/>
      <c r="K140" s="21"/>
      <c r="L140" s="14">
        <f t="shared" si="0"/>
        <v>0</v>
      </c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</row>
    <row r="141" spans="1:25" ht="18.75" customHeight="1" thickBot="1">
      <c r="A141" s="337"/>
      <c r="B141" s="338"/>
      <c r="C141" s="300"/>
      <c r="D141" s="301"/>
      <c r="E141" s="302"/>
      <c r="F141" s="312"/>
      <c r="G141" s="313"/>
      <c r="H141" s="20"/>
      <c r="I141" s="16"/>
      <c r="J141" s="17"/>
      <c r="K141" s="21"/>
      <c r="L141" s="14">
        <f t="shared" si="0"/>
        <v>0</v>
      </c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</row>
    <row r="142" spans="1:25" ht="18.75" customHeight="1" thickBot="1">
      <c r="A142" s="337"/>
      <c r="B142" s="338"/>
      <c r="C142" s="305"/>
      <c r="D142" s="306"/>
      <c r="E142" s="307"/>
      <c r="F142" s="325"/>
      <c r="G142" s="326"/>
      <c r="H142" s="22"/>
      <c r="I142" s="23"/>
      <c r="J142" s="24"/>
      <c r="K142" s="25"/>
      <c r="L142" s="26">
        <f t="shared" si="0"/>
        <v>0</v>
      </c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</row>
    <row r="143" spans="1:25" ht="18.75" customHeight="1" thickBo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</row>
    <row r="144" spans="1:25" ht="18.75" customHeight="1" thickBot="1">
      <c r="A144" s="314" t="s">
        <v>84</v>
      </c>
      <c r="B144" s="315"/>
      <c r="C144" s="315"/>
      <c r="D144" s="315"/>
      <c r="E144" s="315"/>
      <c r="F144" s="315"/>
      <c r="G144" s="315"/>
      <c r="H144" s="315"/>
      <c r="I144" s="315"/>
      <c r="J144" s="315"/>
      <c r="K144" s="315"/>
      <c r="L144" s="316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</row>
    <row r="145" spans="1:25" ht="18.75" customHeight="1">
      <c r="A145" s="191" t="s">
        <v>77</v>
      </c>
      <c r="B145" s="317"/>
      <c r="C145" s="320" t="s">
        <v>78</v>
      </c>
      <c r="D145" s="192"/>
      <c r="E145" s="317"/>
      <c r="F145" s="320" t="s">
        <v>85</v>
      </c>
      <c r="G145" s="317"/>
      <c r="H145" s="323" t="s">
        <v>80</v>
      </c>
      <c r="I145" s="323" t="s">
        <v>86</v>
      </c>
      <c r="J145" s="323" t="s">
        <v>82</v>
      </c>
      <c r="K145" s="308" t="s">
        <v>83</v>
      </c>
      <c r="L145" s="310">
        <f>SUM(L147:L179)</f>
        <v>0</v>
      </c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</row>
    <row r="146" spans="1:25" ht="18.75" customHeight="1" thickBot="1">
      <c r="A146" s="318"/>
      <c r="B146" s="319"/>
      <c r="C146" s="321"/>
      <c r="D146" s="322"/>
      <c r="E146" s="319"/>
      <c r="F146" s="321"/>
      <c r="G146" s="319"/>
      <c r="H146" s="324"/>
      <c r="I146" s="324"/>
      <c r="J146" s="324"/>
      <c r="K146" s="309"/>
      <c r="L146" s="311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</row>
    <row r="147" spans="1:25" ht="18.75" customHeight="1">
      <c r="A147" s="327"/>
      <c r="B147" s="328"/>
      <c r="C147" s="329"/>
      <c r="D147" s="330"/>
      <c r="E147" s="331"/>
      <c r="F147" s="329"/>
      <c r="G147" s="331"/>
      <c r="H147" s="27"/>
      <c r="I147" s="28"/>
      <c r="J147" s="29"/>
      <c r="K147" s="30"/>
      <c r="L147" s="31">
        <f t="shared" ref="L147:L179" si="1">J147*K147</f>
        <v>0</v>
      </c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</row>
    <row r="148" spans="1:25" ht="18.75" customHeight="1">
      <c r="A148" s="298"/>
      <c r="B148" s="299"/>
      <c r="C148" s="300"/>
      <c r="D148" s="301"/>
      <c r="E148" s="302"/>
      <c r="F148" s="300"/>
      <c r="G148" s="302"/>
      <c r="H148" s="20"/>
      <c r="I148" s="16"/>
      <c r="J148" s="17"/>
      <c r="K148" s="21"/>
      <c r="L148" s="14">
        <f t="shared" si="1"/>
        <v>0</v>
      </c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</row>
    <row r="149" spans="1:25" ht="18.75" customHeight="1">
      <c r="A149" s="298"/>
      <c r="B149" s="299"/>
      <c r="C149" s="300"/>
      <c r="D149" s="301"/>
      <c r="E149" s="302"/>
      <c r="F149" s="300"/>
      <c r="G149" s="302"/>
      <c r="H149" s="20"/>
      <c r="I149" s="16"/>
      <c r="J149" s="17"/>
      <c r="K149" s="21"/>
      <c r="L149" s="14">
        <f t="shared" si="1"/>
        <v>0</v>
      </c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</row>
    <row r="150" spans="1:25" ht="18.75" customHeight="1">
      <c r="A150" s="298"/>
      <c r="B150" s="299"/>
      <c r="C150" s="300"/>
      <c r="D150" s="301"/>
      <c r="E150" s="302"/>
      <c r="F150" s="300"/>
      <c r="G150" s="302"/>
      <c r="H150" s="20"/>
      <c r="I150" s="16"/>
      <c r="J150" s="17"/>
      <c r="K150" s="21"/>
      <c r="L150" s="14">
        <f t="shared" si="1"/>
        <v>0</v>
      </c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</row>
    <row r="151" spans="1:25" ht="18.75" customHeight="1">
      <c r="A151" s="298"/>
      <c r="B151" s="299"/>
      <c r="C151" s="300"/>
      <c r="D151" s="301"/>
      <c r="E151" s="302"/>
      <c r="F151" s="300"/>
      <c r="G151" s="302"/>
      <c r="H151" s="20"/>
      <c r="I151" s="16"/>
      <c r="J151" s="17"/>
      <c r="K151" s="21"/>
      <c r="L151" s="14">
        <f t="shared" si="1"/>
        <v>0</v>
      </c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</row>
    <row r="152" spans="1:25" ht="18.75" customHeight="1">
      <c r="A152" s="298"/>
      <c r="B152" s="299"/>
      <c r="C152" s="300"/>
      <c r="D152" s="301"/>
      <c r="E152" s="302"/>
      <c r="F152" s="300"/>
      <c r="G152" s="302"/>
      <c r="H152" s="20"/>
      <c r="I152" s="16"/>
      <c r="J152" s="17"/>
      <c r="K152" s="21"/>
      <c r="L152" s="14">
        <f t="shared" si="1"/>
        <v>0</v>
      </c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</row>
    <row r="153" spans="1:25" ht="24.75" customHeight="1">
      <c r="A153" s="298"/>
      <c r="B153" s="299"/>
      <c r="C153" s="300"/>
      <c r="D153" s="301"/>
      <c r="E153" s="302"/>
      <c r="F153" s="300"/>
      <c r="G153" s="302"/>
      <c r="H153" s="20"/>
      <c r="I153" s="16"/>
      <c r="J153" s="17"/>
      <c r="K153" s="21"/>
      <c r="L153" s="14">
        <f t="shared" si="1"/>
        <v>0</v>
      </c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</row>
    <row r="154" spans="1:25" ht="18.75">
      <c r="A154" s="298"/>
      <c r="B154" s="299"/>
      <c r="C154" s="300"/>
      <c r="D154" s="301"/>
      <c r="E154" s="302"/>
      <c r="F154" s="300"/>
      <c r="G154" s="302"/>
      <c r="H154" s="20"/>
      <c r="I154" s="16"/>
      <c r="J154" s="17"/>
      <c r="K154" s="21"/>
      <c r="L154" s="14">
        <f t="shared" si="1"/>
        <v>0</v>
      </c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24" customHeight="1">
      <c r="A155" s="298"/>
      <c r="B155" s="299"/>
      <c r="C155" s="300"/>
      <c r="D155" s="301"/>
      <c r="E155" s="302"/>
      <c r="F155" s="300"/>
      <c r="G155" s="302"/>
      <c r="H155" s="20"/>
      <c r="I155" s="16"/>
      <c r="J155" s="17"/>
      <c r="K155" s="21"/>
      <c r="L155" s="14">
        <f t="shared" si="1"/>
        <v>0</v>
      </c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21.75" customHeight="1">
      <c r="A156" s="298"/>
      <c r="B156" s="299"/>
      <c r="C156" s="300"/>
      <c r="D156" s="301"/>
      <c r="E156" s="302"/>
      <c r="F156" s="300"/>
      <c r="G156" s="302"/>
      <c r="H156" s="20"/>
      <c r="I156" s="16"/>
      <c r="J156" s="17"/>
      <c r="K156" s="21"/>
      <c r="L156" s="14">
        <f t="shared" si="1"/>
        <v>0</v>
      </c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8.75" customHeight="1">
      <c r="A157" s="298"/>
      <c r="B157" s="299"/>
      <c r="C157" s="300"/>
      <c r="D157" s="301"/>
      <c r="E157" s="302"/>
      <c r="F157" s="300"/>
      <c r="G157" s="302"/>
      <c r="H157" s="20"/>
      <c r="I157" s="16"/>
      <c r="J157" s="17"/>
      <c r="K157" s="21"/>
      <c r="L157" s="14">
        <f t="shared" si="1"/>
        <v>0</v>
      </c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8.75" customHeight="1">
      <c r="A158" s="298"/>
      <c r="B158" s="299"/>
      <c r="C158" s="300"/>
      <c r="D158" s="301"/>
      <c r="E158" s="302"/>
      <c r="F158" s="300"/>
      <c r="G158" s="302"/>
      <c r="H158" s="20"/>
      <c r="I158" s="16"/>
      <c r="J158" s="17"/>
      <c r="K158" s="21"/>
      <c r="L158" s="14">
        <f t="shared" si="1"/>
        <v>0</v>
      </c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8.75" customHeight="1">
      <c r="A159" s="298"/>
      <c r="B159" s="299"/>
      <c r="C159" s="300"/>
      <c r="D159" s="301"/>
      <c r="E159" s="302"/>
      <c r="F159" s="300"/>
      <c r="G159" s="302"/>
      <c r="H159" s="20"/>
      <c r="I159" s="16"/>
      <c r="J159" s="17"/>
      <c r="K159" s="21"/>
      <c r="L159" s="14">
        <f t="shared" si="1"/>
        <v>0</v>
      </c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8.75" customHeight="1">
      <c r="A160" s="298"/>
      <c r="B160" s="299"/>
      <c r="C160" s="300"/>
      <c r="D160" s="301"/>
      <c r="E160" s="302"/>
      <c r="F160" s="300"/>
      <c r="G160" s="302"/>
      <c r="H160" s="20"/>
      <c r="I160" s="16"/>
      <c r="J160" s="17"/>
      <c r="K160" s="21"/>
      <c r="L160" s="14">
        <f t="shared" si="1"/>
        <v>0</v>
      </c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8.75" customHeight="1">
      <c r="A161" s="298"/>
      <c r="B161" s="299"/>
      <c r="C161" s="300"/>
      <c r="D161" s="301"/>
      <c r="E161" s="302"/>
      <c r="F161" s="300"/>
      <c r="G161" s="302"/>
      <c r="H161" s="20"/>
      <c r="I161" s="16"/>
      <c r="J161" s="17"/>
      <c r="K161" s="21"/>
      <c r="L161" s="14">
        <f t="shared" si="1"/>
        <v>0</v>
      </c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8.75" customHeight="1">
      <c r="A162" s="298"/>
      <c r="B162" s="299"/>
      <c r="C162" s="300"/>
      <c r="D162" s="301"/>
      <c r="E162" s="302"/>
      <c r="F162" s="300"/>
      <c r="G162" s="302"/>
      <c r="H162" s="20"/>
      <c r="I162" s="16"/>
      <c r="J162" s="17"/>
      <c r="K162" s="21"/>
      <c r="L162" s="14">
        <f t="shared" si="1"/>
        <v>0</v>
      </c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8.75" customHeight="1">
      <c r="A163" s="298"/>
      <c r="B163" s="299"/>
      <c r="C163" s="300"/>
      <c r="D163" s="301"/>
      <c r="E163" s="302"/>
      <c r="F163" s="300"/>
      <c r="G163" s="302"/>
      <c r="H163" s="20"/>
      <c r="I163" s="16"/>
      <c r="J163" s="17"/>
      <c r="K163" s="21"/>
      <c r="L163" s="14">
        <f t="shared" si="1"/>
        <v>0</v>
      </c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8.75" customHeight="1">
      <c r="A164" s="298"/>
      <c r="B164" s="299"/>
      <c r="C164" s="300"/>
      <c r="D164" s="301"/>
      <c r="E164" s="302"/>
      <c r="F164" s="300"/>
      <c r="G164" s="302"/>
      <c r="H164" s="20"/>
      <c r="I164" s="16"/>
      <c r="J164" s="17"/>
      <c r="K164" s="21"/>
      <c r="L164" s="14">
        <f t="shared" si="1"/>
        <v>0</v>
      </c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8.75" customHeight="1">
      <c r="A165" s="298"/>
      <c r="B165" s="299"/>
      <c r="C165" s="300"/>
      <c r="D165" s="301"/>
      <c r="E165" s="302"/>
      <c r="F165" s="300"/>
      <c r="G165" s="302"/>
      <c r="H165" s="20"/>
      <c r="I165" s="16"/>
      <c r="J165" s="17"/>
      <c r="K165" s="21"/>
      <c r="L165" s="14">
        <f t="shared" si="1"/>
        <v>0</v>
      </c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8.75" customHeight="1">
      <c r="A166" s="298"/>
      <c r="B166" s="299"/>
      <c r="C166" s="300"/>
      <c r="D166" s="301"/>
      <c r="E166" s="302"/>
      <c r="F166" s="300"/>
      <c r="G166" s="302"/>
      <c r="H166" s="20"/>
      <c r="I166" s="16"/>
      <c r="J166" s="17"/>
      <c r="K166" s="21"/>
      <c r="L166" s="14">
        <f t="shared" si="1"/>
        <v>0</v>
      </c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8.75" customHeight="1">
      <c r="A167" s="298"/>
      <c r="B167" s="299"/>
      <c r="C167" s="300"/>
      <c r="D167" s="301"/>
      <c r="E167" s="302"/>
      <c r="F167" s="300"/>
      <c r="G167" s="302"/>
      <c r="H167" s="20"/>
      <c r="I167" s="16"/>
      <c r="J167" s="17"/>
      <c r="K167" s="21"/>
      <c r="L167" s="14">
        <f t="shared" si="1"/>
        <v>0</v>
      </c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8.75" customHeight="1">
      <c r="A168" s="298"/>
      <c r="B168" s="299"/>
      <c r="C168" s="300"/>
      <c r="D168" s="301"/>
      <c r="E168" s="302"/>
      <c r="F168" s="300"/>
      <c r="G168" s="302"/>
      <c r="H168" s="20"/>
      <c r="I168" s="16"/>
      <c r="J168" s="17"/>
      <c r="K168" s="21"/>
      <c r="L168" s="14">
        <f t="shared" si="1"/>
        <v>0</v>
      </c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8.75" customHeight="1">
      <c r="A169" s="298"/>
      <c r="B169" s="299"/>
      <c r="C169" s="300"/>
      <c r="D169" s="301"/>
      <c r="E169" s="302"/>
      <c r="F169" s="300"/>
      <c r="G169" s="302"/>
      <c r="H169" s="20"/>
      <c r="I169" s="16"/>
      <c r="J169" s="17"/>
      <c r="K169" s="21"/>
      <c r="L169" s="14">
        <f t="shared" si="1"/>
        <v>0</v>
      </c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8.75" customHeight="1">
      <c r="A170" s="298"/>
      <c r="B170" s="299"/>
      <c r="C170" s="300"/>
      <c r="D170" s="301"/>
      <c r="E170" s="302"/>
      <c r="F170" s="300"/>
      <c r="G170" s="302"/>
      <c r="H170" s="20"/>
      <c r="I170" s="16"/>
      <c r="J170" s="17"/>
      <c r="K170" s="21"/>
      <c r="L170" s="14">
        <f t="shared" si="1"/>
        <v>0</v>
      </c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8.75" customHeight="1">
      <c r="A171" s="298"/>
      <c r="B171" s="299"/>
      <c r="C171" s="300"/>
      <c r="D171" s="301"/>
      <c r="E171" s="302"/>
      <c r="F171" s="300"/>
      <c r="G171" s="302"/>
      <c r="H171" s="20"/>
      <c r="I171" s="16"/>
      <c r="J171" s="17"/>
      <c r="K171" s="21"/>
      <c r="L171" s="14">
        <f t="shared" si="1"/>
        <v>0</v>
      </c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8.75" customHeight="1">
      <c r="A172" s="298"/>
      <c r="B172" s="299"/>
      <c r="C172" s="300"/>
      <c r="D172" s="301"/>
      <c r="E172" s="302"/>
      <c r="F172" s="300"/>
      <c r="G172" s="302"/>
      <c r="H172" s="20"/>
      <c r="I172" s="16"/>
      <c r="J172" s="17"/>
      <c r="K172" s="21"/>
      <c r="L172" s="14">
        <f t="shared" si="1"/>
        <v>0</v>
      </c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8.75" customHeight="1">
      <c r="A173" s="298"/>
      <c r="B173" s="299"/>
      <c r="C173" s="300"/>
      <c r="D173" s="301"/>
      <c r="E173" s="302"/>
      <c r="F173" s="300"/>
      <c r="G173" s="302"/>
      <c r="H173" s="20"/>
      <c r="I173" s="16"/>
      <c r="J173" s="17"/>
      <c r="K173" s="21"/>
      <c r="L173" s="14">
        <f t="shared" si="1"/>
        <v>0</v>
      </c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8.75" customHeight="1">
      <c r="A174" s="298"/>
      <c r="B174" s="299"/>
      <c r="C174" s="300"/>
      <c r="D174" s="301"/>
      <c r="E174" s="302"/>
      <c r="F174" s="300"/>
      <c r="G174" s="302"/>
      <c r="H174" s="20"/>
      <c r="I174" s="16"/>
      <c r="J174" s="17"/>
      <c r="K174" s="21"/>
      <c r="L174" s="14">
        <f t="shared" si="1"/>
        <v>0</v>
      </c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8.75" customHeight="1">
      <c r="A175" s="298"/>
      <c r="B175" s="299"/>
      <c r="C175" s="300"/>
      <c r="D175" s="301"/>
      <c r="E175" s="302"/>
      <c r="F175" s="300"/>
      <c r="G175" s="302"/>
      <c r="H175" s="20"/>
      <c r="I175" s="16"/>
      <c r="J175" s="17"/>
      <c r="K175" s="21"/>
      <c r="L175" s="14">
        <f t="shared" si="1"/>
        <v>0</v>
      </c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8.75" customHeight="1">
      <c r="A176" s="298"/>
      <c r="B176" s="299"/>
      <c r="C176" s="300"/>
      <c r="D176" s="301"/>
      <c r="E176" s="302"/>
      <c r="F176" s="300"/>
      <c r="G176" s="302"/>
      <c r="H176" s="20"/>
      <c r="I176" s="16"/>
      <c r="J176" s="17"/>
      <c r="K176" s="21"/>
      <c r="L176" s="14">
        <f t="shared" si="1"/>
        <v>0</v>
      </c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8.75" customHeight="1">
      <c r="A177" s="298"/>
      <c r="B177" s="299"/>
      <c r="C177" s="300"/>
      <c r="D177" s="301"/>
      <c r="E177" s="302"/>
      <c r="F177" s="300"/>
      <c r="G177" s="302"/>
      <c r="H177" s="20"/>
      <c r="I177" s="16"/>
      <c r="J177" s="17"/>
      <c r="K177" s="21"/>
      <c r="L177" s="14">
        <f t="shared" si="1"/>
        <v>0</v>
      </c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8.75" customHeight="1">
      <c r="A178" s="298"/>
      <c r="B178" s="299"/>
      <c r="C178" s="300"/>
      <c r="D178" s="301"/>
      <c r="E178" s="302"/>
      <c r="F178" s="300"/>
      <c r="G178" s="302"/>
      <c r="H178" s="20"/>
      <c r="I178" s="16"/>
      <c r="J178" s="17"/>
      <c r="K178" s="21"/>
      <c r="L178" s="14">
        <f t="shared" si="1"/>
        <v>0</v>
      </c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8.75" customHeight="1" thickBot="1">
      <c r="A179" s="303"/>
      <c r="B179" s="304"/>
      <c r="C179" s="305"/>
      <c r="D179" s="306"/>
      <c r="E179" s="307"/>
      <c r="F179" s="305"/>
      <c r="G179" s="307"/>
      <c r="H179" s="22"/>
      <c r="I179" s="23"/>
      <c r="J179" s="24"/>
      <c r="K179" s="25"/>
      <c r="L179" s="26">
        <f t="shared" si="1"/>
        <v>0</v>
      </c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8.75" customHeight="1" thickBo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8.75" customHeight="1">
      <c r="A181" s="290" t="s">
        <v>87</v>
      </c>
      <c r="B181" s="291"/>
      <c r="C181" s="291"/>
      <c r="D181" s="291"/>
      <c r="E181" s="291"/>
      <c r="F181" s="291"/>
      <c r="G181" s="291"/>
      <c r="H181" s="291"/>
      <c r="I181" s="291"/>
      <c r="J181" s="292"/>
      <c r="K181" s="293">
        <f>SUM(K182,K183,K184,K185)</f>
        <v>0</v>
      </c>
      <c r="L181" s="294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8.75" customHeight="1">
      <c r="A182" s="295" t="s">
        <v>88</v>
      </c>
      <c r="B182" s="296"/>
      <c r="C182" s="296"/>
      <c r="D182" s="296"/>
      <c r="E182" s="296"/>
      <c r="F182" s="296"/>
      <c r="G182" s="296"/>
      <c r="H182" s="296"/>
      <c r="I182" s="296"/>
      <c r="J182" s="297"/>
      <c r="K182" s="269"/>
      <c r="L182" s="270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8.75" customHeight="1">
      <c r="A183" s="295" t="s">
        <v>89</v>
      </c>
      <c r="B183" s="296"/>
      <c r="C183" s="296"/>
      <c r="D183" s="296"/>
      <c r="E183" s="296"/>
      <c r="F183" s="296"/>
      <c r="G183" s="296"/>
      <c r="H183" s="296"/>
      <c r="I183" s="296"/>
      <c r="J183" s="297"/>
      <c r="K183" s="269"/>
      <c r="L183" s="270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8.75" customHeight="1">
      <c r="A184" s="295" t="s">
        <v>90</v>
      </c>
      <c r="B184" s="296"/>
      <c r="C184" s="296"/>
      <c r="D184" s="296"/>
      <c r="E184" s="296"/>
      <c r="F184" s="296"/>
      <c r="G184" s="296"/>
      <c r="H184" s="296"/>
      <c r="I184" s="296"/>
      <c r="J184" s="297"/>
      <c r="K184" s="269"/>
      <c r="L184" s="270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8.75" customHeight="1">
      <c r="A185" s="295" t="s">
        <v>91</v>
      </c>
      <c r="B185" s="296"/>
      <c r="C185" s="296"/>
      <c r="D185" s="296"/>
      <c r="E185" s="296"/>
      <c r="F185" s="296"/>
      <c r="G185" s="296"/>
      <c r="H185" s="296"/>
      <c r="I185" s="296"/>
      <c r="J185" s="297"/>
      <c r="K185" s="269"/>
      <c r="L185" s="270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8.75" customHeight="1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3"/>
      <c r="L186" s="33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8.75" customHeight="1">
      <c r="A187" s="200" t="s">
        <v>92</v>
      </c>
      <c r="B187" s="201"/>
      <c r="C187" s="201"/>
      <c r="D187" s="201"/>
      <c r="E187" s="201"/>
      <c r="F187" s="201"/>
      <c r="G187" s="201"/>
      <c r="H187" s="201"/>
      <c r="I187" s="201"/>
      <c r="J187" s="202"/>
      <c r="K187" s="288">
        <f>SUM(K189:L231)</f>
        <v>0</v>
      </c>
      <c r="L187" s="289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8.75" customHeight="1" thickBot="1">
      <c r="A188" s="203"/>
      <c r="B188" s="204"/>
      <c r="C188" s="204"/>
      <c r="D188" s="204"/>
      <c r="E188" s="204"/>
      <c r="F188" s="204"/>
      <c r="G188" s="204"/>
      <c r="H188" s="204"/>
      <c r="I188" s="204"/>
      <c r="J188" s="205"/>
      <c r="K188" s="284"/>
      <c r="L188" s="285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8.75" customHeight="1">
      <c r="A189" s="34" t="s">
        <v>93</v>
      </c>
      <c r="B189" s="35"/>
      <c r="C189" s="35"/>
      <c r="D189" s="35"/>
      <c r="E189" s="35"/>
      <c r="F189" s="35"/>
      <c r="G189" s="35"/>
      <c r="H189" s="35"/>
      <c r="I189" s="35"/>
      <c r="J189" s="36"/>
      <c r="K189" s="286"/>
      <c r="L189" s="287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8.75" customHeight="1">
      <c r="A190" s="37" t="s">
        <v>94</v>
      </c>
      <c r="B190" s="38"/>
      <c r="C190" s="38"/>
      <c r="D190" s="38"/>
      <c r="E190" s="38"/>
      <c r="F190" s="38"/>
      <c r="G190" s="38"/>
      <c r="H190" s="38"/>
      <c r="I190" s="38"/>
      <c r="J190" s="39"/>
      <c r="K190" s="269"/>
      <c r="L190" s="270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8.75" customHeight="1">
      <c r="A191" s="37" t="s">
        <v>95</v>
      </c>
      <c r="B191" s="38"/>
      <c r="C191" s="38"/>
      <c r="D191" s="38"/>
      <c r="E191" s="38"/>
      <c r="F191" s="38"/>
      <c r="G191" s="38"/>
      <c r="H191" s="38"/>
      <c r="I191" s="38"/>
      <c r="J191" s="39"/>
      <c r="K191" s="269"/>
      <c r="L191" s="270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8.75" customHeight="1">
      <c r="A192" s="37" t="s">
        <v>96</v>
      </c>
      <c r="B192" s="38"/>
      <c r="C192" s="38"/>
      <c r="D192" s="38"/>
      <c r="E192" s="38"/>
      <c r="F192" s="38"/>
      <c r="G192" s="38"/>
      <c r="H192" s="38"/>
      <c r="I192" s="38"/>
      <c r="J192" s="39"/>
      <c r="K192" s="269"/>
      <c r="L192" s="270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8.75" customHeight="1">
      <c r="A193" s="37" t="s">
        <v>97</v>
      </c>
      <c r="B193" s="38"/>
      <c r="C193" s="38"/>
      <c r="D193" s="38"/>
      <c r="E193" s="38"/>
      <c r="F193" s="38"/>
      <c r="G193" s="38"/>
      <c r="H193" s="38"/>
      <c r="I193" s="38"/>
      <c r="J193" s="39"/>
      <c r="K193" s="269"/>
      <c r="L193" s="270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8.75" customHeight="1">
      <c r="A194" s="37" t="s">
        <v>98</v>
      </c>
      <c r="B194" s="38"/>
      <c r="C194" s="38"/>
      <c r="D194" s="38"/>
      <c r="E194" s="38"/>
      <c r="F194" s="38"/>
      <c r="G194" s="38"/>
      <c r="H194" s="38"/>
      <c r="I194" s="38"/>
      <c r="J194" s="39"/>
      <c r="K194" s="269"/>
      <c r="L194" s="270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8.75" customHeight="1">
      <c r="A195" s="37" t="s">
        <v>99</v>
      </c>
      <c r="B195" s="38"/>
      <c r="C195" s="38"/>
      <c r="D195" s="38"/>
      <c r="E195" s="38"/>
      <c r="F195" s="38"/>
      <c r="G195" s="38"/>
      <c r="H195" s="38"/>
      <c r="I195" s="38"/>
      <c r="J195" s="39"/>
      <c r="K195" s="269"/>
      <c r="L195" s="270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8.75" customHeight="1">
      <c r="A196" s="37" t="s">
        <v>100</v>
      </c>
      <c r="B196" s="38"/>
      <c r="C196" s="38"/>
      <c r="D196" s="38"/>
      <c r="E196" s="38"/>
      <c r="F196" s="38"/>
      <c r="G196" s="38"/>
      <c r="H196" s="38"/>
      <c r="I196" s="38"/>
      <c r="J196" s="39"/>
      <c r="K196" s="269"/>
      <c r="L196" s="270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8.75" customHeight="1">
      <c r="A197" s="37" t="s">
        <v>101</v>
      </c>
      <c r="B197" s="38"/>
      <c r="C197" s="38"/>
      <c r="D197" s="38"/>
      <c r="E197" s="38"/>
      <c r="F197" s="38"/>
      <c r="G197" s="38"/>
      <c r="H197" s="38"/>
      <c r="I197" s="38"/>
      <c r="J197" s="39"/>
      <c r="K197" s="269"/>
      <c r="L197" s="270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8.75" customHeight="1">
      <c r="A198" s="37" t="s">
        <v>102</v>
      </c>
      <c r="B198" s="38"/>
      <c r="C198" s="38"/>
      <c r="D198" s="38"/>
      <c r="E198" s="38"/>
      <c r="F198" s="38"/>
      <c r="G198" s="38"/>
      <c r="H198" s="38"/>
      <c r="I198" s="38"/>
      <c r="J198" s="39"/>
      <c r="K198" s="269"/>
      <c r="L198" s="270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8.75" customHeight="1">
      <c r="A199" s="37" t="s">
        <v>103</v>
      </c>
      <c r="B199" s="38"/>
      <c r="C199" s="38"/>
      <c r="D199" s="38"/>
      <c r="E199" s="38"/>
      <c r="F199" s="38"/>
      <c r="G199" s="38"/>
      <c r="H199" s="38"/>
      <c r="I199" s="38"/>
      <c r="J199" s="39"/>
      <c r="K199" s="269"/>
      <c r="L199" s="270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8.75" customHeight="1">
      <c r="A200" s="37" t="s">
        <v>104</v>
      </c>
      <c r="B200" s="38"/>
      <c r="C200" s="38"/>
      <c r="D200" s="38"/>
      <c r="E200" s="38"/>
      <c r="F200" s="38"/>
      <c r="G200" s="38"/>
      <c r="H200" s="38"/>
      <c r="I200" s="38"/>
      <c r="J200" s="39"/>
      <c r="K200" s="269"/>
      <c r="L200" s="270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8.75" customHeight="1">
      <c r="A201" s="37" t="s">
        <v>105</v>
      </c>
      <c r="B201" s="38"/>
      <c r="C201" s="38"/>
      <c r="D201" s="38"/>
      <c r="E201" s="38"/>
      <c r="F201" s="38"/>
      <c r="G201" s="38"/>
      <c r="H201" s="38"/>
      <c r="I201" s="38"/>
      <c r="J201" s="39"/>
      <c r="K201" s="269"/>
      <c r="L201" s="270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8.75" customHeight="1">
      <c r="A202" s="37" t="s">
        <v>106</v>
      </c>
      <c r="B202" s="38"/>
      <c r="C202" s="38"/>
      <c r="D202" s="38"/>
      <c r="E202" s="38"/>
      <c r="F202" s="38"/>
      <c r="G202" s="38"/>
      <c r="H202" s="38"/>
      <c r="I202" s="38"/>
      <c r="J202" s="39"/>
      <c r="K202" s="269"/>
      <c r="L202" s="270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8.75" customHeight="1">
      <c r="A203" s="37" t="s">
        <v>107</v>
      </c>
      <c r="B203" s="38"/>
      <c r="C203" s="38"/>
      <c r="D203" s="38"/>
      <c r="E203" s="38"/>
      <c r="F203" s="38"/>
      <c r="G203" s="38"/>
      <c r="H203" s="38"/>
      <c r="I203" s="38"/>
      <c r="J203" s="39"/>
      <c r="K203" s="269"/>
      <c r="L203" s="270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8.75" customHeight="1">
      <c r="A204" s="37" t="s">
        <v>108</v>
      </c>
      <c r="B204" s="38"/>
      <c r="C204" s="38"/>
      <c r="D204" s="38"/>
      <c r="E204" s="38"/>
      <c r="F204" s="38"/>
      <c r="G204" s="38"/>
      <c r="H204" s="38"/>
      <c r="I204" s="38"/>
      <c r="J204" s="39"/>
      <c r="K204" s="269"/>
      <c r="L204" s="270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8.75" customHeight="1">
      <c r="A205" s="37" t="s">
        <v>109</v>
      </c>
      <c r="B205" s="38"/>
      <c r="C205" s="38"/>
      <c r="D205" s="38"/>
      <c r="E205" s="38"/>
      <c r="F205" s="38"/>
      <c r="G205" s="38"/>
      <c r="H205" s="38"/>
      <c r="I205" s="38"/>
      <c r="J205" s="39"/>
      <c r="K205" s="269"/>
      <c r="L205" s="270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8.75" customHeight="1">
      <c r="A206" s="37" t="s">
        <v>110</v>
      </c>
      <c r="B206" s="38"/>
      <c r="C206" s="38"/>
      <c r="D206" s="38"/>
      <c r="E206" s="38"/>
      <c r="F206" s="38"/>
      <c r="G206" s="38"/>
      <c r="H206" s="38"/>
      <c r="I206" s="38"/>
      <c r="J206" s="39"/>
      <c r="K206" s="269"/>
      <c r="L206" s="270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8.75" customHeight="1">
      <c r="A207" s="37" t="s">
        <v>111</v>
      </c>
      <c r="B207" s="38"/>
      <c r="C207" s="38"/>
      <c r="D207" s="38"/>
      <c r="E207" s="38"/>
      <c r="F207" s="38"/>
      <c r="G207" s="38"/>
      <c r="H207" s="38"/>
      <c r="I207" s="38"/>
      <c r="J207" s="39"/>
      <c r="K207" s="269"/>
      <c r="L207" s="270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8.75" customHeight="1">
      <c r="A208" s="37" t="s">
        <v>112</v>
      </c>
      <c r="B208" s="38"/>
      <c r="C208" s="38"/>
      <c r="D208" s="38"/>
      <c r="E208" s="38"/>
      <c r="F208" s="38"/>
      <c r="G208" s="38"/>
      <c r="H208" s="38"/>
      <c r="I208" s="38"/>
      <c r="J208" s="39"/>
      <c r="K208" s="269"/>
      <c r="L208" s="270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8.75" customHeight="1">
      <c r="A209" s="37" t="s">
        <v>113</v>
      </c>
      <c r="B209" s="38"/>
      <c r="C209" s="38"/>
      <c r="D209" s="38"/>
      <c r="E209" s="38"/>
      <c r="F209" s="38"/>
      <c r="G209" s="38"/>
      <c r="H209" s="38"/>
      <c r="I209" s="38"/>
      <c r="J209" s="39"/>
      <c r="K209" s="269"/>
      <c r="L209" s="270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8.75" customHeight="1">
      <c r="A210" s="37" t="s">
        <v>114</v>
      </c>
      <c r="B210" s="38"/>
      <c r="C210" s="38"/>
      <c r="D210" s="38"/>
      <c r="E210" s="38"/>
      <c r="F210" s="38"/>
      <c r="G210" s="38"/>
      <c r="H210" s="38"/>
      <c r="I210" s="38"/>
      <c r="J210" s="39"/>
      <c r="K210" s="269"/>
      <c r="L210" s="270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8.75" customHeight="1">
      <c r="A211" s="37" t="s">
        <v>115</v>
      </c>
      <c r="B211" s="38"/>
      <c r="C211" s="38"/>
      <c r="D211" s="38"/>
      <c r="E211" s="38"/>
      <c r="F211" s="38"/>
      <c r="G211" s="38"/>
      <c r="H211" s="38"/>
      <c r="I211" s="38"/>
      <c r="J211" s="39"/>
      <c r="K211" s="269"/>
      <c r="L211" s="270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8.75" customHeight="1">
      <c r="A212" s="37" t="s">
        <v>116</v>
      </c>
      <c r="B212" s="38"/>
      <c r="C212" s="38"/>
      <c r="D212" s="38"/>
      <c r="E212" s="38"/>
      <c r="F212" s="38"/>
      <c r="G212" s="38"/>
      <c r="H212" s="38"/>
      <c r="I212" s="38"/>
      <c r="J212" s="39"/>
      <c r="K212" s="269"/>
      <c r="L212" s="270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8.75" customHeight="1">
      <c r="A213" s="37" t="s">
        <v>117</v>
      </c>
      <c r="B213" s="38"/>
      <c r="C213" s="38"/>
      <c r="D213" s="38"/>
      <c r="E213" s="38"/>
      <c r="F213" s="38"/>
      <c r="G213" s="38"/>
      <c r="H213" s="38"/>
      <c r="I213" s="38"/>
      <c r="J213" s="39"/>
      <c r="K213" s="269"/>
      <c r="L213" s="270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8.75" customHeight="1">
      <c r="A214" s="37" t="s">
        <v>118</v>
      </c>
      <c r="B214" s="38"/>
      <c r="C214" s="38"/>
      <c r="D214" s="38"/>
      <c r="E214" s="38"/>
      <c r="F214" s="38"/>
      <c r="G214" s="38"/>
      <c r="H214" s="38"/>
      <c r="I214" s="38"/>
      <c r="J214" s="39"/>
      <c r="K214" s="269"/>
      <c r="L214" s="270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8.75" customHeight="1">
      <c r="A215" s="37" t="s">
        <v>119</v>
      </c>
      <c r="B215" s="38"/>
      <c r="C215" s="38"/>
      <c r="D215" s="38"/>
      <c r="E215" s="38"/>
      <c r="F215" s="38"/>
      <c r="G215" s="38"/>
      <c r="H215" s="38"/>
      <c r="I215" s="38"/>
      <c r="J215" s="39"/>
      <c r="K215" s="269"/>
      <c r="L215" s="270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8.75" customHeight="1">
      <c r="A216" s="37" t="s">
        <v>120</v>
      </c>
      <c r="B216" s="38"/>
      <c r="C216" s="38"/>
      <c r="D216" s="38"/>
      <c r="E216" s="38"/>
      <c r="F216" s="38"/>
      <c r="G216" s="38"/>
      <c r="H216" s="38"/>
      <c r="I216" s="38"/>
      <c r="J216" s="39"/>
      <c r="K216" s="269"/>
      <c r="L216" s="270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8.75" customHeight="1">
      <c r="A217" s="37" t="s">
        <v>121</v>
      </c>
      <c r="B217" s="38"/>
      <c r="C217" s="38"/>
      <c r="D217" s="38"/>
      <c r="E217" s="38"/>
      <c r="F217" s="38"/>
      <c r="G217" s="38"/>
      <c r="H217" s="38"/>
      <c r="I217" s="38"/>
      <c r="J217" s="39"/>
      <c r="K217" s="269"/>
      <c r="L217" s="270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8.75" customHeight="1">
      <c r="A218" s="37" t="s">
        <v>122</v>
      </c>
      <c r="B218" s="38"/>
      <c r="C218" s="38"/>
      <c r="D218" s="38"/>
      <c r="E218" s="38"/>
      <c r="F218" s="38"/>
      <c r="G218" s="38"/>
      <c r="H218" s="38"/>
      <c r="I218" s="38"/>
      <c r="J218" s="39"/>
      <c r="K218" s="269"/>
      <c r="L218" s="270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8.75" customHeight="1">
      <c r="A219" s="37" t="s">
        <v>123</v>
      </c>
      <c r="B219" s="38"/>
      <c r="C219" s="38"/>
      <c r="D219" s="38"/>
      <c r="E219" s="38"/>
      <c r="F219" s="38"/>
      <c r="G219" s="38"/>
      <c r="H219" s="38"/>
      <c r="I219" s="38"/>
      <c r="J219" s="39"/>
      <c r="K219" s="269"/>
      <c r="L219" s="270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8.75" customHeight="1">
      <c r="A220" s="37" t="s">
        <v>124</v>
      </c>
      <c r="B220" s="38"/>
      <c r="C220" s="38"/>
      <c r="D220" s="38"/>
      <c r="E220" s="38"/>
      <c r="F220" s="38"/>
      <c r="G220" s="38"/>
      <c r="H220" s="38"/>
      <c r="I220" s="38"/>
      <c r="J220" s="39"/>
      <c r="K220" s="269"/>
      <c r="L220" s="270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8.75" customHeight="1">
      <c r="A221" s="37" t="s">
        <v>125</v>
      </c>
      <c r="B221" s="38"/>
      <c r="C221" s="38"/>
      <c r="D221" s="38"/>
      <c r="E221" s="38"/>
      <c r="F221" s="38"/>
      <c r="G221" s="38"/>
      <c r="H221" s="38"/>
      <c r="I221" s="38"/>
      <c r="J221" s="39"/>
      <c r="K221" s="269"/>
      <c r="L221" s="270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8.75" customHeight="1">
      <c r="A222" s="37" t="s">
        <v>126</v>
      </c>
      <c r="B222" s="38"/>
      <c r="C222" s="38"/>
      <c r="D222" s="38"/>
      <c r="E222" s="38"/>
      <c r="F222" s="38"/>
      <c r="G222" s="38"/>
      <c r="H222" s="38"/>
      <c r="I222" s="38"/>
      <c r="J222" s="39"/>
      <c r="K222" s="269"/>
      <c r="L222" s="270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8.75" customHeight="1">
      <c r="A223" s="37" t="s">
        <v>127</v>
      </c>
      <c r="B223" s="38"/>
      <c r="C223" s="38"/>
      <c r="D223" s="38"/>
      <c r="E223" s="38"/>
      <c r="F223" s="38"/>
      <c r="G223" s="38"/>
      <c r="H223" s="38"/>
      <c r="I223" s="38"/>
      <c r="J223" s="39"/>
      <c r="K223" s="269"/>
      <c r="L223" s="270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8.75" customHeight="1">
      <c r="A224" s="37" t="s">
        <v>128</v>
      </c>
      <c r="B224" s="38"/>
      <c r="C224" s="38"/>
      <c r="D224" s="38"/>
      <c r="E224" s="38"/>
      <c r="F224" s="38"/>
      <c r="G224" s="38"/>
      <c r="H224" s="38"/>
      <c r="I224" s="38"/>
      <c r="J224" s="39"/>
      <c r="K224" s="269"/>
      <c r="L224" s="270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8.75" customHeight="1">
      <c r="A225" s="37" t="s">
        <v>129</v>
      </c>
      <c r="B225" s="38"/>
      <c r="C225" s="38"/>
      <c r="D225" s="38"/>
      <c r="E225" s="38"/>
      <c r="F225" s="38"/>
      <c r="G225" s="38"/>
      <c r="H225" s="38"/>
      <c r="I225" s="38"/>
      <c r="J225" s="39"/>
      <c r="K225" s="269"/>
      <c r="L225" s="270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8.75" customHeight="1">
      <c r="A226" s="37" t="s">
        <v>130</v>
      </c>
      <c r="B226" s="38"/>
      <c r="C226" s="38"/>
      <c r="D226" s="38"/>
      <c r="E226" s="38"/>
      <c r="F226" s="38"/>
      <c r="G226" s="38"/>
      <c r="H226" s="38"/>
      <c r="I226" s="38"/>
      <c r="J226" s="39"/>
      <c r="K226" s="269"/>
      <c r="L226" s="270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8.75" customHeight="1">
      <c r="A227" s="37" t="s">
        <v>131</v>
      </c>
      <c r="B227" s="38"/>
      <c r="C227" s="38"/>
      <c r="D227" s="38"/>
      <c r="E227" s="38"/>
      <c r="F227" s="38"/>
      <c r="G227" s="38"/>
      <c r="H227" s="38"/>
      <c r="I227" s="38"/>
      <c r="J227" s="39"/>
      <c r="K227" s="269"/>
      <c r="L227" s="270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8.75" customHeight="1">
      <c r="A228" s="37" t="s">
        <v>132</v>
      </c>
      <c r="B228" s="38"/>
      <c r="C228" s="38"/>
      <c r="D228" s="38"/>
      <c r="E228" s="38"/>
      <c r="F228" s="38"/>
      <c r="G228" s="38"/>
      <c r="H228" s="38"/>
      <c r="I228" s="38"/>
      <c r="J228" s="39"/>
      <c r="K228" s="269"/>
      <c r="L228" s="270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8.75" customHeight="1">
      <c r="A229" s="37" t="s">
        <v>133</v>
      </c>
      <c r="B229" s="38"/>
      <c r="C229" s="38"/>
      <c r="D229" s="38"/>
      <c r="E229" s="38"/>
      <c r="F229" s="38"/>
      <c r="G229" s="38"/>
      <c r="H229" s="38"/>
      <c r="I229" s="38"/>
      <c r="J229" s="39"/>
      <c r="K229" s="269"/>
      <c r="L229" s="270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8.75" customHeight="1">
      <c r="A230" s="37" t="s">
        <v>134</v>
      </c>
      <c r="B230" s="38"/>
      <c r="C230" s="38"/>
      <c r="D230" s="38"/>
      <c r="E230" s="38"/>
      <c r="F230" s="38"/>
      <c r="G230" s="38"/>
      <c r="H230" s="38"/>
      <c r="I230" s="38"/>
      <c r="J230" s="39"/>
      <c r="K230" s="269"/>
      <c r="L230" s="270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8.75" customHeight="1" thickBot="1">
      <c r="A231" s="40" t="s">
        <v>135</v>
      </c>
      <c r="B231" s="41"/>
      <c r="C231" s="41"/>
      <c r="D231" s="41"/>
      <c r="E231" s="41"/>
      <c r="F231" s="41"/>
      <c r="G231" s="41"/>
      <c r="H231" s="41"/>
      <c r="I231" s="41"/>
      <c r="J231" s="42"/>
      <c r="K231" s="280"/>
      <c r="L231" s="28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8.75" customHeight="1" thickBo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8.75" customHeight="1">
      <c r="A233" s="217" t="s">
        <v>136</v>
      </c>
      <c r="B233" s="218"/>
      <c r="C233" s="218"/>
      <c r="D233" s="218"/>
      <c r="E233" s="218"/>
      <c r="F233" s="218"/>
      <c r="G233" s="218"/>
      <c r="H233" s="218"/>
      <c r="I233" s="218"/>
      <c r="J233" s="219"/>
      <c r="K233" s="282">
        <f>SUM(K235:L239)</f>
        <v>0</v>
      </c>
      <c r="L233" s="283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8.75" customHeight="1" thickBot="1">
      <c r="A234" s="203"/>
      <c r="B234" s="204"/>
      <c r="C234" s="204"/>
      <c r="D234" s="204"/>
      <c r="E234" s="204"/>
      <c r="F234" s="204"/>
      <c r="G234" s="204"/>
      <c r="H234" s="204"/>
      <c r="I234" s="204"/>
      <c r="J234" s="205"/>
      <c r="K234" s="284"/>
      <c r="L234" s="285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8.75" customHeight="1">
      <c r="A235" s="43" t="s">
        <v>94</v>
      </c>
      <c r="B235" s="44"/>
      <c r="C235" s="44"/>
      <c r="D235" s="44"/>
      <c r="E235" s="44"/>
      <c r="F235" s="44"/>
      <c r="G235" s="44"/>
      <c r="H235" s="44"/>
      <c r="I235" s="44"/>
      <c r="J235" s="45"/>
      <c r="K235" s="262"/>
      <c r="L235" s="263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8.75" customHeight="1">
      <c r="A236" s="37" t="s">
        <v>95</v>
      </c>
      <c r="B236" s="38"/>
      <c r="C236" s="38"/>
      <c r="D236" s="38"/>
      <c r="E236" s="38"/>
      <c r="F236" s="38"/>
      <c r="G236" s="38"/>
      <c r="H236" s="38"/>
      <c r="I236" s="38"/>
      <c r="J236" s="39"/>
      <c r="K236" s="89"/>
      <c r="L236" s="264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8.75" customHeight="1">
      <c r="A237" s="37" t="s">
        <v>137</v>
      </c>
      <c r="B237" s="38"/>
      <c r="C237" s="38"/>
      <c r="D237" s="38"/>
      <c r="E237" s="38"/>
      <c r="F237" s="38"/>
      <c r="G237" s="38"/>
      <c r="H237" s="38"/>
      <c r="I237" s="38"/>
      <c r="J237" s="39"/>
      <c r="K237" s="89"/>
      <c r="L237" s="264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8.75" customHeight="1">
      <c r="A238" s="37" t="s">
        <v>138</v>
      </c>
      <c r="B238" s="38"/>
      <c r="C238" s="38"/>
      <c r="D238" s="38"/>
      <c r="E238" s="38"/>
      <c r="F238" s="38"/>
      <c r="G238" s="38"/>
      <c r="H238" s="38"/>
      <c r="I238" s="38"/>
      <c r="J238" s="39"/>
      <c r="K238" s="89"/>
      <c r="L238" s="264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8.75" customHeight="1" thickBot="1">
      <c r="A239" s="40" t="s">
        <v>139</v>
      </c>
      <c r="B239" s="41"/>
      <c r="C239" s="41"/>
      <c r="D239" s="41"/>
      <c r="E239" s="41"/>
      <c r="F239" s="41"/>
      <c r="G239" s="41"/>
      <c r="H239" s="41"/>
      <c r="I239" s="41"/>
      <c r="J239" s="42"/>
      <c r="K239" s="105"/>
      <c r="L239" s="265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8.75" customHeight="1" thickBo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8.75" customHeight="1">
      <c r="A241" s="217" t="s">
        <v>140</v>
      </c>
      <c r="B241" s="218"/>
      <c r="C241" s="218"/>
      <c r="D241" s="218"/>
      <c r="E241" s="218"/>
      <c r="F241" s="218"/>
      <c r="G241" s="218"/>
      <c r="H241" s="218"/>
      <c r="I241" s="218"/>
      <c r="J241" s="219"/>
      <c r="K241" s="221">
        <f>SUM(K243:L247)</f>
        <v>0</v>
      </c>
      <c r="L241" s="222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8.75" customHeight="1" thickBot="1">
      <c r="A242" s="203"/>
      <c r="B242" s="204"/>
      <c r="C242" s="204"/>
      <c r="D242" s="204"/>
      <c r="E242" s="204"/>
      <c r="F242" s="204"/>
      <c r="G242" s="204"/>
      <c r="H242" s="204"/>
      <c r="I242" s="204"/>
      <c r="J242" s="205"/>
      <c r="K242" s="208"/>
      <c r="L242" s="209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8.75" customHeight="1">
      <c r="A243" s="43" t="s">
        <v>141</v>
      </c>
      <c r="B243" s="44"/>
      <c r="C243" s="44"/>
      <c r="D243" s="44"/>
      <c r="E243" s="44"/>
      <c r="F243" s="44"/>
      <c r="G243" s="44"/>
      <c r="H243" s="44"/>
      <c r="I243" s="44"/>
      <c r="J243" s="45"/>
      <c r="K243" s="286"/>
      <c r="L243" s="287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8.75" customHeight="1">
      <c r="A244" s="37" t="s">
        <v>142</v>
      </c>
      <c r="B244" s="38"/>
      <c r="C244" s="38"/>
      <c r="D244" s="38"/>
      <c r="E244" s="38"/>
      <c r="F244" s="38"/>
      <c r="G244" s="38"/>
      <c r="H244" s="38"/>
      <c r="I244" s="38"/>
      <c r="J244" s="39"/>
      <c r="K244" s="269"/>
      <c r="L244" s="270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8.75" customHeight="1">
      <c r="A245" s="37" t="s">
        <v>143</v>
      </c>
      <c r="B245" s="38"/>
      <c r="C245" s="38"/>
      <c r="D245" s="38"/>
      <c r="E245" s="38"/>
      <c r="F245" s="38"/>
      <c r="G245" s="38"/>
      <c r="H245" s="38"/>
      <c r="I245" s="38"/>
      <c r="J245" s="39"/>
      <c r="K245" s="269"/>
      <c r="L245" s="270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8.75" customHeight="1">
      <c r="A246" s="37" t="s">
        <v>144</v>
      </c>
      <c r="B246" s="38"/>
      <c r="C246" s="38"/>
      <c r="D246" s="38"/>
      <c r="E246" s="38"/>
      <c r="F246" s="38"/>
      <c r="G246" s="38"/>
      <c r="H246" s="38"/>
      <c r="I246" s="38"/>
      <c r="J246" s="39"/>
      <c r="K246" s="269"/>
      <c r="L246" s="270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8.75" customHeight="1" thickBot="1">
      <c r="A247" s="40" t="s">
        <v>145</v>
      </c>
      <c r="B247" s="41"/>
      <c r="C247" s="41"/>
      <c r="D247" s="41"/>
      <c r="E247" s="41"/>
      <c r="F247" s="41"/>
      <c r="G247" s="41"/>
      <c r="H247" s="41"/>
      <c r="I247" s="41"/>
      <c r="J247" s="42"/>
      <c r="K247" s="280"/>
      <c r="L247" s="28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8.75" customHeight="1" thickBo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8.75" customHeight="1">
      <c r="A249" s="217" t="s">
        <v>146</v>
      </c>
      <c r="B249" s="218"/>
      <c r="C249" s="218"/>
      <c r="D249" s="218"/>
      <c r="E249" s="218"/>
      <c r="F249" s="218"/>
      <c r="G249" s="218"/>
      <c r="H249" s="218"/>
      <c r="I249" s="218"/>
      <c r="J249" s="219"/>
      <c r="K249" s="282">
        <f>SUM(K251:L286)</f>
        <v>0</v>
      </c>
      <c r="L249" s="283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8.75" customHeight="1" thickBot="1">
      <c r="A250" s="203"/>
      <c r="B250" s="204"/>
      <c r="C250" s="204"/>
      <c r="D250" s="204"/>
      <c r="E250" s="204"/>
      <c r="F250" s="204"/>
      <c r="G250" s="204"/>
      <c r="H250" s="204"/>
      <c r="I250" s="204"/>
      <c r="J250" s="205"/>
      <c r="K250" s="284"/>
      <c r="L250" s="285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8.75" customHeight="1">
      <c r="A251" s="43" t="s">
        <v>147</v>
      </c>
      <c r="B251" s="44"/>
      <c r="C251" s="44"/>
      <c r="D251" s="44"/>
      <c r="E251" s="44"/>
      <c r="F251" s="44"/>
      <c r="G251" s="44"/>
      <c r="H251" s="44"/>
      <c r="I251" s="44"/>
      <c r="J251" s="45"/>
      <c r="K251" s="286"/>
      <c r="L251" s="287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8.75" customHeight="1">
      <c r="A252" s="37" t="s">
        <v>148</v>
      </c>
      <c r="B252" s="38"/>
      <c r="C252" s="38"/>
      <c r="D252" s="38"/>
      <c r="E252" s="38"/>
      <c r="F252" s="38"/>
      <c r="G252" s="38"/>
      <c r="H252" s="38"/>
      <c r="I252" s="38"/>
      <c r="J252" s="39"/>
      <c r="K252" s="269"/>
      <c r="L252" s="270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8.75" customHeight="1">
      <c r="A253" s="37" t="s">
        <v>149</v>
      </c>
      <c r="B253" s="38"/>
      <c r="C253" s="38"/>
      <c r="D253" s="38"/>
      <c r="E253" s="38"/>
      <c r="F253" s="38"/>
      <c r="G253" s="38"/>
      <c r="H253" s="38"/>
      <c r="I253" s="38"/>
      <c r="J253" s="39"/>
      <c r="K253" s="269"/>
      <c r="L253" s="270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8.75" customHeight="1">
      <c r="A254" s="37" t="s">
        <v>150</v>
      </c>
      <c r="B254" s="38"/>
      <c r="C254" s="38"/>
      <c r="D254" s="38"/>
      <c r="E254" s="38"/>
      <c r="F254" s="38"/>
      <c r="G254" s="38"/>
      <c r="H254" s="38"/>
      <c r="I254" s="38"/>
      <c r="J254" s="39"/>
      <c r="K254" s="269"/>
      <c r="L254" s="270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8.75" customHeight="1">
      <c r="A255" s="37" t="s">
        <v>151</v>
      </c>
      <c r="B255" s="38"/>
      <c r="C255" s="38"/>
      <c r="D255" s="38"/>
      <c r="E255" s="38"/>
      <c r="F255" s="38"/>
      <c r="G255" s="38"/>
      <c r="H255" s="38"/>
      <c r="I255" s="38"/>
      <c r="J255" s="39"/>
      <c r="K255" s="269"/>
      <c r="L255" s="270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8.75" customHeight="1">
      <c r="A256" s="37" t="s">
        <v>152</v>
      </c>
      <c r="B256" s="38"/>
      <c r="C256" s="38"/>
      <c r="D256" s="38"/>
      <c r="E256" s="38"/>
      <c r="F256" s="38"/>
      <c r="G256" s="38"/>
      <c r="H256" s="38"/>
      <c r="I256" s="38"/>
      <c r="J256" s="39"/>
      <c r="K256" s="269"/>
      <c r="L256" s="270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8.75" customHeight="1">
      <c r="A257" s="37" t="s">
        <v>153</v>
      </c>
      <c r="B257" s="38"/>
      <c r="C257" s="38"/>
      <c r="D257" s="38"/>
      <c r="E257" s="38"/>
      <c r="F257" s="38"/>
      <c r="G257" s="38"/>
      <c r="H257" s="38"/>
      <c r="I257" s="38"/>
      <c r="J257" s="39"/>
      <c r="K257" s="269"/>
      <c r="L257" s="270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8.75" customHeight="1">
      <c r="A258" s="266" t="s">
        <v>154</v>
      </c>
      <c r="B258" s="267"/>
      <c r="C258" s="267"/>
      <c r="D258" s="267"/>
      <c r="E258" s="267"/>
      <c r="F258" s="267"/>
      <c r="G258" s="267"/>
      <c r="H258" s="267"/>
      <c r="I258" s="267"/>
      <c r="J258" s="268"/>
      <c r="K258" s="269"/>
      <c r="L258" s="270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8.75" customHeight="1">
      <c r="A259" s="37" t="s">
        <v>155</v>
      </c>
      <c r="B259" s="38"/>
      <c r="C259" s="38"/>
      <c r="D259" s="38"/>
      <c r="E259" s="38"/>
      <c r="F259" s="38"/>
      <c r="G259" s="38"/>
      <c r="H259" s="38"/>
      <c r="I259" s="38"/>
      <c r="J259" s="39"/>
      <c r="K259" s="269"/>
      <c r="L259" s="270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8.75" customHeight="1">
      <c r="A260" s="37" t="s">
        <v>156</v>
      </c>
      <c r="B260" s="38"/>
      <c r="C260" s="38"/>
      <c r="D260" s="38"/>
      <c r="E260" s="38"/>
      <c r="F260" s="38"/>
      <c r="G260" s="38"/>
      <c r="H260" s="38"/>
      <c r="I260" s="38"/>
      <c r="J260" s="39"/>
      <c r="K260" s="269"/>
      <c r="L260" s="270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8.75" customHeight="1">
      <c r="A261" s="37" t="s">
        <v>157</v>
      </c>
      <c r="B261" s="38"/>
      <c r="C261" s="38"/>
      <c r="D261" s="38"/>
      <c r="E261" s="38"/>
      <c r="F261" s="38"/>
      <c r="G261" s="38"/>
      <c r="H261" s="38"/>
      <c r="I261" s="38"/>
      <c r="J261" s="39"/>
      <c r="K261" s="269"/>
      <c r="L261" s="270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8.75" customHeight="1">
      <c r="A262" s="37" t="s">
        <v>158</v>
      </c>
      <c r="B262" s="38"/>
      <c r="C262" s="38"/>
      <c r="D262" s="38"/>
      <c r="E262" s="38"/>
      <c r="F262" s="38"/>
      <c r="G262" s="38"/>
      <c r="H262" s="38"/>
      <c r="I262" s="38"/>
      <c r="J262" s="39"/>
      <c r="K262" s="269"/>
      <c r="L262" s="270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8.75" customHeight="1">
      <c r="A263" s="37" t="s">
        <v>159</v>
      </c>
      <c r="B263" s="38"/>
      <c r="C263" s="38"/>
      <c r="D263" s="38"/>
      <c r="E263" s="38"/>
      <c r="F263" s="38"/>
      <c r="G263" s="38"/>
      <c r="H263" s="38"/>
      <c r="I263" s="38"/>
      <c r="J263" s="39"/>
      <c r="K263" s="269"/>
      <c r="L263" s="270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8" customHeight="1">
      <c r="A264" s="37" t="s">
        <v>160</v>
      </c>
      <c r="B264" s="38"/>
      <c r="C264" s="38"/>
      <c r="D264" s="38"/>
      <c r="E264" s="38"/>
      <c r="F264" s="38"/>
      <c r="G264" s="38"/>
      <c r="H264" s="38"/>
      <c r="I264" s="38"/>
      <c r="J264" s="39"/>
      <c r="K264" s="269"/>
      <c r="L264" s="270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8.75" customHeight="1">
      <c r="A265" s="37" t="s">
        <v>161</v>
      </c>
      <c r="B265" s="38"/>
      <c r="C265" s="38"/>
      <c r="D265" s="38"/>
      <c r="E265" s="38"/>
      <c r="F265" s="38"/>
      <c r="G265" s="38"/>
      <c r="H265" s="38"/>
      <c r="I265" s="38"/>
      <c r="J265" s="39"/>
      <c r="K265" s="269"/>
      <c r="L265" s="270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8.75" customHeight="1">
      <c r="A266" s="37" t="s">
        <v>162</v>
      </c>
      <c r="B266" s="38"/>
      <c r="C266" s="38"/>
      <c r="D266" s="38"/>
      <c r="E266" s="38"/>
      <c r="F266" s="38"/>
      <c r="G266" s="38"/>
      <c r="H266" s="38"/>
      <c r="I266" s="38"/>
      <c r="J266" s="39"/>
      <c r="K266" s="269"/>
      <c r="L266" s="270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8.75" customHeight="1">
      <c r="A267" s="37" t="s">
        <v>163</v>
      </c>
      <c r="B267" s="38"/>
      <c r="C267" s="38"/>
      <c r="D267" s="38"/>
      <c r="E267" s="38"/>
      <c r="F267" s="38"/>
      <c r="G267" s="38"/>
      <c r="H267" s="38"/>
      <c r="I267" s="38"/>
      <c r="J267" s="39"/>
      <c r="K267" s="269"/>
      <c r="L267" s="270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8.75" customHeight="1">
      <c r="A268" s="37" t="s">
        <v>164</v>
      </c>
      <c r="B268" s="38"/>
      <c r="C268" s="38"/>
      <c r="D268" s="38"/>
      <c r="E268" s="38"/>
      <c r="F268" s="38"/>
      <c r="G268" s="38"/>
      <c r="H268" s="38"/>
      <c r="I268" s="38"/>
      <c r="J268" s="39"/>
      <c r="K268" s="269"/>
      <c r="L268" s="270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8.75" customHeight="1">
      <c r="A269" s="37" t="s">
        <v>165</v>
      </c>
      <c r="B269" s="38"/>
      <c r="C269" s="38"/>
      <c r="D269" s="38"/>
      <c r="E269" s="38"/>
      <c r="F269" s="38"/>
      <c r="G269" s="38"/>
      <c r="H269" s="38"/>
      <c r="I269" s="38"/>
      <c r="J269" s="39"/>
      <c r="K269" s="269"/>
      <c r="L269" s="270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8.75" customHeight="1">
      <c r="A270" s="37" t="s">
        <v>166</v>
      </c>
      <c r="B270" s="38"/>
      <c r="C270" s="38"/>
      <c r="D270" s="38"/>
      <c r="E270" s="38"/>
      <c r="F270" s="38"/>
      <c r="G270" s="38"/>
      <c r="H270" s="38"/>
      <c r="I270" s="38"/>
      <c r="J270" s="39"/>
      <c r="K270" s="269"/>
      <c r="L270" s="270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8.75" customHeight="1">
      <c r="A271" s="37" t="s">
        <v>167</v>
      </c>
      <c r="B271" s="38"/>
      <c r="C271" s="38"/>
      <c r="D271" s="38"/>
      <c r="E271" s="38"/>
      <c r="F271" s="38"/>
      <c r="G271" s="38"/>
      <c r="H271" s="38"/>
      <c r="I271" s="38"/>
      <c r="J271" s="39"/>
      <c r="K271" s="269"/>
      <c r="L271" s="270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8.75" customHeight="1">
      <c r="A272" s="37" t="s">
        <v>168</v>
      </c>
      <c r="B272" s="38"/>
      <c r="C272" s="38"/>
      <c r="D272" s="38"/>
      <c r="E272" s="38"/>
      <c r="F272" s="38"/>
      <c r="G272" s="38"/>
      <c r="H272" s="38"/>
      <c r="I272" s="38"/>
      <c r="J272" s="39"/>
      <c r="K272" s="269"/>
      <c r="L272" s="270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8.75" customHeight="1">
      <c r="A273" s="37" t="s">
        <v>169</v>
      </c>
      <c r="B273" s="38"/>
      <c r="C273" s="38"/>
      <c r="D273" s="38"/>
      <c r="E273" s="38"/>
      <c r="F273" s="38"/>
      <c r="G273" s="38"/>
      <c r="H273" s="38"/>
      <c r="I273" s="38"/>
      <c r="J273" s="39"/>
      <c r="K273" s="269"/>
      <c r="L273" s="270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8.75" customHeight="1">
      <c r="A274" s="37" t="s">
        <v>170</v>
      </c>
      <c r="B274" s="38"/>
      <c r="C274" s="38"/>
      <c r="D274" s="38"/>
      <c r="E274" s="38"/>
      <c r="F274" s="38"/>
      <c r="G274" s="38"/>
      <c r="H274" s="38"/>
      <c r="I274" s="38"/>
      <c r="J274" s="39"/>
      <c r="K274" s="269"/>
      <c r="L274" s="270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8.75" customHeight="1">
      <c r="A275" s="37" t="s">
        <v>171</v>
      </c>
      <c r="B275" s="38"/>
      <c r="C275" s="38"/>
      <c r="D275" s="38"/>
      <c r="E275" s="38"/>
      <c r="F275" s="38"/>
      <c r="G275" s="38"/>
      <c r="H275" s="38"/>
      <c r="I275" s="38"/>
      <c r="J275" s="39"/>
      <c r="K275" s="269"/>
      <c r="L275" s="270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8.75" customHeight="1">
      <c r="A276" s="37" t="s">
        <v>172</v>
      </c>
      <c r="B276" s="38"/>
      <c r="C276" s="38"/>
      <c r="D276" s="38"/>
      <c r="E276" s="38"/>
      <c r="F276" s="38"/>
      <c r="G276" s="38"/>
      <c r="H276" s="38"/>
      <c r="I276" s="38"/>
      <c r="J276" s="39"/>
      <c r="K276" s="269"/>
      <c r="L276" s="270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8.75" customHeight="1">
      <c r="A277" s="37" t="s">
        <v>173</v>
      </c>
      <c r="B277" s="38"/>
      <c r="C277" s="38"/>
      <c r="D277" s="38"/>
      <c r="E277" s="38"/>
      <c r="F277" s="38"/>
      <c r="G277" s="38"/>
      <c r="H277" s="38"/>
      <c r="I277" s="38"/>
      <c r="J277" s="39"/>
      <c r="K277" s="269"/>
      <c r="L277" s="270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8.75" customHeight="1">
      <c r="A278" s="37" t="s">
        <v>174</v>
      </c>
      <c r="B278" s="38"/>
      <c r="C278" s="38"/>
      <c r="D278" s="38"/>
      <c r="E278" s="38"/>
      <c r="F278" s="38"/>
      <c r="G278" s="38"/>
      <c r="H278" s="38"/>
      <c r="I278" s="38"/>
      <c r="J278" s="39"/>
      <c r="K278" s="269"/>
      <c r="L278" s="270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8.75" customHeight="1">
      <c r="A279" s="37" t="s">
        <v>175</v>
      </c>
      <c r="B279" s="38"/>
      <c r="C279" s="38"/>
      <c r="D279" s="38"/>
      <c r="E279" s="38"/>
      <c r="F279" s="38"/>
      <c r="G279" s="38"/>
      <c r="H279" s="38"/>
      <c r="I279" s="38"/>
      <c r="J279" s="39"/>
      <c r="K279" s="269"/>
      <c r="L279" s="270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8.75" customHeight="1">
      <c r="A280" s="37" t="s">
        <v>176</v>
      </c>
      <c r="B280" s="38"/>
      <c r="C280" s="38"/>
      <c r="D280" s="38"/>
      <c r="E280" s="38"/>
      <c r="F280" s="38"/>
      <c r="G280" s="38"/>
      <c r="H280" s="38"/>
      <c r="I280" s="38"/>
      <c r="J280" s="39"/>
      <c r="K280" s="269"/>
      <c r="L280" s="270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8.75" customHeight="1">
      <c r="A281" s="37" t="s">
        <v>177</v>
      </c>
      <c r="B281" s="38"/>
      <c r="C281" s="38"/>
      <c r="D281" s="38"/>
      <c r="E281" s="38"/>
      <c r="F281" s="38"/>
      <c r="G281" s="38"/>
      <c r="H281" s="38"/>
      <c r="I281" s="38"/>
      <c r="J281" s="39"/>
      <c r="K281" s="269"/>
      <c r="L281" s="270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8.75" customHeight="1">
      <c r="A282" s="37" t="s">
        <v>178</v>
      </c>
      <c r="B282" s="38"/>
      <c r="C282" s="38"/>
      <c r="D282" s="38"/>
      <c r="E282" s="38"/>
      <c r="F282" s="38"/>
      <c r="G282" s="38"/>
      <c r="H282" s="38"/>
      <c r="I282" s="38"/>
      <c r="J282" s="39"/>
      <c r="K282" s="269"/>
      <c r="L282" s="270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8.75" customHeight="1">
      <c r="A283" s="37" t="s">
        <v>179</v>
      </c>
      <c r="B283" s="38"/>
      <c r="C283" s="38"/>
      <c r="D283" s="38"/>
      <c r="E283" s="38"/>
      <c r="F283" s="38"/>
      <c r="G283" s="38"/>
      <c r="H283" s="38"/>
      <c r="I283" s="38"/>
      <c r="J283" s="39"/>
      <c r="K283" s="269"/>
      <c r="L283" s="270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8.75" customHeight="1">
      <c r="A284" s="37" t="s">
        <v>180</v>
      </c>
      <c r="B284" s="38"/>
      <c r="C284" s="38"/>
      <c r="D284" s="38"/>
      <c r="E284" s="38"/>
      <c r="F284" s="38"/>
      <c r="G284" s="38"/>
      <c r="H284" s="38"/>
      <c r="I284" s="38"/>
      <c r="J284" s="39"/>
      <c r="K284" s="269"/>
      <c r="L284" s="270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8.75" customHeight="1">
      <c r="A285" s="37" t="s">
        <v>181</v>
      </c>
      <c r="B285" s="38"/>
      <c r="C285" s="38"/>
      <c r="D285" s="38"/>
      <c r="E285" s="38"/>
      <c r="F285" s="38"/>
      <c r="G285" s="38"/>
      <c r="H285" s="38"/>
      <c r="I285" s="38"/>
      <c r="J285" s="39"/>
      <c r="K285" s="269"/>
      <c r="L285" s="270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8.75" customHeight="1" thickBot="1">
      <c r="A286" s="40" t="s">
        <v>182</v>
      </c>
      <c r="B286" s="41"/>
      <c r="C286" s="41"/>
      <c r="D286" s="41"/>
      <c r="E286" s="41"/>
      <c r="F286" s="41"/>
      <c r="G286" s="41"/>
      <c r="H286" s="41"/>
      <c r="I286" s="41"/>
      <c r="J286" s="42"/>
      <c r="K286" s="280"/>
      <c r="L286" s="28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8.75" customHeight="1" thickBo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8.75" customHeight="1">
      <c r="A288" s="217" t="s">
        <v>183</v>
      </c>
      <c r="B288" s="218"/>
      <c r="C288" s="218"/>
      <c r="D288" s="218"/>
      <c r="E288" s="218"/>
      <c r="F288" s="218"/>
      <c r="G288" s="218"/>
      <c r="H288" s="218"/>
      <c r="I288" s="218"/>
      <c r="J288" s="219"/>
      <c r="K288" s="271">
        <f>K290</f>
        <v>0</v>
      </c>
      <c r="L288" s="272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8.75" customHeight="1" thickBot="1">
      <c r="A289" s="203"/>
      <c r="B289" s="204"/>
      <c r="C289" s="204"/>
      <c r="D289" s="204"/>
      <c r="E289" s="204"/>
      <c r="F289" s="204"/>
      <c r="G289" s="204"/>
      <c r="H289" s="204"/>
      <c r="I289" s="204"/>
      <c r="J289" s="205"/>
      <c r="K289" s="273"/>
      <c r="L289" s="274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8.75" customHeight="1" thickBot="1">
      <c r="A290" s="275" t="s">
        <v>184</v>
      </c>
      <c r="B290" s="276"/>
      <c r="C290" s="276"/>
      <c r="D290" s="276"/>
      <c r="E290" s="276"/>
      <c r="F290" s="276"/>
      <c r="G290" s="276"/>
      <c r="H290" s="276"/>
      <c r="I290" s="276"/>
      <c r="J290" s="277"/>
      <c r="K290" s="278">
        <f>K426</f>
        <v>0</v>
      </c>
      <c r="L290" s="279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8.75" customHeight="1" thickBo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8.75" customHeight="1">
      <c r="A292" s="217" t="s">
        <v>185</v>
      </c>
      <c r="B292" s="218"/>
      <c r="C292" s="218"/>
      <c r="D292" s="218"/>
      <c r="E292" s="218"/>
      <c r="F292" s="218"/>
      <c r="G292" s="218"/>
      <c r="H292" s="218"/>
      <c r="I292" s="218"/>
      <c r="J292" s="219"/>
      <c r="K292" s="258">
        <f>SUM(K294:L298)</f>
        <v>0</v>
      </c>
      <c r="L292" s="259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8.75" customHeight="1" thickBot="1">
      <c r="A293" s="203"/>
      <c r="B293" s="204"/>
      <c r="C293" s="204"/>
      <c r="D293" s="204"/>
      <c r="E293" s="204"/>
      <c r="F293" s="204"/>
      <c r="G293" s="204"/>
      <c r="H293" s="204"/>
      <c r="I293" s="204"/>
      <c r="J293" s="205"/>
      <c r="K293" s="260"/>
      <c r="L293" s="26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8.75" customHeight="1">
      <c r="A294" s="43" t="s">
        <v>186</v>
      </c>
      <c r="B294" s="44"/>
      <c r="C294" s="44"/>
      <c r="D294" s="44"/>
      <c r="E294" s="44"/>
      <c r="F294" s="44"/>
      <c r="G294" s="44"/>
      <c r="H294" s="44"/>
      <c r="I294" s="44"/>
      <c r="J294" s="45"/>
      <c r="K294" s="262"/>
      <c r="L294" s="263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8.75" customHeight="1">
      <c r="A295" s="37" t="s">
        <v>187</v>
      </c>
      <c r="B295" s="38"/>
      <c r="C295" s="38"/>
      <c r="D295" s="38"/>
      <c r="E295" s="38"/>
      <c r="F295" s="38"/>
      <c r="G295" s="38"/>
      <c r="H295" s="38"/>
      <c r="I295" s="38"/>
      <c r="J295" s="39"/>
      <c r="K295" s="89"/>
      <c r="L295" s="264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8.75" customHeight="1">
      <c r="A296" s="37" t="s">
        <v>188</v>
      </c>
      <c r="B296" s="38"/>
      <c r="C296" s="38"/>
      <c r="D296" s="38"/>
      <c r="E296" s="38"/>
      <c r="F296" s="38"/>
      <c r="G296" s="38"/>
      <c r="H296" s="38"/>
      <c r="I296" s="38"/>
      <c r="J296" s="39"/>
      <c r="K296" s="89"/>
      <c r="L296" s="264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8.75" customHeight="1">
      <c r="A297" s="37" t="s">
        <v>189</v>
      </c>
      <c r="B297" s="38"/>
      <c r="C297" s="38"/>
      <c r="D297" s="38"/>
      <c r="E297" s="38"/>
      <c r="F297" s="38"/>
      <c r="G297" s="38"/>
      <c r="H297" s="38"/>
      <c r="I297" s="38"/>
      <c r="J297" s="39"/>
      <c r="K297" s="89"/>
      <c r="L297" s="264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8.75" customHeight="1" thickBot="1">
      <c r="A298" s="40" t="s">
        <v>190</v>
      </c>
      <c r="B298" s="41"/>
      <c r="C298" s="41"/>
      <c r="D298" s="41"/>
      <c r="E298" s="41"/>
      <c r="F298" s="41"/>
      <c r="G298" s="41"/>
      <c r="H298" s="41"/>
      <c r="I298" s="41"/>
      <c r="J298" s="42"/>
      <c r="K298" s="105"/>
      <c r="L298" s="265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8.75" customHeight="1" thickBo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8.75" customHeight="1">
      <c r="A300" s="217" t="s">
        <v>191</v>
      </c>
      <c r="B300" s="218"/>
      <c r="C300" s="218"/>
      <c r="D300" s="218"/>
      <c r="E300" s="218"/>
      <c r="F300" s="218"/>
      <c r="G300" s="218"/>
      <c r="H300" s="218"/>
      <c r="I300" s="218"/>
      <c r="J300" s="219"/>
      <c r="K300" s="221">
        <f>(+K181+L110+K187+K233+K241+L145+K249)*K302</f>
        <v>0</v>
      </c>
      <c r="L300" s="222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8.75" customHeight="1">
      <c r="A301" s="212"/>
      <c r="B301" s="220"/>
      <c r="C301" s="220"/>
      <c r="D301" s="220"/>
      <c r="E301" s="220"/>
      <c r="F301" s="220"/>
      <c r="G301" s="220"/>
      <c r="H301" s="220"/>
      <c r="I301" s="220"/>
      <c r="J301" s="213"/>
      <c r="K301" s="223"/>
      <c r="L301" s="224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8.75" customHeight="1">
      <c r="A302" s="225" t="s">
        <v>192</v>
      </c>
      <c r="B302" s="226"/>
      <c r="C302" s="226"/>
      <c r="D302" s="226"/>
      <c r="E302" s="226"/>
      <c r="F302" s="226"/>
      <c r="G302" s="226"/>
      <c r="H302" s="226"/>
      <c r="I302" s="226"/>
      <c r="J302" s="227"/>
      <c r="K302" s="231"/>
      <c r="L302" s="232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8.75" customHeight="1">
      <c r="A303" s="228"/>
      <c r="B303" s="229"/>
      <c r="C303" s="229"/>
      <c r="D303" s="229"/>
      <c r="E303" s="229"/>
      <c r="F303" s="229"/>
      <c r="G303" s="229"/>
      <c r="H303" s="229"/>
      <c r="I303" s="229"/>
      <c r="J303" s="230"/>
      <c r="K303" s="233"/>
      <c r="L303" s="234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8.75" customHeight="1">
      <c r="A304" s="235" t="s">
        <v>193</v>
      </c>
      <c r="B304" s="236"/>
      <c r="C304" s="236"/>
      <c r="D304" s="236"/>
      <c r="E304" s="236"/>
      <c r="F304" s="236"/>
      <c r="G304" s="236"/>
      <c r="H304" s="236"/>
      <c r="I304" s="236"/>
      <c r="J304" s="237"/>
      <c r="K304" s="206">
        <f>(((K300+K292+K288+K249+K241+K233+K187+K181+L145+L110+K101)/0.9)*0.1)</f>
        <v>0</v>
      </c>
      <c r="L304" s="207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8.75" customHeight="1">
      <c r="A305" s="238"/>
      <c r="B305" s="239"/>
      <c r="C305" s="239"/>
      <c r="D305" s="239"/>
      <c r="E305" s="239"/>
      <c r="F305" s="239"/>
      <c r="G305" s="239"/>
      <c r="H305" s="239"/>
      <c r="I305" s="239"/>
      <c r="J305" s="240"/>
      <c r="K305" s="242"/>
      <c r="L305" s="243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8.75" customHeight="1">
      <c r="A306" s="194"/>
      <c r="B306" s="195"/>
      <c r="C306" s="195"/>
      <c r="D306" s="195"/>
      <c r="E306" s="195"/>
      <c r="F306" s="195"/>
      <c r="G306" s="195"/>
      <c r="H306" s="195"/>
      <c r="I306" s="195"/>
      <c r="J306" s="241"/>
      <c r="K306" s="223"/>
      <c r="L306" s="224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8.75" customHeight="1">
      <c r="A307" s="244" t="s">
        <v>194</v>
      </c>
      <c r="B307" s="245"/>
      <c r="C307" s="245"/>
      <c r="D307" s="245"/>
      <c r="E307" s="245"/>
      <c r="F307" s="245"/>
      <c r="G307" s="245"/>
      <c r="H307" s="245"/>
      <c r="I307" s="245"/>
      <c r="J307" s="245"/>
      <c r="K307" s="245"/>
      <c r="L307" s="246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8.75" customHeight="1">
      <c r="A308" s="247"/>
      <c r="B308" s="248"/>
      <c r="C308" s="248"/>
      <c r="D308" s="248"/>
      <c r="E308" s="248"/>
      <c r="F308" s="248"/>
      <c r="G308" s="248"/>
      <c r="H308" s="248"/>
      <c r="I308" s="248"/>
      <c r="J308" s="248"/>
      <c r="K308" s="248"/>
      <c r="L308" s="249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8.75" customHeight="1">
      <c r="A309" s="200" t="s">
        <v>195</v>
      </c>
      <c r="B309" s="201"/>
      <c r="C309" s="201"/>
      <c r="D309" s="201"/>
      <c r="E309" s="201"/>
      <c r="F309" s="201"/>
      <c r="G309" s="201"/>
      <c r="H309" s="201"/>
      <c r="I309" s="201"/>
      <c r="J309" s="202"/>
      <c r="K309" s="206">
        <f>(SUM(K181,L110,K187,K233,K241,K249,L145,K288,K292,K300,K304))</f>
        <v>0</v>
      </c>
      <c r="L309" s="207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8.75" customHeight="1" thickBot="1">
      <c r="A310" s="203"/>
      <c r="B310" s="204"/>
      <c r="C310" s="204"/>
      <c r="D310" s="204"/>
      <c r="E310" s="204"/>
      <c r="F310" s="204"/>
      <c r="G310" s="204"/>
      <c r="H310" s="204"/>
      <c r="I310" s="204"/>
      <c r="J310" s="205"/>
      <c r="K310" s="208"/>
      <c r="L310" s="209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8.75" customHeight="1" thickBo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8" customHeight="1">
      <c r="A312" s="191" t="s">
        <v>196</v>
      </c>
      <c r="B312" s="192"/>
      <c r="C312" s="192"/>
      <c r="D312" s="192"/>
      <c r="E312" s="192"/>
      <c r="F312" s="192"/>
      <c r="G312" s="192"/>
      <c r="H312" s="192"/>
      <c r="I312" s="192"/>
      <c r="J312" s="192"/>
      <c r="K312" s="192"/>
      <c r="L312" s="193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8.75" customHeight="1">
      <c r="A313" s="194"/>
      <c r="B313" s="195"/>
      <c r="C313" s="195"/>
      <c r="D313" s="195"/>
      <c r="E313" s="195"/>
      <c r="F313" s="195"/>
      <c r="G313" s="195"/>
      <c r="H313" s="195"/>
      <c r="I313" s="195"/>
      <c r="J313" s="195"/>
      <c r="K313" s="195"/>
      <c r="L313" s="196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8.75" customHeight="1">
      <c r="A314" s="200" t="s">
        <v>197</v>
      </c>
      <c r="B314" s="202"/>
      <c r="C314" s="214" t="s">
        <v>198</v>
      </c>
      <c r="D314" s="254" t="s">
        <v>199</v>
      </c>
      <c r="E314" s="201"/>
      <c r="F314" s="201"/>
      <c r="G314" s="201"/>
      <c r="H314" s="201"/>
      <c r="I314" s="201"/>
      <c r="J314" s="202"/>
      <c r="K314" s="250" t="s">
        <v>200</v>
      </c>
      <c r="L314" s="25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9" customHeight="1">
      <c r="A315" s="210"/>
      <c r="B315" s="211"/>
      <c r="C315" s="215"/>
      <c r="D315" s="255"/>
      <c r="E315" s="256"/>
      <c r="F315" s="256"/>
      <c r="G315" s="256"/>
      <c r="H315" s="256"/>
      <c r="I315" s="256"/>
      <c r="J315" s="211"/>
      <c r="K315" s="252" t="s">
        <v>201</v>
      </c>
      <c r="L315" s="253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8.75" customHeight="1">
      <c r="A316" s="212"/>
      <c r="B316" s="213"/>
      <c r="C316" s="216"/>
      <c r="D316" s="257"/>
      <c r="E316" s="220"/>
      <c r="F316" s="220"/>
      <c r="G316" s="220"/>
      <c r="H316" s="220"/>
      <c r="I316" s="220"/>
      <c r="J316" s="213"/>
      <c r="K316" s="46" t="s">
        <v>202</v>
      </c>
      <c r="L316" s="47" t="s">
        <v>203</v>
      </c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8.75" customHeight="1">
      <c r="A317" s="93"/>
      <c r="B317" s="95"/>
      <c r="C317" s="48"/>
      <c r="D317" s="187" t="s">
        <v>204</v>
      </c>
      <c r="E317" s="94"/>
      <c r="F317" s="94"/>
      <c r="G317" s="94"/>
      <c r="H317" s="94"/>
      <c r="I317" s="94"/>
      <c r="J317" s="95"/>
      <c r="K317" s="49"/>
      <c r="L317" s="50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8" customHeight="1">
      <c r="A318" s="93"/>
      <c r="B318" s="95"/>
      <c r="C318" s="48"/>
      <c r="D318" s="187" t="s">
        <v>204</v>
      </c>
      <c r="E318" s="94"/>
      <c r="F318" s="94"/>
      <c r="G318" s="94"/>
      <c r="H318" s="94"/>
      <c r="I318" s="94"/>
      <c r="J318" s="95"/>
      <c r="K318" s="49"/>
      <c r="L318" s="50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8" customHeight="1">
      <c r="A319" s="93"/>
      <c r="B319" s="95"/>
      <c r="C319" s="48"/>
      <c r="D319" s="187" t="s">
        <v>204</v>
      </c>
      <c r="E319" s="94"/>
      <c r="F319" s="94"/>
      <c r="G319" s="94"/>
      <c r="H319" s="94"/>
      <c r="I319" s="94"/>
      <c r="J319" s="95"/>
      <c r="K319" s="49"/>
      <c r="L319" s="50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8.75" customHeight="1">
      <c r="A320" s="93"/>
      <c r="B320" s="95"/>
      <c r="C320" s="48"/>
      <c r="D320" s="187" t="s">
        <v>204</v>
      </c>
      <c r="E320" s="94"/>
      <c r="F320" s="94"/>
      <c r="G320" s="94"/>
      <c r="H320" s="94"/>
      <c r="I320" s="94"/>
      <c r="J320" s="95"/>
      <c r="K320" s="49"/>
      <c r="L320" s="50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8.75" customHeight="1">
      <c r="A321" s="93"/>
      <c r="B321" s="95"/>
      <c r="C321" s="48"/>
      <c r="D321" s="187" t="s">
        <v>204</v>
      </c>
      <c r="E321" s="94"/>
      <c r="F321" s="94"/>
      <c r="G321" s="94"/>
      <c r="H321" s="94"/>
      <c r="I321" s="94"/>
      <c r="J321" s="95"/>
      <c r="K321" s="49"/>
      <c r="L321" s="50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24" customHeight="1">
      <c r="A322" s="93"/>
      <c r="B322" s="95"/>
      <c r="C322" s="48"/>
      <c r="D322" s="187" t="s">
        <v>204</v>
      </c>
      <c r="E322" s="94"/>
      <c r="F322" s="94"/>
      <c r="G322" s="94"/>
      <c r="H322" s="94"/>
      <c r="I322" s="94"/>
      <c r="J322" s="95"/>
      <c r="K322" s="49"/>
      <c r="L322" s="50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8.75" customHeight="1">
      <c r="A323" s="93"/>
      <c r="B323" s="95"/>
      <c r="C323" s="48"/>
      <c r="D323" s="187" t="s">
        <v>204</v>
      </c>
      <c r="E323" s="94"/>
      <c r="F323" s="94"/>
      <c r="G323" s="94"/>
      <c r="H323" s="94"/>
      <c r="I323" s="94"/>
      <c r="J323" s="95"/>
      <c r="K323" s="49"/>
      <c r="L323" s="50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8.75" customHeight="1">
      <c r="A324" s="93"/>
      <c r="B324" s="95"/>
      <c r="C324" s="48"/>
      <c r="D324" s="187" t="s">
        <v>204</v>
      </c>
      <c r="E324" s="94"/>
      <c r="F324" s="94"/>
      <c r="G324" s="94"/>
      <c r="H324" s="94"/>
      <c r="I324" s="94"/>
      <c r="J324" s="95"/>
      <c r="K324" s="49"/>
      <c r="L324" s="50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8.75">
      <c r="A325" s="93"/>
      <c r="B325" s="95"/>
      <c r="C325" s="48"/>
      <c r="D325" s="187" t="s">
        <v>204</v>
      </c>
      <c r="E325" s="94"/>
      <c r="F325" s="94"/>
      <c r="G325" s="94"/>
      <c r="H325" s="94"/>
      <c r="I325" s="94"/>
      <c r="J325" s="95"/>
      <c r="K325" s="49"/>
      <c r="L325" s="50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8.75" customHeight="1">
      <c r="A326" s="93"/>
      <c r="B326" s="95"/>
      <c r="C326" s="48"/>
      <c r="D326" s="187" t="s">
        <v>204</v>
      </c>
      <c r="E326" s="94"/>
      <c r="F326" s="94"/>
      <c r="G326" s="94"/>
      <c r="H326" s="94"/>
      <c r="I326" s="94"/>
      <c r="J326" s="95"/>
      <c r="K326" s="49"/>
      <c r="L326" s="50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8.75" customHeight="1">
      <c r="A327" s="93"/>
      <c r="B327" s="95"/>
      <c r="C327" s="48"/>
      <c r="D327" s="187" t="s">
        <v>204</v>
      </c>
      <c r="E327" s="94"/>
      <c r="F327" s="94"/>
      <c r="G327" s="94"/>
      <c r="H327" s="94"/>
      <c r="I327" s="94"/>
      <c r="J327" s="95"/>
      <c r="K327" s="49"/>
      <c r="L327" s="50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8.75" customHeight="1">
      <c r="A328" s="93"/>
      <c r="B328" s="95"/>
      <c r="C328" s="48"/>
      <c r="D328" s="187" t="s">
        <v>204</v>
      </c>
      <c r="E328" s="94"/>
      <c r="F328" s="94"/>
      <c r="G328" s="94"/>
      <c r="H328" s="94"/>
      <c r="I328" s="94"/>
      <c r="J328" s="95"/>
      <c r="K328" s="49"/>
      <c r="L328" s="50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8.75" customHeight="1">
      <c r="A329" s="93"/>
      <c r="B329" s="95"/>
      <c r="C329" s="48"/>
      <c r="D329" s="187" t="s">
        <v>204</v>
      </c>
      <c r="E329" s="94"/>
      <c r="F329" s="94"/>
      <c r="G329" s="94"/>
      <c r="H329" s="94"/>
      <c r="I329" s="94"/>
      <c r="J329" s="95"/>
      <c r="K329" s="49"/>
      <c r="L329" s="50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8.75" customHeight="1" thickBot="1">
      <c r="A330" s="188"/>
      <c r="B330" s="189"/>
      <c r="C330" s="189"/>
      <c r="D330" s="189"/>
      <c r="E330" s="189"/>
      <c r="F330" s="189"/>
      <c r="G330" s="189"/>
      <c r="H330" s="189"/>
      <c r="I330" s="189"/>
      <c r="J330" s="190"/>
      <c r="K330" s="107"/>
      <c r="L330" s="108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8.75" customHeight="1" thickBo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9"/>
      <c r="L331" s="9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8.75" customHeight="1">
      <c r="A332" s="191" t="s">
        <v>205</v>
      </c>
      <c r="B332" s="192"/>
      <c r="C332" s="192"/>
      <c r="D332" s="192"/>
      <c r="E332" s="192"/>
      <c r="F332" s="192"/>
      <c r="G332" s="192"/>
      <c r="H332" s="192"/>
      <c r="I332" s="192"/>
      <c r="J332" s="192"/>
      <c r="K332" s="192"/>
      <c r="L332" s="193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8.75" customHeight="1">
      <c r="A333" s="194"/>
      <c r="B333" s="195"/>
      <c r="C333" s="195"/>
      <c r="D333" s="195"/>
      <c r="E333" s="195"/>
      <c r="F333" s="195"/>
      <c r="G333" s="195"/>
      <c r="H333" s="195"/>
      <c r="I333" s="195"/>
      <c r="J333" s="195"/>
      <c r="K333" s="195"/>
      <c r="L333" s="196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8.75" customHeight="1">
      <c r="A334" s="197" t="s">
        <v>206</v>
      </c>
      <c r="B334" s="198"/>
      <c r="C334" s="198"/>
      <c r="D334" s="198"/>
      <c r="E334" s="198"/>
      <c r="F334" s="198"/>
      <c r="G334" s="198"/>
      <c r="H334" s="198"/>
      <c r="I334" s="198"/>
      <c r="J334" s="198"/>
      <c r="K334" s="198"/>
      <c r="L334" s="199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8.75" customHeight="1">
      <c r="A335" s="51" t="s">
        <v>207</v>
      </c>
      <c r="B335" s="187" t="s">
        <v>208</v>
      </c>
      <c r="C335" s="94"/>
      <c r="D335" s="94"/>
      <c r="E335" s="94"/>
      <c r="F335" s="94"/>
      <c r="G335" s="94"/>
      <c r="H335" s="94"/>
      <c r="I335" s="94"/>
      <c r="J335" s="94"/>
      <c r="K335" s="94"/>
      <c r="L335" s="95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8.75" customHeight="1">
      <c r="A336" s="51" t="s">
        <v>207</v>
      </c>
      <c r="B336" s="187" t="s">
        <v>208</v>
      </c>
      <c r="C336" s="94"/>
      <c r="D336" s="94"/>
      <c r="E336" s="94"/>
      <c r="F336" s="94"/>
      <c r="G336" s="94"/>
      <c r="H336" s="94"/>
      <c r="I336" s="94"/>
      <c r="J336" s="94"/>
      <c r="K336" s="94"/>
      <c r="L336" s="95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8.75" customHeight="1">
      <c r="A337" s="51" t="s">
        <v>207</v>
      </c>
      <c r="B337" s="187" t="s">
        <v>208</v>
      </c>
      <c r="C337" s="94"/>
      <c r="D337" s="94"/>
      <c r="E337" s="94"/>
      <c r="F337" s="94"/>
      <c r="G337" s="94"/>
      <c r="H337" s="94"/>
      <c r="I337" s="94"/>
      <c r="J337" s="94"/>
      <c r="K337" s="94"/>
      <c r="L337" s="95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8.75" customHeight="1">
      <c r="A338" s="51" t="s">
        <v>207</v>
      </c>
      <c r="B338" s="187" t="s">
        <v>208</v>
      </c>
      <c r="C338" s="94"/>
      <c r="D338" s="94"/>
      <c r="E338" s="94"/>
      <c r="F338" s="94"/>
      <c r="G338" s="94"/>
      <c r="H338" s="94"/>
      <c r="I338" s="94"/>
      <c r="J338" s="94"/>
      <c r="K338" s="94"/>
      <c r="L338" s="95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8.75" customHeight="1">
      <c r="A339" s="51" t="s">
        <v>207</v>
      </c>
      <c r="B339" s="187" t="s">
        <v>208</v>
      </c>
      <c r="C339" s="94"/>
      <c r="D339" s="94"/>
      <c r="E339" s="94"/>
      <c r="F339" s="94"/>
      <c r="G339" s="94"/>
      <c r="H339" s="94"/>
      <c r="I339" s="94"/>
      <c r="J339" s="94"/>
      <c r="K339" s="94"/>
      <c r="L339" s="95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8.75" customHeight="1">
      <c r="A340" s="51" t="s">
        <v>207</v>
      </c>
      <c r="B340" s="187" t="s">
        <v>208</v>
      </c>
      <c r="C340" s="94"/>
      <c r="D340" s="94"/>
      <c r="E340" s="94"/>
      <c r="F340" s="94"/>
      <c r="G340" s="94"/>
      <c r="H340" s="94"/>
      <c r="I340" s="94"/>
      <c r="J340" s="94"/>
      <c r="K340" s="94"/>
      <c r="L340" s="95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8.75" customHeight="1">
      <c r="A341" s="51" t="s">
        <v>207</v>
      </c>
      <c r="B341" s="187" t="s">
        <v>208</v>
      </c>
      <c r="C341" s="94"/>
      <c r="D341" s="94"/>
      <c r="E341" s="94"/>
      <c r="F341" s="94"/>
      <c r="G341" s="94"/>
      <c r="H341" s="94"/>
      <c r="I341" s="94"/>
      <c r="J341" s="94"/>
      <c r="K341" s="94"/>
      <c r="L341" s="95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9.5" customHeight="1">
      <c r="A342" s="51" t="s">
        <v>207</v>
      </c>
      <c r="B342" s="187" t="s">
        <v>208</v>
      </c>
      <c r="C342" s="94"/>
      <c r="D342" s="94"/>
      <c r="E342" s="94"/>
      <c r="F342" s="94"/>
      <c r="G342" s="94"/>
      <c r="H342" s="94"/>
      <c r="I342" s="94"/>
      <c r="J342" s="94"/>
      <c r="K342" s="94"/>
      <c r="L342" s="95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8.75" customHeight="1">
      <c r="A343" s="51" t="s">
        <v>207</v>
      </c>
      <c r="B343" s="187" t="s">
        <v>208</v>
      </c>
      <c r="C343" s="94"/>
      <c r="D343" s="94"/>
      <c r="E343" s="94"/>
      <c r="F343" s="94"/>
      <c r="G343" s="94"/>
      <c r="H343" s="94"/>
      <c r="I343" s="94"/>
      <c r="J343" s="94"/>
      <c r="K343" s="94"/>
      <c r="L343" s="95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8.75" customHeight="1">
      <c r="A344" s="51" t="s">
        <v>207</v>
      </c>
      <c r="B344" s="187" t="s">
        <v>208</v>
      </c>
      <c r="C344" s="94"/>
      <c r="D344" s="94"/>
      <c r="E344" s="94"/>
      <c r="F344" s="94"/>
      <c r="G344" s="94"/>
      <c r="H344" s="94"/>
      <c r="I344" s="94"/>
      <c r="J344" s="94"/>
      <c r="K344" s="94"/>
      <c r="L344" s="95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8.75" customHeight="1">
      <c r="A345" s="51" t="s">
        <v>207</v>
      </c>
      <c r="B345" s="187" t="s">
        <v>208</v>
      </c>
      <c r="C345" s="94"/>
      <c r="D345" s="94"/>
      <c r="E345" s="94"/>
      <c r="F345" s="94"/>
      <c r="G345" s="94"/>
      <c r="H345" s="94"/>
      <c r="I345" s="94"/>
      <c r="J345" s="94"/>
      <c r="K345" s="94"/>
      <c r="L345" s="95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8.75" customHeight="1">
      <c r="A346" s="51" t="s">
        <v>207</v>
      </c>
      <c r="B346" s="187" t="s">
        <v>208</v>
      </c>
      <c r="C346" s="94"/>
      <c r="D346" s="94"/>
      <c r="E346" s="94"/>
      <c r="F346" s="94"/>
      <c r="G346" s="94"/>
      <c r="H346" s="94"/>
      <c r="I346" s="94"/>
      <c r="J346" s="94"/>
      <c r="K346" s="94"/>
      <c r="L346" s="95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8.75" customHeight="1">
      <c r="A347" s="51" t="s">
        <v>207</v>
      </c>
      <c r="B347" s="187" t="s">
        <v>208</v>
      </c>
      <c r="C347" s="94"/>
      <c r="D347" s="94"/>
      <c r="E347" s="94"/>
      <c r="F347" s="94"/>
      <c r="G347" s="94"/>
      <c r="H347" s="94"/>
      <c r="I347" s="94"/>
      <c r="J347" s="94"/>
      <c r="K347" s="94"/>
      <c r="L347" s="95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8.75" customHeight="1">
      <c r="A348" s="51" t="s">
        <v>207</v>
      </c>
      <c r="B348" s="187" t="s">
        <v>208</v>
      </c>
      <c r="C348" s="94"/>
      <c r="D348" s="94"/>
      <c r="E348" s="94"/>
      <c r="F348" s="94"/>
      <c r="G348" s="94"/>
      <c r="H348" s="94"/>
      <c r="I348" s="94"/>
      <c r="J348" s="94"/>
      <c r="K348" s="94"/>
      <c r="L348" s="95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8.75" customHeight="1">
      <c r="A349" s="165"/>
      <c r="B349" s="166"/>
      <c r="C349" s="166"/>
      <c r="D349" s="166"/>
      <c r="E349" s="166"/>
      <c r="F349" s="166"/>
      <c r="G349" s="166"/>
      <c r="H349" s="166"/>
      <c r="I349" s="166"/>
      <c r="J349" s="166"/>
      <c r="K349" s="166"/>
      <c r="L349" s="167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8.75" customHeight="1" thickBo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9"/>
      <c r="L350" s="9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8.75" customHeight="1" thickBot="1">
      <c r="A351" s="168" t="s">
        <v>209</v>
      </c>
      <c r="B351" s="169"/>
      <c r="C351" s="169"/>
      <c r="D351" s="169"/>
      <c r="E351" s="169"/>
      <c r="F351" s="169"/>
      <c r="G351" s="169"/>
      <c r="H351" s="169"/>
      <c r="I351" s="169"/>
      <c r="J351" s="169"/>
      <c r="K351" s="169"/>
      <c r="L351" s="170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8.75" customHeight="1" thickBot="1">
      <c r="A352" s="171" t="s">
        <v>210</v>
      </c>
      <c r="B352" s="172"/>
      <c r="C352" s="172"/>
      <c r="D352" s="172"/>
      <c r="E352" s="172"/>
      <c r="F352" s="172"/>
      <c r="G352" s="172"/>
      <c r="H352" s="172"/>
      <c r="I352" s="172"/>
      <c r="J352" s="172"/>
      <c r="K352" s="172"/>
      <c r="L352" s="173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8.75" customHeight="1" thickBot="1">
      <c r="A353" s="52"/>
      <c r="B353" s="52"/>
      <c r="C353" s="52"/>
      <c r="D353" s="52"/>
      <c r="E353" s="52"/>
      <c r="F353" s="52"/>
      <c r="G353" s="52"/>
      <c r="H353" s="52"/>
      <c r="I353" s="52"/>
      <c r="J353" s="52"/>
      <c r="K353" s="52"/>
      <c r="L353" s="52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8.75" customHeight="1">
      <c r="A354" s="174" t="s">
        <v>211</v>
      </c>
      <c r="B354" s="175"/>
      <c r="C354" s="175"/>
      <c r="D354" s="175"/>
      <c r="E354" s="175"/>
      <c r="F354" s="175"/>
      <c r="G354" s="175"/>
      <c r="H354" s="175"/>
      <c r="I354" s="175"/>
      <c r="J354" s="175"/>
      <c r="K354" s="175"/>
      <c r="L354" s="176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8.75" customHeight="1" thickBot="1">
      <c r="A355" s="177"/>
      <c r="B355" s="178"/>
      <c r="C355" s="178"/>
      <c r="D355" s="178"/>
      <c r="E355" s="178"/>
      <c r="F355" s="178"/>
      <c r="G355" s="178"/>
      <c r="H355" s="178"/>
      <c r="I355" s="178"/>
      <c r="J355" s="178"/>
      <c r="K355" s="178"/>
      <c r="L355" s="179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8.75" customHeight="1" thickBot="1">
      <c r="A356" s="53"/>
      <c r="B356" s="180" t="s">
        <v>212</v>
      </c>
      <c r="C356" s="181"/>
      <c r="D356" s="181"/>
      <c r="E356" s="182"/>
      <c r="F356" s="54"/>
      <c r="G356" s="183" t="s">
        <v>213</v>
      </c>
      <c r="H356" s="184"/>
      <c r="I356" s="184"/>
      <c r="J356" s="184"/>
      <c r="K356" s="185"/>
      <c r="L356" s="55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8.75" customHeight="1" thickBot="1">
      <c r="A357" s="56"/>
      <c r="B357" s="57" t="s">
        <v>214</v>
      </c>
      <c r="C357" s="58" t="s">
        <v>66</v>
      </c>
      <c r="D357" s="58" t="s">
        <v>214</v>
      </c>
      <c r="E357" s="59" t="s">
        <v>66</v>
      </c>
      <c r="F357" s="1"/>
      <c r="G357" s="60" t="s">
        <v>215</v>
      </c>
      <c r="H357" s="159" t="s">
        <v>216</v>
      </c>
      <c r="I357" s="186"/>
      <c r="J357" s="159" t="s">
        <v>66</v>
      </c>
      <c r="K357" s="160"/>
      <c r="L357" s="6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8.75" customHeight="1">
      <c r="A358" s="56"/>
      <c r="B358" s="62">
        <v>1</v>
      </c>
      <c r="C358" s="63"/>
      <c r="D358" s="64">
        <v>31</v>
      </c>
      <c r="E358" s="65"/>
      <c r="F358" s="1"/>
      <c r="G358" s="161"/>
      <c r="H358" s="132"/>
      <c r="I358" s="132"/>
      <c r="J358" s="132"/>
      <c r="K358" s="162"/>
      <c r="L358" s="6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8.75" customHeight="1">
      <c r="A359" s="56"/>
      <c r="B359" s="62">
        <v>2</v>
      </c>
      <c r="C359" s="63"/>
      <c r="D359" s="64">
        <v>32</v>
      </c>
      <c r="E359" s="65"/>
      <c r="F359" s="1"/>
      <c r="G359" s="163"/>
      <c r="H359" s="135"/>
      <c r="I359" s="135"/>
      <c r="J359" s="135"/>
      <c r="K359" s="164"/>
      <c r="L359" s="6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8.75" customHeight="1">
      <c r="A360" s="56"/>
      <c r="B360" s="62">
        <v>3</v>
      </c>
      <c r="C360" s="63"/>
      <c r="D360" s="64">
        <v>33</v>
      </c>
      <c r="E360" s="65"/>
      <c r="F360" s="1"/>
      <c r="G360" s="157" t="s">
        <v>217</v>
      </c>
      <c r="H360" s="137" t="s">
        <v>218</v>
      </c>
      <c r="I360" s="138"/>
      <c r="J360" s="139"/>
      <c r="K360" s="140"/>
      <c r="L360" s="6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8.75" customHeight="1" thickBot="1">
      <c r="A361" s="56"/>
      <c r="B361" s="62">
        <v>4</v>
      </c>
      <c r="C361" s="63"/>
      <c r="D361" s="64">
        <v>34</v>
      </c>
      <c r="E361" s="65"/>
      <c r="F361" s="1"/>
      <c r="G361" s="158"/>
      <c r="H361" s="141" t="s">
        <v>219</v>
      </c>
      <c r="I361" s="142"/>
      <c r="J361" s="143"/>
      <c r="K361" s="144"/>
      <c r="L361" s="6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8.75" customHeight="1">
      <c r="A362" s="56"/>
      <c r="B362" s="62">
        <v>5</v>
      </c>
      <c r="C362" s="63"/>
      <c r="D362" s="64">
        <v>35</v>
      </c>
      <c r="E362" s="65"/>
      <c r="F362" s="1"/>
      <c r="G362" s="161"/>
      <c r="H362" s="132"/>
      <c r="I362" s="132"/>
      <c r="J362" s="132"/>
      <c r="K362" s="162"/>
      <c r="L362" s="6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8.75" customHeight="1">
      <c r="A363" s="56"/>
      <c r="B363" s="62">
        <v>6</v>
      </c>
      <c r="C363" s="63"/>
      <c r="D363" s="64">
        <v>36</v>
      </c>
      <c r="E363" s="65"/>
      <c r="F363" s="1"/>
      <c r="G363" s="163"/>
      <c r="H363" s="135"/>
      <c r="I363" s="135"/>
      <c r="J363" s="135"/>
      <c r="K363" s="164"/>
      <c r="L363" s="6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8.75" customHeight="1">
      <c r="A364" s="56"/>
      <c r="B364" s="62">
        <v>7</v>
      </c>
      <c r="C364" s="63"/>
      <c r="D364" s="64">
        <v>37</v>
      </c>
      <c r="E364" s="65"/>
      <c r="F364" s="1"/>
      <c r="G364" s="157" t="s">
        <v>220</v>
      </c>
      <c r="H364" s="137" t="s">
        <v>218</v>
      </c>
      <c r="I364" s="138"/>
      <c r="J364" s="139"/>
      <c r="K364" s="140"/>
      <c r="L364" s="6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8.75" customHeight="1" thickBot="1">
      <c r="A365" s="56"/>
      <c r="B365" s="62">
        <v>8</v>
      </c>
      <c r="C365" s="63"/>
      <c r="D365" s="64">
        <v>38</v>
      </c>
      <c r="E365" s="65"/>
      <c r="F365" s="1"/>
      <c r="G365" s="158"/>
      <c r="H365" s="141" t="s">
        <v>219</v>
      </c>
      <c r="I365" s="142"/>
      <c r="J365" s="143"/>
      <c r="K365" s="144"/>
      <c r="L365" s="6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8.75" customHeight="1">
      <c r="A366" s="56"/>
      <c r="B366" s="62">
        <v>9</v>
      </c>
      <c r="C366" s="63"/>
      <c r="D366" s="64">
        <v>39</v>
      </c>
      <c r="E366" s="65"/>
      <c r="F366" s="1"/>
      <c r="G366" s="161"/>
      <c r="H366" s="132"/>
      <c r="I366" s="132"/>
      <c r="J366" s="132"/>
      <c r="K366" s="162"/>
      <c r="L366" s="6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8.75" customHeight="1">
      <c r="A367" s="56"/>
      <c r="B367" s="62">
        <v>10</v>
      </c>
      <c r="C367" s="63"/>
      <c r="D367" s="64">
        <v>40</v>
      </c>
      <c r="E367" s="65"/>
      <c r="F367" s="1"/>
      <c r="G367" s="163"/>
      <c r="H367" s="135"/>
      <c r="I367" s="135"/>
      <c r="J367" s="135"/>
      <c r="K367" s="164"/>
      <c r="L367" s="6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8.75" customHeight="1">
      <c r="A368" s="56"/>
      <c r="B368" s="62">
        <v>11</v>
      </c>
      <c r="C368" s="63"/>
      <c r="D368" s="64">
        <v>41</v>
      </c>
      <c r="E368" s="65"/>
      <c r="F368" s="1"/>
      <c r="G368" s="157" t="s">
        <v>221</v>
      </c>
      <c r="H368" s="137" t="s">
        <v>218</v>
      </c>
      <c r="I368" s="138"/>
      <c r="J368" s="139"/>
      <c r="K368" s="140"/>
      <c r="L368" s="6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8.75" customHeight="1" thickBot="1">
      <c r="A369" s="56"/>
      <c r="B369" s="62">
        <v>12</v>
      </c>
      <c r="C369" s="63"/>
      <c r="D369" s="64">
        <v>42</v>
      </c>
      <c r="E369" s="65"/>
      <c r="F369" s="1"/>
      <c r="G369" s="158"/>
      <c r="H369" s="141" t="s">
        <v>219</v>
      </c>
      <c r="I369" s="142"/>
      <c r="J369" s="143"/>
      <c r="K369" s="144"/>
      <c r="L369" s="6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8.75" customHeight="1">
      <c r="A370" s="56"/>
      <c r="B370" s="62">
        <v>13</v>
      </c>
      <c r="C370" s="63"/>
      <c r="D370" s="64">
        <v>43</v>
      </c>
      <c r="E370" s="65"/>
      <c r="F370" s="1"/>
      <c r="G370" s="161"/>
      <c r="H370" s="132"/>
      <c r="I370" s="132"/>
      <c r="J370" s="132"/>
      <c r="K370" s="162"/>
      <c r="L370" s="6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8.75" customHeight="1">
      <c r="A371" s="56"/>
      <c r="B371" s="62">
        <v>14</v>
      </c>
      <c r="C371" s="63"/>
      <c r="D371" s="64">
        <v>44</v>
      </c>
      <c r="E371" s="65"/>
      <c r="F371" s="1"/>
      <c r="G371" s="163"/>
      <c r="H371" s="135"/>
      <c r="I371" s="135"/>
      <c r="J371" s="135"/>
      <c r="K371" s="164"/>
      <c r="L371" s="6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8.75" customHeight="1">
      <c r="A372" s="56"/>
      <c r="B372" s="62">
        <v>15</v>
      </c>
      <c r="C372" s="63"/>
      <c r="D372" s="64">
        <v>45</v>
      </c>
      <c r="E372" s="65"/>
      <c r="F372" s="1"/>
      <c r="G372" s="157" t="s">
        <v>222</v>
      </c>
      <c r="H372" s="137" t="s">
        <v>218</v>
      </c>
      <c r="I372" s="138"/>
      <c r="J372" s="139"/>
      <c r="K372" s="140"/>
      <c r="L372" s="6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8.75" customHeight="1" thickBot="1">
      <c r="A373" s="56"/>
      <c r="B373" s="62">
        <v>16</v>
      </c>
      <c r="C373" s="63"/>
      <c r="D373" s="64">
        <v>46</v>
      </c>
      <c r="E373" s="65"/>
      <c r="F373" s="1"/>
      <c r="G373" s="158"/>
      <c r="H373" s="141" t="s">
        <v>219</v>
      </c>
      <c r="I373" s="142"/>
      <c r="J373" s="143"/>
      <c r="K373" s="144"/>
      <c r="L373" s="6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8.75" customHeight="1">
      <c r="A374" s="56"/>
      <c r="B374" s="62">
        <v>17</v>
      </c>
      <c r="C374" s="63"/>
      <c r="D374" s="64">
        <v>47</v>
      </c>
      <c r="E374" s="65"/>
      <c r="F374" s="1"/>
      <c r="G374" s="131"/>
      <c r="H374" s="132"/>
      <c r="I374" s="132"/>
      <c r="J374" s="132"/>
      <c r="K374" s="133"/>
      <c r="L374" s="6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8.75" customHeight="1">
      <c r="A375" s="56"/>
      <c r="B375" s="62">
        <v>18</v>
      </c>
      <c r="C375" s="63"/>
      <c r="D375" s="64">
        <v>48</v>
      </c>
      <c r="E375" s="65"/>
      <c r="F375" s="1"/>
      <c r="G375" s="134"/>
      <c r="H375" s="135"/>
      <c r="I375" s="135"/>
      <c r="J375" s="135"/>
      <c r="K375" s="136"/>
      <c r="L375" s="6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8.75" customHeight="1">
      <c r="A376" s="56"/>
      <c r="B376" s="62">
        <v>19</v>
      </c>
      <c r="C376" s="63"/>
      <c r="D376" s="64">
        <v>49</v>
      </c>
      <c r="E376" s="65"/>
      <c r="F376" s="1"/>
      <c r="G376" s="157" t="s">
        <v>223</v>
      </c>
      <c r="H376" s="137" t="s">
        <v>218</v>
      </c>
      <c r="I376" s="138"/>
      <c r="J376" s="139"/>
      <c r="K376" s="140"/>
      <c r="L376" s="6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8.75" customHeight="1" thickBot="1">
      <c r="A377" s="56"/>
      <c r="B377" s="62">
        <v>20</v>
      </c>
      <c r="C377" s="63"/>
      <c r="D377" s="64">
        <v>50</v>
      </c>
      <c r="E377" s="65"/>
      <c r="F377" s="1"/>
      <c r="G377" s="158"/>
      <c r="H377" s="141" t="s">
        <v>219</v>
      </c>
      <c r="I377" s="142"/>
      <c r="J377" s="143"/>
      <c r="K377" s="144"/>
      <c r="L377" s="6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8.75" customHeight="1" thickBot="1">
      <c r="A378" s="56"/>
      <c r="B378" s="62">
        <v>21</v>
      </c>
      <c r="C378" s="63"/>
      <c r="D378" s="64">
        <v>51</v>
      </c>
      <c r="E378" s="65"/>
      <c r="F378" s="1"/>
      <c r="G378" s="145" t="s">
        <v>54</v>
      </c>
      <c r="H378" s="146"/>
      <c r="I378" s="147"/>
      <c r="J378" s="148">
        <f>SUM(J360,J361,J364,J365,J368,J369,J372,J373,J376,J377)</f>
        <v>0</v>
      </c>
      <c r="K378" s="149"/>
      <c r="L378" s="6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8.75" customHeight="1" thickBot="1">
      <c r="A379" s="56"/>
      <c r="B379" s="62">
        <v>22</v>
      </c>
      <c r="C379" s="63"/>
      <c r="D379" s="64">
        <v>52</v>
      </c>
      <c r="E379" s="65"/>
      <c r="F379" s="1"/>
      <c r="G379" s="52"/>
      <c r="H379" s="52"/>
      <c r="I379" s="52"/>
      <c r="J379" s="52"/>
      <c r="K379" s="52"/>
      <c r="L379" s="66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8" customHeight="1" thickBot="1">
      <c r="A380" s="56"/>
      <c r="B380" s="62">
        <v>23</v>
      </c>
      <c r="C380" s="63"/>
      <c r="D380" s="64">
        <v>53</v>
      </c>
      <c r="E380" s="65"/>
      <c r="F380" s="1"/>
      <c r="G380" s="150" t="s">
        <v>224</v>
      </c>
      <c r="H380" s="151"/>
      <c r="I380" s="151"/>
      <c r="J380" s="152"/>
      <c r="K380" s="1"/>
      <c r="L380" s="66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8.75" customHeight="1">
      <c r="A381" s="56"/>
      <c r="B381" s="62">
        <v>24</v>
      </c>
      <c r="C381" s="63"/>
      <c r="D381" s="64">
        <v>54</v>
      </c>
      <c r="E381" s="65"/>
      <c r="F381" s="1"/>
      <c r="G381" s="153" t="s">
        <v>215</v>
      </c>
      <c r="H381" s="154"/>
      <c r="I381" s="155" t="s">
        <v>66</v>
      </c>
      <c r="J381" s="156"/>
      <c r="K381" s="1"/>
      <c r="L381" s="66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8.75" customHeight="1">
      <c r="A382" s="56"/>
      <c r="B382" s="62">
        <v>25</v>
      </c>
      <c r="C382" s="63"/>
      <c r="D382" s="64">
        <v>55</v>
      </c>
      <c r="E382" s="65"/>
      <c r="F382" s="1"/>
      <c r="G382" s="127" t="s">
        <v>225</v>
      </c>
      <c r="H382" s="128"/>
      <c r="I382" s="129"/>
      <c r="J382" s="130"/>
      <c r="K382" s="1"/>
      <c r="L382" s="66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8" customHeight="1">
      <c r="A383" s="56"/>
      <c r="B383" s="62">
        <v>26</v>
      </c>
      <c r="C383" s="63"/>
      <c r="D383" s="64">
        <v>56</v>
      </c>
      <c r="E383" s="65"/>
      <c r="F383" s="1"/>
      <c r="G383" s="127" t="s">
        <v>226</v>
      </c>
      <c r="H383" s="128"/>
      <c r="I383" s="129"/>
      <c r="J383" s="130"/>
      <c r="K383" s="1"/>
      <c r="L383" s="66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8" customHeight="1">
      <c r="A384" s="56"/>
      <c r="B384" s="62">
        <v>27</v>
      </c>
      <c r="C384" s="63"/>
      <c r="D384" s="64">
        <v>57</v>
      </c>
      <c r="E384" s="65"/>
      <c r="F384" s="1"/>
      <c r="G384" s="127" t="s">
        <v>227</v>
      </c>
      <c r="H384" s="128"/>
      <c r="I384" s="129"/>
      <c r="J384" s="130"/>
      <c r="K384" s="1"/>
      <c r="L384" s="66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8.75" customHeight="1">
      <c r="A385" s="56"/>
      <c r="B385" s="62">
        <v>28</v>
      </c>
      <c r="C385" s="63"/>
      <c r="D385" s="64">
        <v>58</v>
      </c>
      <c r="E385" s="65"/>
      <c r="F385" s="1"/>
      <c r="G385" s="127" t="s">
        <v>228</v>
      </c>
      <c r="H385" s="128"/>
      <c r="I385" s="129"/>
      <c r="J385" s="130"/>
      <c r="K385" s="1"/>
      <c r="L385" s="66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8.75" customHeight="1">
      <c r="A386" s="56"/>
      <c r="B386" s="62">
        <v>29</v>
      </c>
      <c r="C386" s="63"/>
      <c r="D386" s="64">
        <v>59</v>
      </c>
      <c r="E386" s="65"/>
      <c r="F386" s="1"/>
      <c r="G386" s="127" t="s">
        <v>229</v>
      </c>
      <c r="H386" s="128"/>
      <c r="I386" s="129"/>
      <c r="J386" s="130"/>
      <c r="K386" s="1"/>
      <c r="L386" s="66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8.75" customHeight="1" thickBot="1">
      <c r="A387" s="56"/>
      <c r="B387" s="62">
        <v>30</v>
      </c>
      <c r="C387" s="63"/>
      <c r="D387" s="64">
        <v>60</v>
      </c>
      <c r="E387" s="65"/>
      <c r="F387" s="1"/>
      <c r="G387" s="481" t="s">
        <v>54</v>
      </c>
      <c r="H387" s="482"/>
      <c r="I387" s="125">
        <f>SUM(I382:J386)</f>
        <v>0</v>
      </c>
      <c r="J387" s="126"/>
      <c r="K387" s="1"/>
      <c r="L387" s="66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8.75" customHeight="1" thickBot="1">
      <c r="A388" s="67"/>
      <c r="B388" s="478" t="s">
        <v>54</v>
      </c>
      <c r="C388" s="479"/>
      <c r="D388" s="480"/>
      <c r="E388" s="68">
        <f>SUM(C358:C387,E358:E387)</f>
        <v>0</v>
      </c>
      <c r="F388" s="69"/>
      <c r="G388" s="69"/>
      <c r="H388" s="69"/>
      <c r="I388" s="69"/>
      <c r="J388" s="69"/>
      <c r="K388" s="69"/>
      <c r="L388" s="70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8.75" customHeight="1" thickBo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8.75" customHeight="1">
      <c r="A390" s="191" t="s">
        <v>230</v>
      </c>
      <c r="B390" s="192"/>
      <c r="C390" s="192"/>
      <c r="D390" s="192"/>
      <c r="E390" s="192"/>
      <c r="F390" s="192"/>
      <c r="G390" s="192"/>
      <c r="H390" s="192"/>
      <c r="I390" s="192"/>
      <c r="J390" s="192"/>
      <c r="K390" s="192"/>
      <c r="L390" s="193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8.75" customHeight="1" thickBot="1">
      <c r="A391" s="318"/>
      <c r="B391" s="322"/>
      <c r="C391" s="322"/>
      <c r="D391" s="322"/>
      <c r="E391" s="322"/>
      <c r="F391" s="322"/>
      <c r="G391" s="322"/>
      <c r="H391" s="322"/>
      <c r="I391" s="322"/>
      <c r="J391" s="322"/>
      <c r="K391" s="322"/>
      <c r="L391" s="477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8.75" customHeight="1">
      <c r="A392" s="474" t="s">
        <v>65</v>
      </c>
      <c r="B392" s="475"/>
      <c r="C392" s="475"/>
      <c r="D392" s="475"/>
      <c r="E392" s="475"/>
      <c r="F392" s="475"/>
      <c r="G392" s="476"/>
      <c r="H392" s="71" t="s">
        <v>231</v>
      </c>
      <c r="I392" s="472" t="s">
        <v>232</v>
      </c>
      <c r="J392" s="473"/>
      <c r="K392" s="293" t="s">
        <v>233</v>
      </c>
      <c r="L392" s="294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8.75" customHeight="1">
      <c r="A393" s="93" t="s">
        <v>234</v>
      </c>
      <c r="B393" s="94"/>
      <c r="C393" s="94"/>
      <c r="D393" s="94"/>
      <c r="E393" s="94"/>
      <c r="F393" s="94"/>
      <c r="G393" s="95"/>
      <c r="H393" s="72"/>
      <c r="I393" s="89"/>
      <c r="J393" s="90"/>
      <c r="K393" s="91">
        <f t="shared" ref="K393:K425" si="2">H393*I393</f>
        <v>0</v>
      </c>
      <c r="L393" s="92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8.75" customHeight="1">
      <c r="A394" s="93" t="s">
        <v>235</v>
      </c>
      <c r="B394" s="94"/>
      <c r="C394" s="94"/>
      <c r="D394" s="94"/>
      <c r="E394" s="94"/>
      <c r="F394" s="94"/>
      <c r="G394" s="95"/>
      <c r="H394" s="72"/>
      <c r="I394" s="89"/>
      <c r="J394" s="90"/>
      <c r="K394" s="91">
        <f t="shared" si="2"/>
        <v>0</v>
      </c>
      <c r="L394" s="92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8.75" customHeight="1">
      <c r="A395" s="93" t="s">
        <v>235</v>
      </c>
      <c r="B395" s="94"/>
      <c r="C395" s="94"/>
      <c r="D395" s="94"/>
      <c r="E395" s="94"/>
      <c r="F395" s="94"/>
      <c r="G395" s="95"/>
      <c r="H395" s="72"/>
      <c r="I395" s="89"/>
      <c r="J395" s="90"/>
      <c r="K395" s="91">
        <f t="shared" si="2"/>
        <v>0</v>
      </c>
      <c r="L395" s="92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8.75" customHeight="1">
      <c r="A396" s="93" t="s">
        <v>235</v>
      </c>
      <c r="B396" s="94"/>
      <c r="C396" s="94"/>
      <c r="D396" s="94"/>
      <c r="E396" s="94"/>
      <c r="F396" s="94"/>
      <c r="G396" s="95"/>
      <c r="H396" s="72"/>
      <c r="I396" s="89"/>
      <c r="J396" s="90"/>
      <c r="K396" s="91">
        <f t="shared" si="2"/>
        <v>0</v>
      </c>
      <c r="L396" s="92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8.75" customHeight="1">
      <c r="A397" s="93" t="s">
        <v>235</v>
      </c>
      <c r="B397" s="94"/>
      <c r="C397" s="94"/>
      <c r="D397" s="94"/>
      <c r="E397" s="94"/>
      <c r="F397" s="94"/>
      <c r="G397" s="95"/>
      <c r="H397" s="72"/>
      <c r="I397" s="89"/>
      <c r="J397" s="90"/>
      <c r="K397" s="91">
        <f t="shared" si="2"/>
        <v>0</v>
      </c>
      <c r="L397" s="92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8.75" customHeight="1">
      <c r="A398" s="93" t="s">
        <v>235</v>
      </c>
      <c r="B398" s="94"/>
      <c r="C398" s="94"/>
      <c r="D398" s="94"/>
      <c r="E398" s="94"/>
      <c r="F398" s="94"/>
      <c r="G398" s="95"/>
      <c r="H398" s="72"/>
      <c r="I398" s="89"/>
      <c r="J398" s="90"/>
      <c r="K398" s="91">
        <f t="shared" si="2"/>
        <v>0</v>
      </c>
      <c r="L398" s="92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8.75" customHeight="1">
      <c r="A399" s="93" t="s">
        <v>235</v>
      </c>
      <c r="B399" s="94"/>
      <c r="C399" s="94"/>
      <c r="D399" s="94"/>
      <c r="E399" s="94"/>
      <c r="F399" s="94"/>
      <c r="G399" s="95"/>
      <c r="H399" s="72"/>
      <c r="I399" s="89"/>
      <c r="J399" s="90"/>
      <c r="K399" s="91">
        <f t="shared" si="2"/>
        <v>0</v>
      </c>
      <c r="L399" s="92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8.75" customHeight="1">
      <c r="A400" s="93" t="s">
        <v>235</v>
      </c>
      <c r="B400" s="94"/>
      <c r="C400" s="94"/>
      <c r="D400" s="94"/>
      <c r="E400" s="94"/>
      <c r="F400" s="94"/>
      <c r="G400" s="95"/>
      <c r="H400" s="72"/>
      <c r="I400" s="89"/>
      <c r="J400" s="90"/>
      <c r="K400" s="91">
        <f t="shared" si="2"/>
        <v>0</v>
      </c>
      <c r="L400" s="92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8.75" customHeight="1">
      <c r="A401" s="93" t="s">
        <v>235</v>
      </c>
      <c r="B401" s="94"/>
      <c r="C401" s="94"/>
      <c r="D401" s="94"/>
      <c r="E401" s="94"/>
      <c r="F401" s="94"/>
      <c r="G401" s="95"/>
      <c r="H401" s="72"/>
      <c r="I401" s="89"/>
      <c r="J401" s="90"/>
      <c r="K401" s="91">
        <f t="shared" si="2"/>
        <v>0</v>
      </c>
      <c r="L401" s="92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8.75" customHeight="1">
      <c r="A402" s="93" t="s">
        <v>235</v>
      </c>
      <c r="B402" s="94"/>
      <c r="C402" s="94"/>
      <c r="D402" s="94"/>
      <c r="E402" s="94"/>
      <c r="F402" s="94"/>
      <c r="G402" s="95"/>
      <c r="H402" s="72"/>
      <c r="I402" s="89"/>
      <c r="J402" s="90"/>
      <c r="K402" s="91">
        <f t="shared" si="2"/>
        <v>0</v>
      </c>
      <c r="L402" s="92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8.75" customHeight="1">
      <c r="A403" s="93" t="s">
        <v>235</v>
      </c>
      <c r="B403" s="94"/>
      <c r="C403" s="94"/>
      <c r="D403" s="94"/>
      <c r="E403" s="94"/>
      <c r="F403" s="94"/>
      <c r="G403" s="95"/>
      <c r="H403" s="72"/>
      <c r="I403" s="89"/>
      <c r="J403" s="90"/>
      <c r="K403" s="91">
        <f t="shared" si="2"/>
        <v>0</v>
      </c>
      <c r="L403" s="92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8.75" customHeight="1">
      <c r="A404" s="93" t="s">
        <v>235</v>
      </c>
      <c r="B404" s="94"/>
      <c r="C404" s="94"/>
      <c r="D404" s="94"/>
      <c r="E404" s="94"/>
      <c r="F404" s="94"/>
      <c r="G404" s="95"/>
      <c r="H404" s="72"/>
      <c r="I404" s="89"/>
      <c r="J404" s="90"/>
      <c r="K404" s="91">
        <f t="shared" si="2"/>
        <v>0</v>
      </c>
      <c r="L404" s="92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8.75" customHeight="1">
      <c r="A405" s="93" t="s">
        <v>235</v>
      </c>
      <c r="B405" s="94"/>
      <c r="C405" s="94"/>
      <c r="D405" s="94"/>
      <c r="E405" s="94"/>
      <c r="F405" s="94"/>
      <c r="G405" s="95"/>
      <c r="H405" s="72"/>
      <c r="I405" s="89"/>
      <c r="J405" s="90"/>
      <c r="K405" s="91">
        <f t="shared" si="2"/>
        <v>0</v>
      </c>
      <c r="L405" s="92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8.75" customHeight="1">
      <c r="A406" s="93" t="s">
        <v>235</v>
      </c>
      <c r="B406" s="94"/>
      <c r="C406" s="94"/>
      <c r="D406" s="94"/>
      <c r="E406" s="94"/>
      <c r="F406" s="94"/>
      <c r="G406" s="95"/>
      <c r="H406" s="72"/>
      <c r="I406" s="89"/>
      <c r="J406" s="90"/>
      <c r="K406" s="91">
        <f t="shared" si="2"/>
        <v>0</v>
      </c>
      <c r="L406" s="92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8.75" customHeight="1">
      <c r="A407" s="93" t="s">
        <v>235</v>
      </c>
      <c r="B407" s="94"/>
      <c r="C407" s="94"/>
      <c r="D407" s="94"/>
      <c r="E407" s="94"/>
      <c r="F407" s="94"/>
      <c r="G407" s="95"/>
      <c r="H407" s="72"/>
      <c r="I407" s="89"/>
      <c r="J407" s="90"/>
      <c r="K407" s="91">
        <f t="shared" si="2"/>
        <v>0</v>
      </c>
      <c r="L407" s="92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8.75" customHeight="1">
      <c r="A408" s="93" t="s">
        <v>235</v>
      </c>
      <c r="B408" s="94"/>
      <c r="C408" s="94"/>
      <c r="D408" s="94"/>
      <c r="E408" s="94"/>
      <c r="F408" s="94"/>
      <c r="G408" s="95"/>
      <c r="H408" s="72"/>
      <c r="I408" s="89"/>
      <c r="J408" s="90"/>
      <c r="K408" s="91">
        <f t="shared" si="2"/>
        <v>0</v>
      </c>
      <c r="L408" s="92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8.75" customHeight="1">
      <c r="A409" s="93" t="s">
        <v>235</v>
      </c>
      <c r="B409" s="94"/>
      <c r="C409" s="94"/>
      <c r="D409" s="94"/>
      <c r="E409" s="94"/>
      <c r="F409" s="94"/>
      <c r="G409" s="95"/>
      <c r="H409" s="72"/>
      <c r="I409" s="89"/>
      <c r="J409" s="90"/>
      <c r="K409" s="91">
        <f t="shared" si="2"/>
        <v>0</v>
      </c>
      <c r="L409" s="92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8.75" customHeight="1">
      <c r="A410" s="93" t="s">
        <v>235</v>
      </c>
      <c r="B410" s="94"/>
      <c r="C410" s="94"/>
      <c r="D410" s="94"/>
      <c r="E410" s="94"/>
      <c r="F410" s="94"/>
      <c r="G410" s="95"/>
      <c r="H410" s="72"/>
      <c r="I410" s="89"/>
      <c r="J410" s="90"/>
      <c r="K410" s="91">
        <f t="shared" si="2"/>
        <v>0</v>
      </c>
      <c r="L410" s="92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8.75" customHeight="1">
      <c r="A411" s="93" t="s">
        <v>235</v>
      </c>
      <c r="B411" s="94"/>
      <c r="C411" s="94"/>
      <c r="D411" s="94"/>
      <c r="E411" s="94"/>
      <c r="F411" s="94"/>
      <c r="G411" s="95"/>
      <c r="H411" s="72"/>
      <c r="I411" s="89"/>
      <c r="J411" s="90"/>
      <c r="K411" s="91">
        <f t="shared" si="2"/>
        <v>0</v>
      </c>
      <c r="L411" s="92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8.75" customHeight="1">
      <c r="A412" s="93" t="s">
        <v>235</v>
      </c>
      <c r="B412" s="94"/>
      <c r="C412" s="94"/>
      <c r="D412" s="94"/>
      <c r="E412" s="94"/>
      <c r="F412" s="94"/>
      <c r="G412" s="95"/>
      <c r="H412" s="72"/>
      <c r="I412" s="89"/>
      <c r="J412" s="90"/>
      <c r="K412" s="91">
        <f t="shared" si="2"/>
        <v>0</v>
      </c>
      <c r="L412" s="92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8.75" customHeight="1">
      <c r="A413" s="93" t="s">
        <v>235</v>
      </c>
      <c r="B413" s="94"/>
      <c r="C413" s="94"/>
      <c r="D413" s="94"/>
      <c r="E413" s="94"/>
      <c r="F413" s="94"/>
      <c r="G413" s="95"/>
      <c r="H413" s="72"/>
      <c r="I413" s="89"/>
      <c r="J413" s="90"/>
      <c r="K413" s="91">
        <f t="shared" si="2"/>
        <v>0</v>
      </c>
      <c r="L413" s="92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8.75" customHeight="1">
      <c r="A414" s="93" t="s">
        <v>235</v>
      </c>
      <c r="B414" s="94"/>
      <c r="C414" s="94"/>
      <c r="D414" s="94"/>
      <c r="E414" s="94"/>
      <c r="F414" s="94"/>
      <c r="G414" s="95"/>
      <c r="H414" s="72"/>
      <c r="I414" s="89"/>
      <c r="J414" s="90"/>
      <c r="K414" s="91">
        <f t="shared" si="2"/>
        <v>0</v>
      </c>
      <c r="L414" s="92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8.75" customHeight="1">
      <c r="A415" s="93" t="s">
        <v>235</v>
      </c>
      <c r="B415" s="94"/>
      <c r="C415" s="94"/>
      <c r="D415" s="94"/>
      <c r="E415" s="94"/>
      <c r="F415" s="94"/>
      <c r="G415" s="95"/>
      <c r="H415" s="72"/>
      <c r="I415" s="89"/>
      <c r="J415" s="90"/>
      <c r="K415" s="91">
        <f t="shared" si="2"/>
        <v>0</v>
      </c>
      <c r="L415" s="92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8.75" customHeight="1">
      <c r="A416" s="93" t="s">
        <v>235</v>
      </c>
      <c r="B416" s="94"/>
      <c r="C416" s="94"/>
      <c r="D416" s="94"/>
      <c r="E416" s="94"/>
      <c r="F416" s="94"/>
      <c r="G416" s="95"/>
      <c r="H416" s="72"/>
      <c r="I416" s="89"/>
      <c r="J416" s="90"/>
      <c r="K416" s="91">
        <f t="shared" si="2"/>
        <v>0</v>
      </c>
      <c r="L416" s="92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8.75" customHeight="1">
      <c r="A417" s="93" t="s">
        <v>235</v>
      </c>
      <c r="B417" s="94"/>
      <c r="C417" s="94"/>
      <c r="D417" s="94"/>
      <c r="E417" s="94"/>
      <c r="F417" s="94"/>
      <c r="G417" s="95"/>
      <c r="H417" s="72"/>
      <c r="I417" s="89"/>
      <c r="J417" s="90"/>
      <c r="K417" s="91">
        <f t="shared" si="2"/>
        <v>0</v>
      </c>
      <c r="L417" s="92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8.75" customHeight="1">
      <c r="A418" s="93" t="s">
        <v>235</v>
      </c>
      <c r="B418" s="94"/>
      <c r="C418" s="94"/>
      <c r="D418" s="94"/>
      <c r="E418" s="94"/>
      <c r="F418" s="94"/>
      <c r="G418" s="95"/>
      <c r="H418" s="72"/>
      <c r="I418" s="89"/>
      <c r="J418" s="90"/>
      <c r="K418" s="91">
        <f t="shared" si="2"/>
        <v>0</v>
      </c>
      <c r="L418" s="92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8.75" customHeight="1">
      <c r="A419" s="93" t="s">
        <v>235</v>
      </c>
      <c r="B419" s="94"/>
      <c r="C419" s="94"/>
      <c r="D419" s="94"/>
      <c r="E419" s="94"/>
      <c r="F419" s="94"/>
      <c r="G419" s="95"/>
      <c r="H419" s="72"/>
      <c r="I419" s="89"/>
      <c r="J419" s="90"/>
      <c r="K419" s="91">
        <f t="shared" si="2"/>
        <v>0</v>
      </c>
      <c r="L419" s="92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8.75" customHeight="1">
      <c r="A420" s="93" t="s">
        <v>235</v>
      </c>
      <c r="B420" s="94"/>
      <c r="C420" s="94"/>
      <c r="D420" s="94"/>
      <c r="E420" s="94"/>
      <c r="F420" s="94"/>
      <c r="G420" s="95"/>
      <c r="H420" s="72"/>
      <c r="I420" s="89"/>
      <c r="J420" s="90"/>
      <c r="K420" s="91">
        <f t="shared" si="2"/>
        <v>0</v>
      </c>
      <c r="L420" s="92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8" customHeight="1">
      <c r="A421" s="93" t="s">
        <v>235</v>
      </c>
      <c r="B421" s="94"/>
      <c r="C421" s="94"/>
      <c r="D421" s="94"/>
      <c r="E421" s="94"/>
      <c r="F421" s="94"/>
      <c r="G421" s="95"/>
      <c r="H421" s="72"/>
      <c r="I421" s="89"/>
      <c r="J421" s="90"/>
      <c r="K421" s="91">
        <f t="shared" si="2"/>
        <v>0</v>
      </c>
      <c r="L421" s="92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8.75">
      <c r="A422" s="93" t="s">
        <v>235</v>
      </c>
      <c r="B422" s="94"/>
      <c r="C422" s="94"/>
      <c r="D422" s="94"/>
      <c r="E422" s="94"/>
      <c r="F422" s="94"/>
      <c r="G422" s="95"/>
      <c r="H422" s="72"/>
      <c r="I422" s="89"/>
      <c r="J422" s="90"/>
      <c r="K422" s="91">
        <f t="shared" si="2"/>
        <v>0</v>
      </c>
      <c r="L422" s="92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8.75" customHeight="1">
      <c r="A423" s="93" t="s">
        <v>235</v>
      </c>
      <c r="B423" s="94"/>
      <c r="C423" s="94"/>
      <c r="D423" s="94"/>
      <c r="E423" s="94"/>
      <c r="F423" s="94"/>
      <c r="G423" s="95"/>
      <c r="H423" s="72"/>
      <c r="I423" s="89"/>
      <c r="J423" s="90"/>
      <c r="K423" s="91">
        <f t="shared" si="2"/>
        <v>0</v>
      </c>
      <c r="L423" s="92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8" customHeight="1">
      <c r="A424" s="93" t="s">
        <v>235</v>
      </c>
      <c r="B424" s="94"/>
      <c r="C424" s="94"/>
      <c r="D424" s="94"/>
      <c r="E424" s="94"/>
      <c r="F424" s="94"/>
      <c r="G424" s="95"/>
      <c r="H424" s="72"/>
      <c r="I424" s="89"/>
      <c r="J424" s="90"/>
      <c r="K424" s="91">
        <f t="shared" si="2"/>
        <v>0</v>
      </c>
      <c r="L424" s="92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8.75" customHeight="1" thickBot="1">
      <c r="A425" s="102" t="s">
        <v>235</v>
      </c>
      <c r="B425" s="103"/>
      <c r="C425" s="103"/>
      <c r="D425" s="103"/>
      <c r="E425" s="103"/>
      <c r="F425" s="103"/>
      <c r="G425" s="104"/>
      <c r="H425" s="73"/>
      <c r="I425" s="105"/>
      <c r="J425" s="106"/>
      <c r="K425" s="107">
        <f t="shared" si="2"/>
        <v>0</v>
      </c>
      <c r="L425" s="108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8" customHeight="1" thickBot="1">
      <c r="A426" s="109" t="s">
        <v>54</v>
      </c>
      <c r="B426" s="110"/>
      <c r="C426" s="110"/>
      <c r="D426" s="110"/>
      <c r="E426" s="110"/>
      <c r="F426" s="110"/>
      <c r="G426" s="111"/>
      <c r="H426" s="74"/>
      <c r="I426" s="114"/>
      <c r="J426" s="115"/>
      <c r="K426" s="112">
        <f>SUM(K393:L425)</f>
        <v>0</v>
      </c>
      <c r="L426" s="113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8.75" customHeight="1" thickBo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8" customHeight="1" thickBot="1">
      <c r="A428" s="116" t="s">
        <v>236</v>
      </c>
      <c r="B428" s="117"/>
      <c r="C428" s="117"/>
      <c r="D428" s="117"/>
      <c r="E428" s="117"/>
      <c r="F428" s="117"/>
      <c r="G428" s="117"/>
      <c r="H428" s="117"/>
      <c r="I428" s="117"/>
      <c r="J428" s="117"/>
      <c r="K428" s="117"/>
      <c r="L428" s="118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8.75" customHeight="1">
      <c r="A429" s="119" t="s">
        <v>237</v>
      </c>
      <c r="B429" s="120"/>
      <c r="C429" s="120"/>
      <c r="D429" s="120"/>
      <c r="E429" s="120"/>
      <c r="F429" s="120"/>
      <c r="G429" s="120"/>
      <c r="H429" s="120"/>
      <c r="I429" s="120"/>
      <c r="J429" s="120"/>
      <c r="K429" s="120"/>
      <c r="L429" s="12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8.75" customHeight="1">
      <c r="A430" s="122" t="s">
        <v>238</v>
      </c>
      <c r="B430" s="86"/>
      <c r="C430" s="86"/>
      <c r="D430" s="84"/>
      <c r="E430" s="123" t="s">
        <v>239</v>
      </c>
      <c r="F430" s="84"/>
      <c r="G430" s="124" t="s">
        <v>240</v>
      </c>
      <c r="H430" s="84"/>
      <c r="I430" s="124" t="s">
        <v>241</v>
      </c>
      <c r="J430" s="86"/>
      <c r="K430" s="86"/>
      <c r="L430" s="87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8.75" customHeight="1">
      <c r="A431" s="88"/>
      <c r="B431" s="86"/>
      <c r="C431" s="86"/>
      <c r="D431" s="84"/>
      <c r="E431" s="83"/>
      <c r="F431" s="84"/>
      <c r="G431" s="83"/>
      <c r="H431" s="84"/>
      <c r="I431" s="85" t="s">
        <v>242</v>
      </c>
      <c r="J431" s="86"/>
      <c r="K431" s="86"/>
      <c r="L431" s="87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8.75" customHeight="1">
      <c r="A432" s="88"/>
      <c r="B432" s="86"/>
      <c r="C432" s="86"/>
      <c r="D432" s="84"/>
      <c r="E432" s="83"/>
      <c r="F432" s="84"/>
      <c r="G432" s="83"/>
      <c r="H432" s="84"/>
      <c r="I432" s="85" t="s">
        <v>242</v>
      </c>
      <c r="J432" s="86"/>
      <c r="K432" s="86"/>
      <c r="L432" s="87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6" ht="18.75" customHeight="1">
      <c r="A433" s="88"/>
      <c r="B433" s="86"/>
      <c r="C433" s="86"/>
      <c r="D433" s="84"/>
      <c r="E433" s="83"/>
      <c r="F433" s="84"/>
      <c r="G433" s="83"/>
      <c r="H433" s="84"/>
      <c r="I433" s="85" t="s">
        <v>242</v>
      </c>
      <c r="J433" s="86"/>
      <c r="K433" s="86"/>
      <c r="L433" s="87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6" ht="18.75" customHeight="1">
      <c r="A434" s="88"/>
      <c r="B434" s="86"/>
      <c r="C434" s="86"/>
      <c r="D434" s="84"/>
      <c r="E434" s="83"/>
      <c r="F434" s="84"/>
      <c r="G434" s="83"/>
      <c r="H434" s="84"/>
      <c r="I434" s="85" t="s">
        <v>242</v>
      </c>
      <c r="J434" s="86"/>
      <c r="K434" s="86"/>
      <c r="L434" s="87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6" ht="18.75" customHeight="1">
      <c r="A435" s="88"/>
      <c r="B435" s="86"/>
      <c r="C435" s="86"/>
      <c r="D435" s="84"/>
      <c r="E435" s="83"/>
      <c r="F435" s="84"/>
      <c r="G435" s="83"/>
      <c r="H435" s="84"/>
      <c r="I435" s="85" t="s">
        <v>242</v>
      </c>
      <c r="J435" s="86"/>
      <c r="K435" s="86"/>
      <c r="L435" s="87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6" ht="18.75" customHeight="1">
      <c r="A436" s="88"/>
      <c r="B436" s="86"/>
      <c r="C436" s="86"/>
      <c r="D436" s="84"/>
      <c r="E436" s="83"/>
      <c r="F436" s="84"/>
      <c r="G436" s="83"/>
      <c r="H436" s="84"/>
      <c r="I436" s="85" t="s">
        <v>242</v>
      </c>
      <c r="J436" s="86"/>
      <c r="K436" s="86"/>
      <c r="L436" s="87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6" ht="18.75" customHeight="1" thickBot="1">
      <c r="A437" s="96"/>
      <c r="B437" s="97"/>
      <c r="C437" s="97"/>
      <c r="D437" s="98"/>
      <c r="E437" s="99"/>
      <c r="F437" s="98"/>
      <c r="G437" s="99"/>
      <c r="H437" s="98"/>
      <c r="I437" s="100" t="s">
        <v>242</v>
      </c>
      <c r="J437" s="97"/>
      <c r="K437" s="97"/>
      <c r="L437" s="10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6" ht="18.75" customHeight="1"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6" ht="18.75" customHeight="1"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6" ht="18.75" customHeight="1"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6" ht="18.75" customHeight="1"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6" ht="18.75" customHeight="1"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6" ht="18.75" customHeight="1"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6" ht="18.75" customHeight="1"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8.75" customHeight="1"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8.75" customHeight="1"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8.75" customHeight="1"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8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8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8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8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8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8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8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8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8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8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8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8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8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8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8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8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8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8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8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8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8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8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8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8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8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8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8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8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8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8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8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8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8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8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8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8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8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8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8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8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8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8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8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8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8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8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8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8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8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8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8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8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8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8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8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8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8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8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8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8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8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8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8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8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8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8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8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8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8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8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8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8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8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8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8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8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8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8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8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8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8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8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8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8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8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8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8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8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8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8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8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8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8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8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8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8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8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8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8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8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8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8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8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8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8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8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8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8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8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8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8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8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8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8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8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8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8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8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8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8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8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8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8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8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8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8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8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8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8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8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8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8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8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8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8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8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8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8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8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8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8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8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8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8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8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8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8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8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8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8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8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8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8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8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8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8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8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8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8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8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8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8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8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8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8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8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8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8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8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8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8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8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8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8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8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8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8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8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8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8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8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8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8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8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8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8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8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8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8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8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8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8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8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8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8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8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8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8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8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8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/>
    <row r="649" spans="1:26" ht="15.75" customHeight="1"/>
    <row r="650" spans="1:26" ht="15.75" customHeight="1"/>
    <row r="651" spans="1:26" ht="15.75" customHeight="1"/>
    <row r="652" spans="1:26" ht="15.75" customHeight="1"/>
    <row r="653" spans="1:26" ht="15.75" customHeight="1"/>
    <row r="654" spans="1:26" ht="15.75" customHeight="1"/>
    <row r="655" spans="1:26" ht="15.75" customHeight="1"/>
    <row r="656" spans="1:2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689">
    <mergeCell ref="K95:L96"/>
    <mergeCell ref="A95:J96"/>
    <mergeCell ref="A98:L99"/>
    <mergeCell ref="A101:J102"/>
    <mergeCell ref="K101:L102"/>
    <mergeCell ref="A103:J104"/>
    <mergeCell ref="K103:L104"/>
    <mergeCell ref="A107:L107"/>
    <mergeCell ref="J110:J111"/>
    <mergeCell ref="K110:K111"/>
    <mergeCell ref="A108:L108"/>
    <mergeCell ref="A109:L109"/>
    <mergeCell ref="C110:E111"/>
    <mergeCell ref="A393:G393"/>
    <mergeCell ref="K392:L392"/>
    <mergeCell ref="I392:J392"/>
    <mergeCell ref="A392:G392"/>
    <mergeCell ref="A390:L391"/>
    <mergeCell ref="B388:D388"/>
    <mergeCell ref="G387:H387"/>
    <mergeCell ref="K393:L393"/>
    <mergeCell ref="I393:J393"/>
    <mergeCell ref="K413:L413"/>
    <mergeCell ref="I413:J413"/>
    <mergeCell ref="A413:G413"/>
    <mergeCell ref="K412:L412"/>
    <mergeCell ref="I412:J412"/>
    <mergeCell ref="A412:G412"/>
    <mergeCell ref="K414:L414"/>
    <mergeCell ref="I414:J414"/>
    <mergeCell ref="I394:J394"/>
    <mergeCell ref="A394:G394"/>
    <mergeCell ref="K396:L396"/>
    <mergeCell ref="I396:J396"/>
    <mergeCell ref="B24:L24"/>
    <mergeCell ref="A26:L27"/>
    <mergeCell ref="A28:B29"/>
    <mergeCell ref="C28:L29"/>
    <mergeCell ref="A33:B36"/>
    <mergeCell ref="A418:G418"/>
    <mergeCell ref="K420:L420"/>
    <mergeCell ref="I420:J420"/>
    <mergeCell ref="A417:G417"/>
    <mergeCell ref="K416:L416"/>
    <mergeCell ref="I416:J416"/>
    <mergeCell ref="A416:G416"/>
    <mergeCell ref="K415:L415"/>
    <mergeCell ref="I415:J415"/>
    <mergeCell ref="A415:G415"/>
    <mergeCell ref="K417:L417"/>
    <mergeCell ref="I417:J417"/>
    <mergeCell ref="K418:L418"/>
    <mergeCell ref="A419:G419"/>
    <mergeCell ref="I419:J419"/>
    <mergeCell ref="K419:L419"/>
    <mergeCell ref="A420:G420"/>
    <mergeCell ref="I418:J418"/>
    <mergeCell ref="A414:G414"/>
    <mergeCell ref="A17:L18"/>
    <mergeCell ref="A19:L19"/>
    <mergeCell ref="A20:A21"/>
    <mergeCell ref="B20:G21"/>
    <mergeCell ref="H20:H21"/>
    <mergeCell ref="I20:L21"/>
    <mergeCell ref="A22:B22"/>
    <mergeCell ref="C22:L22"/>
    <mergeCell ref="B23:H23"/>
    <mergeCell ref="J23:L23"/>
    <mergeCell ref="A1:L3"/>
    <mergeCell ref="A4:L4"/>
    <mergeCell ref="A5:L5"/>
    <mergeCell ref="A6:G6"/>
    <mergeCell ref="H6:L6"/>
    <mergeCell ref="A7:L7"/>
    <mergeCell ref="A8:C8"/>
    <mergeCell ref="A14:E14"/>
    <mergeCell ref="F14:L14"/>
    <mergeCell ref="A9:E9"/>
    <mergeCell ref="H9:L9"/>
    <mergeCell ref="A10:L10"/>
    <mergeCell ref="A11:G11"/>
    <mergeCell ref="H11:L11"/>
    <mergeCell ref="A12:L12"/>
    <mergeCell ref="A13:C13"/>
    <mergeCell ref="H13:L13"/>
    <mergeCell ref="D13:E13"/>
    <mergeCell ref="F13:G13"/>
    <mergeCell ref="D8:E8"/>
    <mergeCell ref="H8:L8"/>
    <mergeCell ref="C34:L34"/>
    <mergeCell ref="C35:L35"/>
    <mergeCell ref="A30:B30"/>
    <mergeCell ref="C30:L30"/>
    <mergeCell ref="A31:B32"/>
    <mergeCell ref="E31:L31"/>
    <mergeCell ref="D32:L32"/>
    <mergeCell ref="C33:L33"/>
    <mergeCell ref="C36:L36"/>
    <mergeCell ref="A37:B38"/>
    <mergeCell ref="C37:L37"/>
    <mergeCell ref="C38:L38"/>
    <mergeCell ref="A39:B40"/>
    <mergeCell ref="C39:L39"/>
    <mergeCell ref="C40:L40"/>
    <mergeCell ref="A41:B41"/>
    <mergeCell ref="C41:L41"/>
    <mergeCell ref="A42:B42"/>
    <mergeCell ref="C42:L42"/>
    <mergeCell ref="A44:L45"/>
    <mergeCell ref="A60:L60"/>
    <mergeCell ref="A61:L62"/>
    <mergeCell ref="A68:A69"/>
    <mergeCell ref="A70:A71"/>
    <mergeCell ref="A64:A67"/>
    <mergeCell ref="K63:L63"/>
    <mergeCell ref="A63:J63"/>
    <mergeCell ref="A72:A73"/>
    <mergeCell ref="A46:L46"/>
    <mergeCell ref="A48:L49"/>
    <mergeCell ref="A50:L50"/>
    <mergeCell ref="A52:L53"/>
    <mergeCell ref="A54:L54"/>
    <mergeCell ref="A56:L57"/>
    <mergeCell ref="A58:L58"/>
    <mergeCell ref="B70:J71"/>
    <mergeCell ref="B68:J69"/>
    <mergeCell ref="B66:J67"/>
    <mergeCell ref="K64:L81"/>
    <mergeCell ref="B64:J65"/>
    <mergeCell ref="B74:J75"/>
    <mergeCell ref="B72:J73"/>
    <mergeCell ref="A74:A75"/>
    <mergeCell ref="A87:J88"/>
    <mergeCell ref="K87:L88"/>
    <mergeCell ref="A89:J90"/>
    <mergeCell ref="K89:L90"/>
    <mergeCell ref="A91:J92"/>
    <mergeCell ref="K91:L92"/>
    <mergeCell ref="A93:J94"/>
    <mergeCell ref="K93:L94"/>
    <mergeCell ref="A76:A77"/>
    <mergeCell ref="B76:J77"/>
    <mergeCell ref="A78:A79"/>
    <mergeCell ref="B78:J79"/>
    <mergeCell ref="A80:A81"/>
    <mergeCell ref="B80:J81"/>
    <mergeCell ref="A83:L84"/>
    <mergeCell ref="A85:J86"/>
    <mergeCell ref="K85:L86"/>
    <mergeCell ref="F110:G111"/>
    <mergeCell ref="H110:H111"/>
    <mergeCell ref="I110:I111"/>
    <mergeCell ref="L110:L111"/>
    <mergeCell ref="A110:B111"/>
    <mergeCell ref="A112:B112"/>
    <mergeCell ref="C112:E112"/>
    <mergeCell ref="F112:G112"/>
    <mergeCell ref="A113:B113"/>
    <mergeCell ref="C113:E113"/>
    <mergeCell ref="F113:G113"/>
    <mergeCell ref="C116:E116"/>
    <mergeCell ref="F116:G116"/>
    <mergeCell ref="A114:B114"/>
    <mergeCell ref="C114:E114"/>
    <mergeCell ref="F114:G114"/>
    <mergeCell ref="A115:B115"/>
    <mergeCell ref="C115:E115"/>
    <mergeCell ref="F115:G115"/>
    <mergeCell ref="A116:B116"/>
    <mergeCell ref="C128:E128"/>
    <mergeCell ref="F128:G128"/>
    <mergeCell ref="A126:B126"/>
    <mergeCell ref="C126:E126"/>
    <mergeCell ref="F126:G126"/>
    <mergeCell ref="A127:B127"/>
    <mergeCell ref="C127:E127"/>
    <mergeCell ref="F127:G127"/>
    <mergeCell ref="A128:B128"/>
    <mergeCell ref="C131:E131"/>
    <mergeCell ref="F131:G131"/>
    <mergeCell ref="A129:B129"/>
    <mergeCell ref="C129:E129"/>
    <mergeCell ref="F129:G129"/>
    <mergeCell ref="A130:B130"/>
    <mergeCell ref="C130:E130"/>
    <mergeCell ref="F130:G130"/>
    <mergeCell ref="A131:B131"/>
    <mergeCell ref="C134:E134"/>
    <mergeCell ref="F134:G134"/>
    <mergeCell ref="A132:B132"/>
    <mergeCell ref="C132:E132"/>
    <mergeCell ref="F132:G132"/>
    <mergeCell ref="A133:B133"/>
    <mergeCell ref="C133:E133"/>
    <mergeCell ref="F133:G133"/>
    <mergeCell ref="A134:B134"/>
    <mergeCell ref="C137:E137"/>
    <mergeCell ref="F137:G137"/>
    <mergeCell ref="A135:B135"/>
    <mergeCell ref="C135:E135"/>
    <mergeCell ref="F135:G135"/>
    <mergeCell ref="A136:B136"/>
    <mergeCell ref="C136:E136"/>
    <mergeCell ref="F136:G136"/>
    <mergeCell ref="A137:B137"/>
    <mergeCell ref="C119:E119"/>
    <mergeCell ref="F119:G119"/>
    <mergeCell ref="A117:B117"/>
    <mergeCell ref="C117:E117"/>
    <mergeCell ref="F117:G117"/>
    <mergeCell ref="A118:B118"/>
    <mergeCell ref="C118:E118"/>
    <mergeCell ref="F118:G118"/>
    <mergeCell ref="A119:B119"/>
    <mergeCell ref="C122:E122"/>
    <mergeCell ref="F122:G122"/>
    <mergeCell ref="A120:B120"/>
    <mergeCell ref="C120:E120"/>
    <mergeCell ref="F120:G120"/>
    <mergeCell ref="A121:B121"/>
    <mergeCell ref="C121:E121"/>
    <mergeCell ref="F121:G121"/>
    <mergeCell ref="A122:B122"/>
    <mergeCell ref="C125:E125"/>
    <mergeCell ref="F125:G125"/>
    <mergeCell ref="A123:B123"/>
    <mergeCell ref="C123:E123"/>
    <mergeCell ref="F123:G123"/>
    <mergeCell ref="A124:B124"/>
    <mergeCell ref="C124:E124"/>
    <mergeCell ref="F124:G124"/>
    <mergeCell ref="A125:B125"/>
    <mergeCell ref="C149:E149"/>
    <mergeCell ref="F149:G149"/>
    <mergeCell ref="A147:B147"/>
    <mergeCell ref="C147:E147"/>
    <mergeCell ref="F147:G147"/>
    <mergeCell ref="A148:B148"/>
    <mergeCell ref="C148:E148"/>
    <mergeCell ref="F148:G148"/>
    <mergeCell ref="A149:B149"/>
    <mergeCell ref="C152:E152"/>
    <mergeCell ref="F152:G152"/>
    <mergeCell ref="A150:B150"/>
    <mergeCell ref="C150:E150"/>
    <mergeCell ref="F150:G150"/>
    <mergeCell ref="A151:B151"/>
    <mergeCell ref="C151:E151"/>
    <mergeCell ref="F151:G151"/>
    <mergeCell ref="A152:B152"/>
    <mergeCell ref="C155:E155"/>
    <mergeCell ref="F155:G155"/>
    <mergeCell ref="A153:B153"/>
    <mergeCell ref="C153:E153"/>
    <mergeCell ref="F153:G153"/>
    <mergeCell ref="A154:B154"/>
    <mergeCell ref="C154:E154"/>
    <mergeCell ref="F154:G154"/>
    <mergeCell ref="A155:B155"/>
    <mergeCell ref="C158:E158"/>
    <mergeCell ref="F158:G158"/>
    <mergeCell ref="A156:B156"/>
    <mergeCell ref="C156:E156"/>
    <mergeCell ref="F156:G156"/>
    <mergeCell ref="A157:B157"/>
    <mergeCell ref="C157:E157"/>
    <mergeCell ref="F157:G157"/>
    <mergeCell ref="A158:B158"/>
    <mergeCell ref="C161:E161"/>
    <mergeCell ref="F161:G161"/>
    <mergeCell ref="A159:B159"/>
    <mergeCell ref="C159:E159"/>
    <mergeCell ref="F159:G159"/>
    <mergeCell ref="A160:B160"/>
    <mergeCell ref="C160:E160"/>
    <mergeCell ref="F160:G160"/>
    <mergeCell ref="A161:B161"/>
    <mergeCell ref="K225:L225"/>
    <mergeCell ref="K284:L284"/>
    <mergeCell ref="K285:L285"/>
    <mergeCell ref="K286:L286"/>
    <mergeCell ref="K277:L277"/>
    <mergeCell ref="K278:L278"/>
    <mergeCell ref="K279:L279"/>
    <mergeCell ref="K280:L280"/>
    <mergeCell ref="K281:L281"/>
    <mergeCell ref="K282:L282"/>
    <mergeCell ref="K283:L283"/>
    <mergeCell ref="K251:L251"/>
    <mergeCell ref="K252:L252"/>
    <mergeCell ref="K253:L253"/>
    <mergeCell ref="K226:L226"/>
    <mergeCell ref="K227:L227"/>
    <mergeCell ref="K228:L228"/>
    <mergeCell ref="K229:L229"/>
    <mergeCell ref="K230:L230"/>
    <mergeCell ref="K235:L235"/>
    <mergeCell ref="K236:L236"/>
    <mergeCell ref="K237:L237"/>
    <mergeCell ref="K238:L238"/>
    <mergeCell ref="K271:L271"/>
    <mergeCell ref="K272:L272"/>
    <mergeCell ref="K254:L254"/>
    <mergeCell ref="K255:L255"/>
    <mergeCell ref="K256:L256"/>
    <mergeCell ref="K257:L257"/>
    <mergeCell ref="K259:L259"/>
    <mergeCell ref="K260:L260"/>
    <mergeCell ref="K261:L261"/>
    <mergeCell ref="K262:L262"/>
    <mergeCell ref="K263:L263"/>
    <mergeCell ref="C167:E167"/>
    <mergeCell ref="F167:G167"/>
    <mergeCell ref="A165:B165"/>
    <mergeCell ref="C165:E165"/>
    <mergeCell ref="F165:G165"/>
    <mergeCell ref="A166:B166"/>
    <mergeCell ref="C166:E166"/>
    <mergeCell ref="F166:G166"/>
    <mergeCell ref="A167:B167"/>
    <mergeCell ref="C164:E164"/>
    <mergeCell ref="F164:G164"/>
    <mergeCell ref="A162:B162"/>
    <mergeCell ref="C162:E162"/>
    <mergeCell ref="F162:G162"/>
    <mergeCell ref="A163:B163"/>
    <mergeCell ref="C163:E163"/>
    <mergeCell ref="F163:G163"/>
    <mergeCell ref="A164:B164"/>
    <mergeCell ref="A168:B168"/>
    <mergeCell ref="C168:E168"/>
    <mergeCell ref="F168:G168"/>
    <mergeCell ref="A169:B169"/>
    <mergeCell ref="C169:E169"/>
    <mergeCell ref="F169:G169"/>
    <mergeCell ref="A170:B170"/>
    <mergeCell ref="C173:E173"/>
    <mergeCell ref="F173:G173"/>
    <mergeCell ref="A171:B171"/>
    <mergeCell ref="C171:E171"/>
    <mergeCell ref="F171:G171"/>
    <mergeCell ref="A172:B172"/>
    <mergeCell ref="C172:E172"/>
    <mergeCell ref="F172:G172"/>
    <mergeCell ref="A173:B173"/>
    <mergeCell ref="C170:E170"/>
    <mergeCell ref="F170:G170"/>
    <mergeCell ref="C176:E176"/>
    <mergeCell ref="F176:G176"/>
    <mergeCell ref="A174:B174"/>
    <mergeCell ref="C174:E174"/>
    <mergeCell ref="F174:G174"/>
    <mergeCell ref="A175:B175"/>
    <mergeCell ref="C175:E175"/>
    <mergeCell ref="F175:G175"/>
    <mergeCell ref="A176:B176"/>
    <mergeCell ref="A138:B138"/>
    <mergeCell ref="C138:E138"/>
    <mergeCell ref="F138:G138"/>
    <mergeCell ref="A139:B139"/>
    <mergeCell ref="C139:E139"/>
    <mergeCell ref="F139:G139"/>
    <mergeCell ref="A140:B140"/>
    <mergeCell ref="I145:I146"/>
    <mergeCell ref="J145:J146"/>
    <mergeCell ref="A141:B141"/>
    <mergeCell ref="C141:E141"/>
    <mergeCell ref="F141:G141"/>
    <mergeCell ref="A142:B142"/>
    <mergeCell ref="C142:E142"/>
    <mergeCell ref="F142:G142"/>
    <mergeCell ref="K145:K146"/>
    <mergeCell ref="L145:L146"/>
    <mergeCell ref="C140:E140"/>
    <mergeCell ref="F140:G140"/>
    <mergeCell ref="A144:L144"/>
    <mergeCell ref="A145:B146"/>
    <mergeCell ref="C145:E146"/>
    <mergeCell ref="F145:G146"/>
    <mergeCell ref="H145:H146"/>
    <mergeCell ref="A177:B177"/>
    <mergeCell ref="C177:E177"/>
    <mergeCell ref="F177:G177"/>
    <mergeCell ref="A178:B178"/>
    <mergeCell ref="C178:E178"/>
    <mergeCell ref="F178:G178"/>
    <mergeCell ref="A179:B179"/>
    <mergeCell ref="C179:E179"/>
    <mergeCell ref="F179:G179"/>
    <mergeCell ref="A181:J181"/>
    <mergeCell ref="K181:L181"/>
    <mergeCell ref="A182:J182"/>
    <mergeCell ref="K182:L182"/>
    <mergeCell ref="K183:L183"/>
    <mergeCell ref="A183:J183"/>
    <mergeCell ref="A184:J184"/>
    <mergeCell ref="K184:L184"/>
    <mergeCell ref="A185:J185"/>
    <mergeCell ref="K185:L185"/>
    <mergeCell ref="A187:J188"/>
    <mergeCell ref="K187:L188"/>
    <mergeCell ref="K189:L189"/>
    <mergeCell ref="K190:L190"/>
    <mergeCell ref="K191:L191"/>
    <mergeCell ref="K192:L192"/>
    <mergeCell ref="K193:L193"/>
    <mergeCell ref="K194:L194"/>
    <mergeCell ref="K195:L195"/>
    <mergeCell ref="K196:L196"/>
    <mergeCell ref="K197:L197"/>
    <mergeCell ref="K198:L198"/>
    <mergeCell ref="K199:L199"/>
    <mergeCell ref="K200:L200"/>
    <mergeCell ref="K201:L201"/>
    <mergeCell ref="K202:L202"/>
    <mergeCell ref="K203:L203"/>
    <mergeCell ref="K204:L204"/>
    <mergeCell ref="K205:L205"/>
    <mergeCell ref="K206:L206"/>
    <mergeCell ref="K207:L207"/>
    <mergeCell ref="K208:L208"/>
    <mergeCell ref="K209:L209"/>
    <mergeCell ref="K210:L210"/>
    <mergeCell ref="K211:L211"/>
    <mergeCell ref="K212:L212"/>
    <mergeCell ref="K213:L213"/>
    <mergeCell ref="K214:L214"/>
    <mergeCell ref="K215:L215"/>
    <mergeCell ref="K216:L216"/>
    <mergeCell ref="K231:L231"/>
    <mergeCell ref="A233:J234"/>
    <mergeCell ref="K233:L234"/>
    <mergeCell ref="A241:J242"/>
    <mergeCell ref="K241:L242"/>
    <mergeCell ref="A249:J250"/>
    <mergeCell ref="K249:L250"/>
    <mergeCell ref="K239:L239"/>
    <mergeCell ref="K243:L243"/>
    <mergeCell ref="K244:L244"/>
    <mergeCell ref="K245:L245"/>
    <mergeCell ref="K246:L246"/>
    <mergeCell ref="K247:L247"/>
    <mergeCell ref="K217:L217"/>
    <mergeCell ref="K218:L218"/>
    <mergeCell ref="K219:L219"/>
    <mergeCell ref="K220:L220"/>
    <mergeCell ref="K221:L221"/>
    <mergeCell ref="K222:L222"/>
    <mergeCell ref="K223:L223"/>
    <mergeCell ref="K224:L224"/>
    <mergeCell ref="K292:L293"/>
    <mergeCell ref="K294:L294"/>
    <mergeCell ref="K295:L295"/>
    <mergeCell ref="K296:L296"/>
    <mergeCell ref="K297:L297"/>
    <mergeCell ref="K298:L298"/>
    <mergeCell ref="A258:J258"/>
    <mergeCell ref="K258:L258"/>
    <mergeCell ref="A288:J289"/>
    <mergeCell ref="K288:L289"/>
    <mergeCell ref="A290:J290"/>
    <mergeCell ref="K290:L290"/>
    <mergeCell ref="A292:J293"/>
    <mergeCell ref="K273:L273"/>
    <mergeCell ref="K274:L274"/>
    <mergeCell ref="K275:L275"/>
    <mergeCell ref="K276:L276"/>
    <mergeCell ref="K264:L264"/>
    <mergeCell ref="K265:L265"/>
    <mergeCell ref="K266:L266"/>
    <mergeCell ref="K267:L267"/>
    <mergeCell ref="K268:L268"/>
    <mergeCell ref="K269:L269"/>
    <mergeCell ref="K270:L270"/>
    <mergeCell ref="A309:J310"/>
    <mergeCell ref="K309:L310"/>
    <mergeCell ref="A312:L313"/>
    <mergeCell ref="A314:B316"/>
    <mergeCell ref="C314:C316"/>
    <mergeCell ref="A317:B317"/>
    <mergeCell ref="A321:B321"/>
    <mergeCell ref="A322:B322"/>
    <mergeCell ref="A300:J301"/>
    <mergeCell ref="K300:L301"/>
    <mergeCell ref="A302:J303"/>
    <mergeCell ref="K302:L303"/>
    <mergeCell ref="A304:J306"/>
    <mergeCell ref="K304:L306"/>
    <mergeCell ref="A307:L308"/>
    <mergeCell ref="K314:L314"/>
    <mergeCell ref="K315:L315"/>
    <mergeCell ref="D314:J316"/>
    <mergeCell ref="A318:B318"/>
    <mergeCell ref="D318:J318"/>
    <mergeCell ref="A319:B319"/>
    <mergeCell ref="D319:J319"/>
    <mergeCell ref="A320:B320"/>
    <mergeCell ref="D320:J320"/>
    <mergeCell ref="D321:J321"/>
    <mergeCell ref="A326:B326"/>
    <mergeCell ref="D317:J317"/>
    <mergeCell ref="A327:B327"/>
    <mergeCell ref="A328:B328"/>
    <mergeCell ref="A329:B329"/>
    <mergeCell ref="D322:J322"/>
    <mergeCell ref="D323:J323"/>
    <mergeCell ref="A324:B324"/>
    <mergeCell ref="D324:J324"/>
    <mergeCell ref="A325:B325"/>
    <mergeCell ref="D325:J325"/>
    <mergeCell ref="D326:J326"/>
    <mergeCell ref="D327:J327"/>
    <mergeCell ref="D328:J328"/>
    <mergeCell ref="D329:J329"/>
    <mergeCell ref="A323:B323"/>
    <mergeCell ref="A330:J330"/>
    <mergeCell ref="K330:L330"/>
    <mergeCell ref="A332:L333"/>
    <mergeCell ref="A334:L334"/>
    <mergeCell ref="B335:L335"/>
    <mergeCell ref="B336:L336"/>
    <mergeCell ref="B337:L337"/>
    <mergeCell ref="B338:L338"/>
    <mergeCell ref="B339:L339"/>
    <mergeCell ref="B340:L340"/>
    <mergeCell ref="B341:L341"/>
    <mergeCell ref="B342:L342"/>
    <mergeCell ref="B343:L343"/>
    <mergeCell ref="B344:L344"/>
    <mergeCell ref="B345:L345"/>
    <mergeCell ref="B346:L346"/>
    <mergeCell ref="B347:L347"/>
    <mergeCell ref="B348:L348"/>
    <mergeCell ref="A349:L349"/>
    <mergeCell ref="A351:L351"/>
    <mergeCell ref="A352:L352"/>
    <mergeCell ref="A354:L355"/>
    <mergeCell ref="B356:E356"/>
    <mergeCell ref="G356:K356"/>
    <mergeCell ref="H357:I357"/>
    <mergeCell ref="G360:G361"/>
    <mergeCell ref="G364:G365"/>
    <mergeCell ref="G368:G369"/>
    <mergeCell ref="G372:G373"/>
    <mergeCell ref="G376:G377"/>
    <mergeCell ref="J357:K357"/>
    <mergeCell ref="G358:K359"/>
    <mergeCell ref="H360:I360"/>
    <mergeCell ref="J360:K360"/>
    <mergeCell ref="H361:I361"/>
    <mergeCell ref="J361:K361"/>
    <mergeCell ref="G362:K363"/>
    <mergeCell ref="H364:I364"/>
    <mergeCell ref="J364:K364"/>
    <mergeCell ref="H365:I365"/>
    <mergeCell ref="J365:K365"/>
    <mergeCell ref="G366:K367"/>
    <mergeCell ref="H368:I368"/>
    <mergeCell ref="J368:K368"/>
    <mergeCell ref="H369:I369"/>
    <mergeCell ref="J369:K369"/>
    <mergeCell ref="G370:K371"/>
    <mergeCell ref="H372:I372"/>
    <mergeCell ref="J372:K372"/>
    <mergeCell ref="H373:I373"/>
    <mergeCell ref="J373:K373"/>
    <mergeCell ref="G374:K375"/>
    <mergeCell ref="H376:I376"/>
    <mergeCell ref="J376:K376"/>
    <mergeCell ref="H377:I377"/>
    <mergeCell ref="J377:K377"/>
    <mergeCell ref="G378:I378"/>
    <mergeCell ref="J378:K378"/>
    <mergeCell ref="G380:J380"/>
    <mergeCell ref="G381:H381"/>
    <mergeCell ref="I381:J381"/>
    <mergeCell ref="G382:H382"/>
    <mergeCell ref="I382:J382"/>
    <mergeCell ref="G383:H383"/>
    <mergeCell ref="I383:J383"/>
    <mergeCell ref="G384:H384"/>
    <mergeCell ref="I384:J384"/>
    <mergeCell ref="G385:H385"/>
    <mergeCell ref="I385:J385"/>
    <mergeCell ref="G386:H386"/>
    <mergeCell ref="I386:J386"/>
    <mergeCell ref="I387:J387"/>
    <mergeCell ref="I402:J402"/>
    <mergeCell ref="K402:L402"/>
    <mergeCell ref="A400:G400"/>
    <mergeCell ref="I400:J400"/>
    <mergeCell ref="K400:L400"/>
    <mergeCell ref="A401:G401"/>
    <mergeCell ref="I401:J401"/>
    <mergeCell ref="K401:L401"/>
    <mergeCell ref="A402:G402"/>
    <mergeCell ref="K397:L397"/>
    <mergeCell ref="A398:G398"/>
    <mergeCell ref="I398:J398"/>
    <mergeCell ref="K398:L398"/>
    <mergeCell ref="A399:G399"/>
    <mergeCell ref="I397:J397"/>
    <mergeCell ref="A397:G397"/>
    <mergeCell ref="K399:L399"/>
    <mergeCell ref="I399:J399"/>
    <mergeCell ref="A396:G396"/>
    <mergeCell ref="K395:L395"/>
    <mergeCell ref="I395:J395"/>
    <mergeCell ref="A395:G395"/>
    <mergeCell ref="K394:L394"/>
    <mergeCell ref="I405:J405"/>
    <mergeCell ref="K405:L405"/>
    <mergeCell ref="A403:G403"/>
    <mergeCell ref="I403:J403"/>
    <mergeCell ref="K403:L403"/>
    <mergeCell ref="A404:G404"/>
    <mergeCell ref="I404:J404"/>
    <mergeCell ref="K404:L404"/>
    <mergeCell ref="A405:G405"/>
    <mergeCell ref="I408:J408"/>
    <mergeCell ref="K408:L408"/>
    <mergeCell ref="A406:G406"/>
    <mergeCell ref="I406:J406"/>
    <mergeCell ref="K406:L406"/>
    <mergeCell ref="A407:G407"/>
    <mergeCell ref="I407:J407"/>
    <mergeCell ref="K407:L407"/>
    <mergeCell ref="A408:G408"/>
    <mergeCell ref="I411:J411"/>
    <mergeCell ref="K411:L411"/>
    <mergeCell ref="A409:G409"/>
    <mergeCell ref="I409:J409"/>
    <mergeCell ref="K409:L409"/>
    <mergeCell ref="A410:G410"/>
    <mergeCell ref="I410:J410"/>
    <mergeCell ref="K410:L410"/>
    <mergeCell ref="A411:G411"/>
    <mergeCell ref="A434:D434"/>
    <mergeCell ref="E434:F434"/>
    <mergeCell ref="G434:H434"/>
    <mergeCell ref="I434:L434"/>
    <mergeCell ref="E435:F435"/>
    <mergeCell ref="G435:H435"/>
    <mergeCell ref="I435:L435"/>
    <mergeCell ref="A435:D435"/>
    <mergeCell ref="A436:D436"/>
    <mergeCell ref="E436:F436"/>
    <mergeCell ref="G436:H436"/>
    <mergeCell ref="I436:L436"/>
    <mergeCell ref="A421:G421"/>
    <mergeCell ref="I421:J421"/>
    <mergeCell ref="K421:L421"/>
    <mergeCell ref="A422:G422"/>
    <mergeCell ref="I422:J422"/>
    <mergeCell ref="K422:L422"/>
    <mergeCell ref="A423:G423"/>
    <mergeCell ref="A437:D437"/>
    <mergeCell ref="E437:F437"/>
    <mergeCell ref="G437:H437"/>
    <mergeCell ref="I437:L437"/>
    <mergeCell ref="A424:G424"/>
    <mergeCell ref="I424:J424"/>
    <mergeCell ref="K424:L424"/>
    <mergeCell ref="A425:G425"/>
    <mergeCell ref="I425:J425"/>
    <mergeCell ref="K425:L425"/>
    <mergeCell ref="A426:G426"/>
    <mergeCell ref="K426:L426"/>
    <mergeCell ref="I426:J426"/>
    <mergeCell ref="A428:L428"/>
    <mergeCell ref="A429:L429"/>
    <mergeCell ref="A430:D430"/>
    <mergeCell ref="E430:F430"/>
    <mergeCell ref="E432:F432"/>
    <mergeCell ref="G432:H432"/>
    <mergeCell ref="I432:L432"/>
    <mergeCell ref="A433:D433"/>
    <mergeCell ref="E433:F433"/>
    <mergeCell ref="E431:F431"/>
    <mergeCell ref="G431:H431"/>
    <mergeCell ref="I423:J423"/>
    <mergeCell ref="K423:L423"/>
    <mergeCell ref="G430:H430"/>
    <mergeCell ref="I430:L430"/>
    <mergeCell ref="I431:L431"/>
    <mergeCell ref="G433:H433"/>
    <mergeCell ref="I433:L433"/>
    <mergeCell ref="A431:D431"/>
    <mergeCell ref="A432:D432"/>
  </mergeCells>
  <dataValidations count="2">
    <dataValidation type="list" allowBlank="1" showErrorMessage="1" sqref="C42:L42" xr:uid="{4DF3C1D4-BCC9-4C77-B0A7-A85BA6EE0CAA}">
      <formula1>$O$35:$O$42</formula1>
    </dataValidation>
    <dataValidation type="list" allowBlank="1" showErrorMessage="1" sqref="A112:B142" xr:uid="{B3B55D7B-FBA4-4113-B50C-3601E1C015C6}">
      <formula1>$O$121:$O$137</formula1>
    </dataValidation>
  </dataValidations>
  <pageMargins left="0.51180555555555596" right="0.51180555555555596" top="0.63472222222222197" bottom="0.78749999999999998" header="0" footer="0"/>
  <pageSetup paperSize="9" fitToHeight="0" orientation="portrait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Dados!$A$12:$A62</xm:f>
          </x14:formula1>
          <xm:sqref>A147:A179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K1000"/>
  <sheetViews>
    <sheetView workbookViewId="0"/>
  </sheetViews>
  <sheetFormatPr defaultColWidth="14.42578125" defaultRowHeight="15" customHeight="1"/>
  <cols>
    <col min="1" max="1" width="26.28515625" customWidth="1"/>
    <col min="2" max="11" width="8.7109375" customWidth="1"/>
  </cols>
  <sheetData>
    <row r="2" spans="1:11">
      <c r="A2" s="75" t="s">
        <v>45</v>
      </c>
      <c r="E2" s="75" t="s">
        <v>243</v>
      </c>
      <c r="G2" s="75">
        <v>1</v>
      </c>
      <c r="H2" s="75" t="s">
        <v>244</v>
      </c>
      <c r="K2" s="75" t="s">
        <v>245</v>
      </c>
    </row>
    <row r="3" spans="1:11">
      <c r="A3" s="75" t="s">
        <v>246</v>
      </c>
      <c r="E3" s="75" t="s">
        <v>247</v>
      </c>
      <c r="G3" s="75">
        <v>2</v>
      </c>
      <c r="H3" s="75" t="s">
        <v>248</v>
      </c>
      <c r="K3" s="75" t="s">
        <v>249</v>
      </c>
    </row>
    <row r="4" spans="1:11">
      <c r="A4" s="75" t="s">
        <v>250</v>
      </c>
      <c r="E4" s="75" t="s">
        <v>251</v>
      </c>
      <c r="G4" s="75">
        <v>3</v>
      </c>
      <c r="H4" s="75" t="s">
        <v>252</v>
      </c>
      <c r="K4" s="75" t="s">
        <v>253</v>
      </c>
    </row>
    <row r="5" spans="1:11">
      <c r="A5" s="75" t="s">
        <v>254</v>
      </c>
    </row>
    <row r="6" spans="1:11">
      <c r="A6" s="75" t="s">
        <v>255</v>
      </c>
      <c r="E6" s="75" t="s">
        <v>256</v>
      </c>
      <c r="G6" s="75">
        <v>4</v>
      </c>
      <c r="H6" s="75" t="s">
        <v>257</v>
      </c>
      <c r="K6" s="75" t="s">
        <v>258</v>
      </c>
    </row>
    <row r="7" spans="1:11">
      <c r="A7" s="75" t="s">
        <v>259</v>
      </c>
    </row>
    <row r="8" spans="1:11">
      <c r="A8" s="75" t="s">
        <v>260</v>
      </c>
      <c r="E8" s="75" t="s">
        <v>261</v>
      </c>
      <c r="G8" s="75">
        <v>5</v>
      </c>
      <c r="H8" s="75" t="s">
        <v>262</v>
      </c>
      <c r="K8" s="75" t="s">
        <v>263</v>
      </c>
    </row>
    <row r="9" spans="1:11">
      <c r="A9" s="75" t="s">
        <v>264</v>
      </c>
      <c r="E9" s="75" t="s">
        <v>265</v>
      </c>
      <c r="G9" s="75">
        <v>6</v>
      </c>
      <c r="H9" s="75" t="s">
        <v>266</v>
      </c>
      <c r="K9" s="75" t="s">
        <v>267</v>
      </c>
    </row>
    <row r="10" spans="1:11">
      <c r="E10" s="75" t="s">
        <v>268</v>
      </c>
      <c r="G10" s="75">
        <v>7</v>
      </c>
      <c r="H10" s="75" t="s">
        <v>269</v>
      </c>
      <c r="K10" s="75" t="s">
        <v>270</v>
      </c>
    </row>
    <row r="11" spans="1:11">
      <c r="E11" s="75" t="s">
        <v>271</v>
      </c>
      <c r="G11" s="75">
        <v>8</v>
      </c>
      <c r="H11" s="75" t="s">
        <v>272</v>
      </c>
      <c r="K11" s="75" t="s">
        <v>273</v>
      </c>
    </row>
    <row r="12" spans="1:11">
      <c r="A12" s="75" t="s">
        <v>274</v>
      </c>
      <c r="E12" s="75" t="s">
        <v>275</v>
      </c>
      <c r="G12" s="75">
        <v>9</v>
      </c>
      <c r="H12" s="75" t="s">
        <v>276</v>
      </c>
      <c r="K12" s="75" t="s">
        <v>277</v>
      </c>
    </row>
    <row r="13" spans="1:11" ht="45">
      <c r="A13" s="76" t="s">
        <v>278</v>
      </c>
      <c r="E13" s="75" t="s">
        <v>279</v>
      </c>
      <c r="G13" s="75">
        <v>10</v>
      </c>
      <c r="H13" s="75" t="s">
        <v>280</v>
      </c>
      <c r="K13" s="75" t="s">
        <v>281</v>
      </c>
    </row>
    <row r="14" spans="1:11">
      <c r="A14" s="75" t="s">
        <v>282</v>
      </c>
      <c r="E14" s="75" t="s">
        <v>283</v>
      </c>
      <c r="H14" s="75" t="s">
        <v>284</v>
      </c>
      <c r="K14" s="75" t="s">
        <v>285</v>
      </c>
    </row>
    <row r="15" spans="1:11">
      <c r="A15" s="75" t="s">
        <v>286</v>
      </c>
      <c r="E15" s="75" t="s">
        <v>287</v>
      </c>
      <c r="H15" s="75" t="s">
        <v>288</v>
      </c>
      <c r="K15" s="75" t="s">
        <v>289</v>
      </c>
    </row>
    <row r="16" spans="1:11">
      <c r="A16" s="75" t="s">
        <v>290</v>
      </c>
      <c r="E16" s="75" t="s">
        <v>291</v>
      </c>
      <c r="H16" s="75" t="s">
        <v>292</v>
      </c>
      <c r="K16" s="75" t="s">
        <v>293</v>
      </c>
    </row>
    <row r="17" spans="1:11">
      <c r="A17" s="75" t="s">
        <v>294</v>
      </c>
      <c r="E17" s="75" t="s">
        <v>295</v>
      </c>
      <c r="H17" s="75" t="s">
        <v>296</v>
      </c>
      <c r="K17" s="75" t="s">
        <v>297</v>
      </c>
    </row>
    <row r="18" spans="1:11">
      <c r="A18" s="75" t="s">
        <v>298</v>
      </c>
      <c r="E18" s="75" t="s">
        <v>299</v>
      </c>
      <c r="H18" s="75" t="s">
        <v>300</v>
      </c>
      <c r="K18" s="75" t="s">
        <v>301</v>
      </c>
    </row>
    <row r="19" spans="1:11">
      <c r="A19" s="75" t="s">
        <v>302</v>
      </c>
      <c r="E19" s="75" t="s">
        <v>303</v>
      </c>
      <c r="H19" s="75" t="s">
        <v>304</v>
      </c>
      <c r="K19" s="75" t="s">
        <v>305</v>
      </c>
    </row>
    <row r="20" spans="1:11">
      <c r="A20" s="75" t="s">
        <v>306</v>
      </c>
      <c r="E20" s="75" t="s">
        <v>307</v>
      </c>
      <c r="H20" s="75" t="s">
        <v>308</v>
      </c>
      <c r="K20" s="75" t="s">
        <v>309</v>
      </c>
    </row>
    <row r="21" spans="1:11" ht="15.75" customHeight="1">
      <c r="A21" s="75" t="s">
        <v>310</v>
      </c>
      <c r="E21" s="75" t="s">
        <v>311</v>
      </c>
      <c r="H21" s="75" t="s">
        <v>312</v>
      </c>
      <c r="K21" s="75" t="s">
        <v>313</v>
      </c>
    </row>
    <row r="22" spans="1:11" ht="15.75" customHeight="1">
      <c r="A22" s="75" t="s">
        <v>314</v>
      </c>
      <c r="E22" s="75" t="s">
        <v>315</v>
      </c>
      <c r="H22" s="75" t="s">
        <v>316</v>
      </c>
      <c r="K22" s="75" t="s">
        <v>317</v>
      </c>
    </row>
    <row r="23" spans="1:11" ht="15.75" customHeight="1">
      <c r="A23" s="75" t="s">
        <v>318</v>
      </c>
      <c r="E23" s="75" t="s">
        <v>319</v>
      </c>
      <c r="H23" s="75" t="s">
        <v>320</v>
      </c>
      <c r="K23" s="75" t="s">
        <v>321</v>
      </c>
    </row>
    <row r="24" spans="1:11" ht="15.75" customHeight="1">
      <c r="A24" s="75" t="s">
        <v>322</v>
      </c>
      <c r="E24" s="75" t="s">
        <v>323</v>
      </c>
      <c r="H24" s="75" t="s">
        <v>324</v>
      </c>
      <c r="K24" s="75" t="s">
        <v>325</v>
      </c>
    </row>
    <row r="25" spans="1:11" ht="15.75" customHeight="1">
      <c r="A25" s="75" t="s">
        <v>326</v>
      </c>
      <c r="E25" s="75" t="s">
        <v>327</v>
      </c>
      <c r="H25" s="75" t="s">
        <v>328</v>
      </c>
      <c r="K25" s="75" t="s">
        <v>329</v>
      </c>
    </row>
    <row r="26" spans="1:11" ht="15.75" customHeight="1">
      <c r="A26" s="75" t="s">
        <v>330</v>
      </c>
      <c r="E26" s="75" t="s">
        <v>331</v>
      </c>
      <c r="H26" s="75" t="s">
        <v>332</v>
      </c>
      <c r="K26" s="75" t="s">
        <v>333</v>
      </c>
    </row>
    <row r="27" spans="1:11" ht="15.75" customHeight="1">
      <c r="A27" s="75" t="s">
        <v>334</v>
      </c>
      <c r="E27" s="75" t="s">
        <v>335</v>
      </c>
      <c r="H27" s="75" t="s">
        <v>336</v>
      </c>
      <c r="K27" s="75" t="s">
        <v>337</v>
      </c>
    </row>
    <row r="28" spans="1:11" ht="15.75" customHeight="1">
      <c r="E28" s="75" t="s">
        <v>338</v>
      </c>
      <c r="H28" s="75" t="s">
        <v>339</v>
      </c>
      <c r="K28" s="75" t="s">
        <v>340</v>
      </c>
    </row>
    <row r="29" spans="1:11" ht="15.75" customHeight="1">
      <c r="E29" s="75" t="s">
        <v>341</v>
      </c>
      <c r="H29" s="75" t="s">
        <v>342</v>
      </c>
      <c r="K29" s="75" t="s">
        <v>343</v>
      </c>
    </row>
    <row r="30" spans="1:11" ht="15.75" customHeight="1">
      <c r="E30" s="75" t="s">
        <v>344</v>
      </c>
      <c r="H30" s="75" t="s">
        <v>345</v>
      </c>
      <c r="K30" s="75" t="s">
        <v>346</v>
      </c>
    </row>
    <row r="31" spans="1:11" ht="15.75" customHeight="1">
      <c r="E31" s="75" t="s">
        <v>347</v>
      </c>
      <c r="H31" s="75" t="s">
        <v>348</v>
      </c>
      <c r="K31" s="75" t="s">
        <v>349</v>
      </c>
    </row>
    <row r="32" spans="1:11" ht="15.75" customHeight="1">
      <c r="E32" s="75" t="s">
        <v>350</v>
      </c>
      <c r="H32" s="75" t="s">
        <v>351</v>
      </c>
      <c r="K32" s="75" t="s">
        <v>352</v>
      </c>
    </row>
    <row r="33" spans="5:11" ht="15.75" customHeight="1">
      <c r="E33" s="75" t="s">
        <v>353</v>
      </c>
      <c r="H33" s="75" t="s">
        <v>354</v>
      </c>
      <c r="K33" s="75" t="s">
        <v>355</v>
      </c>
    </row>
    <row r="34" spans="5:11" ht="15.75" customHeight="1">
      <c r="E34" s="75" t="s">
        <v>356</v>
      </c>
      <c r="H34" s="75" t="s">
        <v>357</v>
      </c>
      <c r="K34" s="75" t="s">
        <v>358</v>
      </c>
    </row>
    <row r="35" spans="5:11" ht="15.75" customHeight="1">
      <c r="E35" s="75" t="s">
        <v>359</v>
      </c>
      <c r="H35" s="75" t="s">
        <v>360</v>
      </c>
      <c r="K35" s="75" t="s">
        <v>361</v>
      </c>
    </row>
    <row r="36" spans="5:11" ht="15.75" customHeight="1">
      <c r="E36" s="75" t="s">
        <v>362</v>
      </c>
      <c r="H36" s="75" t="s">
        <v>363</v>
      </c>
      <c r="K36" s="75" t="s">
        <v>364</v>
      </c>
    </row>
    <row r="37" spans="5:11" ht="15.75" customHeight="1">
      <c r="E37" s="75" t="s">
        <v>365</v>
      </c>
      <c r="H37" s="75" t="s">
        <v>366</v>
      </c>
      <c r="K37" s="75" t="s">
        <v>367</v>
      </c>
    </row>
    <row r="38" spans="5:11" ht="15.75" customHeight="1">
      <c r="E38" s="75" t="s">
        <v>368</v>
      </c>
      <c r="H38" s="75" t="s">
        <v>369</v>
      </c>
      <c r="K38" s="75" t="s">
        <v>370</v>
      </c>
    </row>
    <row r="39" spans="5:11" ht="15.75" customHeight="1">
      <c r="E39" s="75" t="s">
        <v>371</v>
      </c>
      <c r="H39" s="75" t="s">
        <v>372</v>
      </c>
      <c r="K39" s="75" t="s">
        <v>373</v>
      </c>
    </row>
    <row r="40" spans="5:11" ht="15.75" customHeight="1">
      <c r="E40" s="75" t="s">
        <v>374</v>
      </c>
      <c r="H40" s="75" t="s">
        <v>375</v>
      </c>
      <c r="K40" s="75" t="s">
        <v>376</v>
      </c>
    </row>
    <row r="41" spans="5:11" ht="15.75" customHeight="1">
      <c r="E41" s="75" t="s">
        <v>377</v>
      </c>
      <c r="H41" s="75" t="s">
        <v>378</v>
      </c>
      <c r="K41" s="75" t="s">
        <v>379</v>
      </c>
    </row>
    <row r="42" spans="5:11" ht="15.75" customHeight="1">
      <c r="E42" s="75" t="s">
        <v>380</v>
      </c>
      <c r="H42" s="75" t="s">
        <v>381</v>
      </c>
      <c r="K42" s="75" t="s">
        <v>382</v>
      </c>
    </row>
    <row r="43" spans="5:11" ht="15.75" customHeight="1">
      <c r="E43" s="75" t="s">
        <v>383</v>
      </c>
      <c r="H43" s="75" t="s">
        <v>384</v>
      </c>
      <c r="K43" s="75" t="s">
        <v>385</v>
      </c>
    </row>
    <row r="44" spans="5:11" ht="15.75" customHeight="1">
      <c r="E44" s="75" t="s">
        <v>386</v>
      </c>
      <c r="H44" s="75" t="s">
        <v>387</v>
      </c>
    </row>
    <row r="45" spans="5:11" ht="15.75" customHeight="1">
      <c r="E45" s="75" t="s">
        <v>388</v>
      </c>
      <c r="H45" s="75" t="s">
        <v>389</v>
      </c>
    </row>
    <row r="46" spans="5:11" ht="15.75" customHeight="1">
      <c r="E46" s="75" t="s">
        <v>390</v>
      </c>
      <c r="H46" s="75" t="s">
        <v>391</v>
      </c>
    </row>
    <row r="47" spans="5:11" ht="15.75" customHeight="1">
      <c r="E47" s="75" t="s">
        <v>392</v>
      </c>
      <c r="H47" s="75" t="s">
        <v>393</v>
      </c>
    </row>
    <row r="48" spans="5:11" ht="15.75" customHeight="1">
      <c r="E48" s="75" t="s">
        <v>394</v>
      </c>
      <c r="H48" s="75" t="s">
        <v>395</v>
      </c>
    </row>
    <row r="49" spans="5:8" ht="15.75" customHeight="1">
      <c r="E49" s="75" t="s">
        <v>396</v>
      </c>
      <c r="H49" s="75" t="s">
        <v>397</v>
      </c>
    </row>
    <row r="50" spans="5:8" ht="15.75" customHeight="1">
      <c r="E50" s="75" t="s">
        <v>398</v>
      </c>
      <c r="H50" s="75" t="s">
        <v>399</v>
      </c>
    </row>
    <row r="51" spans="5:8" ht="15.75" customHeight="1">
      <c r="E51" s="75" t="s">
        <v>400</v>
      </c>
      <c r="H51" s="75" t="s">
        <v>401</v>
      </c>
    </row>
    <row r="52" spans="5:8" ht="15.75" customHeight="1">
      <c r="E52" s="75" t="s">
        <v>402</v>
      </c>
      <c r="H52" s="75" t="s">
        <v>403</v>
      </c>
    </row>
    <row r="53" spans="5:8" ht="15.75" customHeight="1">
      <c r="E53" s="75" t="s">
        <v>404</v>
      </c>
      <c r="H53" s="75" t="s">
        <v>405</v>
      </c>
    </row>
    <row r="54" spans="5:8" ht="15.75" customHeight="1">
      <c r="E54" s="75" t="s">
        <v>406</v>
      </c>
      <c r="H54" s="75" t="s">
        <v>407</v>
      </c>
    </row>
    <row r="55" spans="5:8" ht="15.75" customHeight="1">
      <c r="E55" s="75" t="s">
        <v>408</v>
      </c>
      <c r="H55" s="75" t="s">
        <v>409</v>
      </c>
    </row>
    <row r="56" spans="5:8" ht="15.75" customHeight="1">
      <c r="E56" s="75" t="s">
        <v>410</v>
      </c>
      <c r="H56" s="75" t="s">
        <v>411</v>
      </c>
    </row>
    <row r="57" spans="5:8" ht="15.75" customHeight="1">
      <c r="E57" s="75" t="s">
        <v>412</v>
      </c>
      <c r="H57" s="75" t="s">
        <v>413</v>
      </c>
    </row>
    <row r="58" spans="5:8" ht="15.75" customHeight="1">
      <c r="E58" s="75" t="s">
        <v>414</v>
      </c>
      <c r="H58" s="75" t="s">
        <v>415</v>
      </c>
    </row>
    <row r="59" spans="5:8" ht="15.75" customHeight="1">
      <c r="E59" s="75" t="s">
        <v>416</v>
      </c>
      <c r="H59" s="75" t="s">
        <v>417</v>
      </c>
    </row>
    <row r="60" spans="5:8" ht="15.75" customHeight="1">
      <c r="E60" s="75" t="s">
        <v>418</v>
      </c>
      <c r="H60" s="75" t="s">
        <v>419</v>
      </c>
    </row>
    <row r="61" spans="5:8" ht="15.75" customHeight="1">
      <c r="E61" s="75" t="s">
        <v>420</v>
      </c>
      <c r="H61" s="75" t="s">
        <v>421</v>
      </c>
    </row>
    <row r="62" spans="5:8" ht="15.75" customHeight="1">
      <c r="E62" s="75" t="s">
        <v>422</v>
      </c>
      <c r="H62" s="75" t="s">
        <v>423</v>
      </c>
    </row>
    <row r="63" spans="5:8" ht="15.75" customHeight="1">
      <c r="E63" s="75" t="s">
        <v>424</v>
      </c>
      <c r="H63" s="75" t="s">
        <v>425</v>
      </c>
    </row>
    <row r="64" spans="5:8" ht="15.75" customHeight="1">
      <c r="H64" s="75" t="s">
        <v>426</v>
      </c>
    </row>
    <row r="65" spans="8:8" ht="15.75" customHeight="1">
      <c r="H65" s="75" t="s">
        <v>427</v>
      </c>
    </row>
    <row r="66" spans="8:8" ht="15.75" customHeight="1">
      <c r="H66" s="75" t="s">
        <v>428</v>
      </c>
    </row>
    <row r="67" spans="8:8" ht="15.75" customHeight="1">
      <c r="H67" s="75" t="s">
        <v>429</v>
      </c>
    </row>
    <row r="68" spans="8:8" ht="15.75" customHeight="1">
      <c r="H68" s="75" t="s">
        <v>430</v>
      </c>
    </row>
    <row r="69" spans="8:8" ht="15.75" customHeight="1">
      <c r="H69" s="75" t="s">
        <v>431</v>
      </c>
    </row>
    <row r="70" spans="8:8" ht="15.75" customHeight="1">
      <c r="H70" s="75" t="s">
        <v>432</v>
      </c>
    </row>
    <row r="71" spans="8:8" ht="15.75" customHeight="1">
      <c r="H71" s="75" t="s">
        <v>433</v>
      </c>
    </row>
    <row r="72" spans="8:8" ht="15.75" customHeight="1">
      <c r="H72" s="75" t="s">
        <v>434</v>
      </c>
    </row>
    <row r="73" spans="8:8" ht="15.75" customHeight="1">
      <c r="H73" s="75" t="s">
        <v>435</v>
      </c>
    </row>
    <row r="74" spans="8:8" ht="15.75" customHeight="1">
      <c r="H74" s="75" t="s">
        <v>436</v>
      </c>
    </row>
    <row r="75" spans="8:8" ht="15.75" customHeight="1">
      <c r="H75" s="75" t="s">
        <v>437</v>
      </c>
    </row>
    <row r="76" spans="8:8" ht="15.75" customHeight="1">
      <c r="H76" s="75" t="s">
        <v>438</v>
      </c>
    </row>
    <row r="77" spans="8:8" ht="15.75" customHeight="1">
      <c r="H77" s="75" t="s">
        <v>439</v>
      </c>
    </row>
    <row r="78" spans="8:8" ht="15.75" customHeight="1">
      <c r="H78" s="75" t="s">
        <v>440</v>
      </c>
    </row>
    <row r="79" spans="8:8" ht="15.75" customHeight="1">
      <c r="H79" s="75" t="s">
        <v>441</v>
      </c>
    </row>
    <row r="80" spans="8:8" ht="15.75" customHeight="1">
      <c r="H80" s="75" t="s">
        <v>442</v>
      </c>
    </row>
    <row r="81" spans="8:8" ht="15.75" customHeight="1">
      <c r="H81" s="75" t="s">
        <v>443</v>
      </c>
    </row>
    <row r="82" spans="8:8" ht="15.75" customHeight="1">
      <c r="H82" s="75" t="s">
        <v>444</v>
      </c>
    </row>
    <row r="83" spans="8:8" ht="15.75" customHeight="1">
      <c r="H83" s="75" t="s">
        <v>445</v>
      </c>
    </row>
    <row r="84" spans="8:8" ht="15.75" customHeight="1">
      <c r="H84" s="75" t="s">
        <v>446</v>
      </c>
    </row>
    <row r="85" spans="8:8" ht="15.75" customHeight="1">
      <c r="H85" s="75" t="s">
        <v>447</v>
      </c>
    </row>
    <row r="86" spans="8:8" ht="15.75" customHeight="1">
      <c r="H86" s="75" t="s">
        <v>448</v>
      </c>
    </row>
    <row r="87" spans="8:8" ht="15.75" customHeight="1">
      <c r="H87" s="75" t="s">
        <v>449</v>
      </c>
    </row>
    <row r="88" spans="8:8" ht="15.75" customHeight="1">
      <c r="H88" s="75" t="s">
        <v>450</v>
      </c>
    </row>
    <row r="89" spans="8:8" ht="15.75" customHeight="1">
      <c r="H89" s="75" t="s">
        <v>451</v>
      </c>
    </row>
    <row r="90" spans="8:8" ht="15.75" customHeight="1">
      <c r="H90" s="75" t="s">
        <v>452</v>
      </c>
    </row>
    <row r="91" spans="8:8" ht="15.75" customHeight="1">
      <c r="H91" s="75" t="s">
        <v>453</v>
      </c>
    </row>
    <row r="92" spans="8:8" ht="15.75" customHeight="1">
      <c r="H92" s="75" t="s">
        <v>454</v>
      </c>
    </row>
    <row r="93" spans="8:8" ht="15.75" customHeight="1">
      <c r="H93" s="75" t="s">
        <v>455</v>
      </c>
    </row>
    <row r="94" spans="8:8" ht="15.75" customHeight="1">
      <c r="H94" s="75" t="s">
        <v>456</v>
      </c>
    </row>
    <row r="95" spans="8:8" ht="15.75" customHeight="1">
      <c r="H95" s="75" t="s">
        <v>457</v>
      </c>
    </row>
    <row r="96" spans="8:8" ht="15.75" customHeight="1">
      <c r="H96" s="75" t="s">
        <v>458</v>
      </c>
    </row>
    <row r="97" spans="8:8" ht="15.75" customHeight="1">
      <c r="H97" s="75" t="s">
        <v>459</v>
      </c>
    </row>
    <row r="98" spans="8:8" ht="15.75" customHeight="1">
      <c r="H98" s="75" t="s">
        <v>460</v>
      </c>
    </row>
    <row r="99" spans="8:8" ht="15.75" customHeight="1">
      <c r="H99" s="75" t="s">
        <v>461</v>
      </c>
    </row>
    <row r="100" spans="8:8" ht="15.75" customHeight="1">
      <c r="H100" s="75" t="s">
        <v>462</v>
      </c>
    </row>
    <row r="101" spans="8:8" ht="15.75" customHeight="1">
      <c r="H101" s="75" t="s">
        <v>463</v>
      </c>
    </row>
    <row r="102" spans="8:8" ht="15.75" customHeight="1">
      <c r="H102" s="75" t="s">
        <v>464</v>
      </c>
    </row>
    <row r="103" spans="8:8" ht="15.75" customHeight="1">
      <c r="H103" s="75" t="s">
        <v>465</v>
      </c>
    </row>
    <row r="104" spans="8:8" ht="15.75" customHeight="1"/>
    <row r="105" spans="8:8" ht="15.75" customHeight="1"/>
    <row r="106" spans="8:8" ht="15.75" customHeight="1"/>
    <row r="107" spans="8:8" ht="15.75" customHeight="1"/>
    <row r="108" spans="8:8" ht="15.75" customHeight="1"/>
    <row r="109" spans="8:8" ht="15.75" customHeight="1"/>
    <row r="110" spans="8:8" ht="15.75" customHeight="1"/>
    <row r="111" spans="8:8" ht="15.75" customHeight="1"/>
    <row r="112" spans="8:8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Plano de Trabalho</vt:lpstr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AGITTEC</dc:creator>
  <cp:lastModifiedBy>Núcleo de Apoio a Projetos da PROINOVA</cp:lastModifiedBy>
  <dcterms:created xsi:type="dcterms:W3CDTF">2026-04-28T19:23:44Z</dcterms:created>
  <dcterms:modified xsi:type="dcterms:W3CDTF">2026-08-12T15:27:05Z</dcterms:modified>
</cp:coreProperties>
</file>