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Downloads\"/>
    </mc:Choice>
  </mc:AlternateContent>
  <xr:revisionPtr revIDLastSave="0" documentId="13_ncr:1_{4B0BCF68-4458-46A1-8643-1F784BFA3404}" xr6:coauthVersionLast="36" xr6:coauthVersionMax="36" xr10:uidLastSave="{00000000-0000-0000-0000-000000000000}"/>
  <bookViews>
    <workbookView xWindow="0" yWindow="0" windowWidth="16365" windowHeight="10380" xr2:uid="{00000000-000D-0000-FFFF-FFFF00000000}"/>
  </bookViews>
  <sheets>
    <sheet name="Plano de Trabalho" sheetId="1" r:id="rId1"/>
    <sheet name="Dados" sheetId="2" state="hidden" r:id="rId2"/>
  </sheets>
  <externalReferences>
    <externalReference r:id="rId3"/>
  </externalReferences>
  <calcPr calcId="191029"/>
  <extLst>
    <ext uri="GoogleSheetsCustomDataVersion2">
      <go:sheetsCustomData xmlns:go="http://customooxmlschemas.google.com/" r:id="rId6" roundtripDataChecksum="dJ6kgxnX3a6tZhzDN7LbzuMUSVj/29+98ojG6iTTZmE="/>
    </ext>
  </extLst>
</workbook>
</file>

<file path=xl/calcChain.xml><?xml version="1.0" encoding="utf-8"?>
<calcChain xmlns="http://schemas.openxmlformats.org/spreadsheetml/2006/main">
  <c r="K500" i="1" l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389" i="1" l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I351" i="1"/>
  <c r="J342" i="1"/>
  <c r="K259" i="1"/>
  <c r="K216" i="1"/>
  <c r="K208" i="1"/>
  <c r="K200" i="1"/>
  <c r="K154" i="1"/>
  <c r="K148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G146" i="1" l="1"/>
  <c r="K81" i="1" s="1"/>
  <c r="L102" i="1"/>
  <c r="K390" i="1"/>
  <c r="K257" i="1" s="1"/>
  <c r="K255" i="1" s="1"/>
  <c r="K271" i="1" s="1"/>
  <c r="K87" i="1" s="1"/>
  <c r="K269" i="1"/>
  <c r="K267" i="1" s="1"/>
  <c r="K83" i="1" l="1"/>
  <c r="K85" i="1"/>
  <c r="K276" i="1"/>
  <c r="K89" i="1" l="1"/>
  <c r="K58" i="1" s="1"/>
  <c r="K445" i="1"/>
  <c r="K468" i="1"/>
  <c r="K455" i="1" l="1"/>
  <c r="K453" i="1" s="1"/>
  <c r="K501" i="1"/>
  <c r="K443" i="1" s="1"/>
  <c r="K441" i="1" s="1"/>
  <c r="K457" i="1" l="1"/>
  <c r="K462" i="1" s="1"/>
  <c r="A3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0" authorId="0" shapeId="0" xr:uid="{7799C1BF-5EDB-4240-A5D6-96B3A737CB10}">
      <text>
        <r>
          <rPr>
            <sz val="11"/>
            <color theme="1"/>
            <rFont val="Calibri"/>
            <family val="2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97" authorId="0" shapeId="0" xr:uid="{8F6CC1BB-750A-4A4A-B40E-E9792E1A2B85}">
      <text>
        <r>
          <rPr>
            <sz val="11"/>
            <color theme="1"/>
            <rFont val="Calibri"/>
            <family val="2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D284" authorId="0" shapeId="0" xr:uid="{4C2F6141-9DCE-4A4D-8784-EA0B4938299C}">
      <text>
        <r>
          <rPr>
            <sz val="11"/>
            <color theme="1"/>
            <rFont val="Calibri"/>
            <family val="2"/>
            <scheme val="minor"/>
          </rPr>
          <t>======
ID#AAAB1mqcq9c
pccli    (2026-02-26 18:52:16)
(descreva aqui a fase da meta de execução)</t>
        </r>
      </text>
    </comment>
    <comment ref="D285" authorId="0" shapeId="0" xr:uid="{16D22657-817C-40A5-A5CD-47BCC3B97363}">
      <text>
        <r>
          <rPr>
            <sz val="11"/>
            <color theme="1"/>
            <rFont val="Calibri"/>
            <family val="2"/>
            <scheme val="minor"/>
          </rPr>
          <t>======
ID#AAAB1mqcq9E
pccli    (2026-02-26 18:52:16)
(descreva aqui a fase da meta de execução)</t>
        </r>
      </text>
    </comment>
    <comment ref="D286" authorId="0" shapeId="0" xr:uid="{9A694944-66D9-435D-8E55-70D1CB59B737}">
      <text>
        <r>
          <rPr>
            <sz val="11"/>
            <color theme="1"/>
            <rFont val="Calibri"/>
            <family val="2"/>
            <scheme val="minor"/>
          </rPr>
          <t>======
ID#AAAB1mqcq90
pccli    (2026-02-26 18:52:16)
(descreva aqui a fase da meta de execução)</t>
        </r>
      </text>
    </comment>
    <comment ref="D287" authorId="0" shapeId="0" xr:uid="{082D3A8C-FF73-4421-A968-21AA532053DA}">
      <text>
        <r>
          <rPr>
            <sz val="11"/>
            <color theme="1"/>
            <rFont val="Calibri"/>
            <family val="2"/>
            <scheme val="minor"/>
          </rPr>
          <t>======
ID#AAAB1mqcq-A
pccli    (2026-02-26 18:52:16)
(descreva aqui a fase da meta de execução)</t>
        </r>
      </text>
    </comment>
    <comment ref="D288" authorId="0" shapeId="0" xr:uid="{7F1234EB-F31E-410B-BE44-3C554699EDDB}">
      <text>
        <r>
          <rPr>
            <sz val="11"/>
            <color theme="1"/>
            <rFont val="Calibri"/>
            <family val="2"/>
            <scheme val="minor"/>
          </rPr>
          <t>======
ID#AAAB1mqcq9o
pccli    (2026-02-26 18:52:16)
(descreva aqui a fase da meta de execução)</t>
        </r>
      </text>
    </comment>
    <comment ref="D289" authorId="0" shapeId="0" xr:uid="{627D422C-2B79-456C-B8B4-1BDB4FDCDEF2}">
      <text>
        <r>
          <rPr>
            <sz val="11"/>
            <color theme="1"/>
            <rFont val="Calibri"/>
            <family val="2"/>
            <scheme val="minor"/>
          </rPr>
          <t>======
ID#AAAB1mqcq8s
pccli    (2026-02-26 18:52:16)
(descreva aqui a fase da meta de execução)</t>
        </r>
      </text>
    </comment>
    <comment ref="D290" authorId="0" shapeId="0" xr:uid="{0A82C3B3-0470-48FC-B853-70A9C05782E8}">
      <text>
        <r>
          <rPr>
            <sz val="11"/>
            <color theme="1"/>
            <rFont val="Calibri"/>
            <family val="2"/>
            <scheme val="minor"/>
          </rPr>
          <t>======
ID#AAAB1mqcq9U
pccli    (2026-02-26 18:52:16)
(descreva aqui a fase da meta de execução)</t>
        </r>
      </text>
    </comment>
    <comment ref="D291" authorId="0" shapeId="0" xr:uid="{AFFBB9F1-174B-4BF7-A0DF-E3802D053913}">
      <text>
        <r>
          <rPr>
            <sz val="11"/>
            <color theme="1"/>
            <rFont val="Calibri"/>
            <family val="2"/>
            <scheme val="minor"/>
          </rPr>
          <t>======
ID#AAAB1mIRW0A
pccli    (2026-02-26 18:52:16)
(descreva aqui a fase da meta de execução)</t>
        </r>
      </text>
    </comment>
    <comment ref="D292" authorId="0" shapeId="0" xr:uid="{BF70FB31-88FD-4C9E-9899-72DB9B1DEADB}">
      <text>
        <r>
          <rPr>
            <sz val="11"/>
            <color theme="1"/>
            <rFont val="Calibri"/>
            <family val="2"/>
            <scheme val="minor"/>
          </rPr>
          <t>======
ID#AAAB1mIRWzg
pccli    (2026-02-26 18:52:16)
(descreva aqui a fase da meta de execução)</t>
        </r>
      </text>
    </comment>
    <comment ref="D293" authorId="0" shapeId="0" xr:uid="{8C44B010-8AE0-4251-ADEE-79AA9712B993}">
      <text>
        <r>
          <rPr>
            <sz val="11"/>
            <color theme="1"/>
            <rFont val="Calibri"/>
            <family val="2"/>
            <scheme val="minor"/>
          </rPr>
          <t>======
ID#AAAB1mqcq-E
pccli    (2026-02-26 18:52:16)
(descreva aqui a fase da meta de execução)</t>
        </r>
      </text>
    </comment>
    <comment ref="D294" authorId="0" shapeId="0" xr:uid="{C36AE57F-FCB1-4A37-8496-100D7E69A92D}">
      <text>
        <r>
          <rPr>
            <sz val="11"/>
            <color theme="1"/>
            <rFont val="Calibri"/>
            <family val="2"/>
            <scheme val="minor"/>
          </rPr>
          <t>======
ID#AAAB1mIRWzU
pccli    (2026-02-26 18:52:16)
(descreva aqui a fase da meta de execução)</t>
        </r>
      </text>
    </comment>
    <comment ref="D295" authorId="0" shapeId="0" xr:uid="{21A3C998-CA6F-4A2A-BD00-E12667D4AFAA}">
      <text>
        <r>
          <rPr>
            <sz val="11"/>
            <color theme="1"/>
            <rFont val="Calibri"/>
            <family val="2"/>
            <scheme val="minor"/>
          </rPr>
          <t>======
ID#AAAB1mqcq8k
pccli    (2026-02-26 18:52:16)
(descreva aqui a fase da meta de execução)</t>
        </r>
      </text>
    </comment>
    <comment ref="D296" authorId="0" shapeId="0" xr:uid="{ED8FD1BE-6095-4C53-BC81-73FB0F114B6C}">
      <text>
        <r>
          <rPr>
            <sz val="11"/>
            <color theme="1"/>
            <rFont val="Calibri"/>
            <family val="2"/>
            <scheme val="minor"/>
          </rPr>
          <t>======
ID#AAAB1mqcq9g
pccli    (2026-02-26 18:52:16)
pccli:</t>
        </r>
      </text>
    </comment>
    <comment ref="A357" authorId="0" shapeId="0" xr:uid="{79A2AAAA-78BC-4DC9-B92E-650E8432B303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358" authorId="0" shapeId="0" xr:uid="{BBE3AFEB-A21A-4159-AEBA-272D4307EB13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359" authorId="0" shapeId="0" xr:uid="{FC98F39A-F634-46FA-938B-0B42570060E8}">
      <text>
        <r>
          <rPr>
            <sz val="11"/>
            <color theme="1"/>
            <rFont val="Calibri"/>
            <family val="2"/>
            <scheme val="minor"/>
          </rPr>
          <t>======
ID#AAAB1mIRWzo
pccli    (2026-02-26 18:52:16)
(Aqui descreva o material permanente)</t>
        </r>
      </text>
    </comment>
    <comment ref="A360" authorId="0" shapeId="0" xr:uid="{B3665EDE-96C0-46F5-BF63-F02B5CCD6E09}">
      <text>
        <r>
          <rPr>
            <sz val="11"/>
            <color theme="1"/>
            <rFont val="Calibri"/>
            <family val="2"/>
            <scheme val="minor"/>
          </rPr>
          <t>======
ID#AAAB1mqcq-U
pccli    (2026-02-26 18:52:16)
(Aqui descreva o material permanente)</t>
        </r>
      </text>
    </comment>
    <comment ref="A361" authorId="0" shapeId="0" xr:uid="{530083E6-EA79-432C-ABD2-D53121FFAA21}">
      <text>
        <r>
          <rPr>
            <sz val="11"/>
            <color theme="1"/>
            <rFont val="Calibri"/>
            <family val="2"/>
            <scheme val="minor"/>
          </rPr>
          <t>======
ID#AAAB1mIRWzQ
pccli    (2026-02-26 18:52:16)
(Aqui descreva o material permanente)</t>
        </r>
      </text>
    </comment>
    <comment ref="A362" authorId="0" shapeId="0" xr:uid="{BAEA2780-B58E-4534-B681-473E6856FDC0}">
      <text>
        <r>
          <rPr>
            <sz val="11"/>
            <color theme="1"/>
            <rFont val="Calibri"/>
            <family val="2"/>
            <scheme val="minor"/>
          </rPr>
          <t>======
ID#AAAB1mIRWy0
pccli    (2026-02-26 18:52:16)
(Aqui descreva o material permanente)</t>
        </r>
      </text>
    </comment>
    <comment ref="A363" authorId="0" shapeId="0" xr:uid="{E569D016-4734-4DC5-9431-75E1658052D1}">
      <text>
        <r>
          <rPr>
            <sz val="11"/>
            <color theme="1"/>
            <rFont val="Calibri"/>
            <family val="2"/>
            <scheme val="minor"/>
          </rPr>
          <t>======
ID#AAAB1mIRWzY
pccli    (2026-02-26 18:52:16)
(Aqui descreva o material permanente)</t>
        </r>
      </text>
    </comment>
    <comment ref="A364" authorId="0" shapeId="0" xr:uid="{4F19E485-AB31-40F0-BAA0-AFC29B3AFA15}">
      <text>
        <r>
          <rPr>
            <sz val="11"/>
            <color theme="1"/>
            <rFont val="Calibri"/>
            <family val="2"/>
            <scheme val="minor"/>
          </rPr>
          <t>======
ID#AAAB1mIRWz8
pccli    (2026-02-26 18:52:16)
(Aqui descreva o material permanente)</t>
        </r>
      </text>
    </comment>
    <comment ref="A365" authorId="0" shapeId="0" xr:uid="{1DBA1278-7958-41E5-8BC4-F3EF232126C6}">
      <text>
        <r>
          <rPr>
            <sz val="11"/>
            <color theme="1"/>
            <rFont val="Calibri"/>
            <family val="2"/>
            <scheme val="minor"/>
          </rPr>
          <t>======
ID#AAAB1mqcq9M
pccli    (2026-02-26 18:52:16)
(Aqui descreva o material permanente)</t>
        </r>
      </text>
    </comment>
    <comment ref="A366" authorId="0" shapeId="0" xr:uid="{FA4B605C-1DF6-4C43-B2B4-2E2100F4ECFF}">
      <text>
        <r>
          <rPr>
            <sz val="11"/>
            <color theme="1"/>
            <rFont val="Calibri"/>
            <family val="2"/>
            <scheme val="minor"/>
          </rPr>
          <t>======
ID#AAAB1mqcq8o
pccli    (2026-02-26 18:52:16)
(Aqui descreva o material permanente)</t>
        </r>
      </text>
    </comment>
    <comment ref="A367" authorId="0" shapeId="0" xr:uid="{3147C9FE-0C0A-4C81-AF6E-39F137774F55}">
      <text>
        <r>
          <rPr>
            <sz val="11"/>
            <color theme="1"/>
            <rFont val="Calibri"/>
            <family val="2"/>
            <scheme val="minor"/>
          </rPr>
          <t>======
ID#AAAB1mIRWzk
pccli    (2026-02-26 18:52:16)
(Aqui descreva o material permanente)</t>
        </r>
      </text>
    </comment>
    <comment ref="A368" authorId="0" shapeId="0" xr:uid="{C483718B-E6A9-4FAF-9297-E4BCB83C5254}">
      <text>
        <r>
          <rPr>
            <sz val="11"/>
            <color theme="1"/>
            <rFont val="Calibri"/>
            <family val="2"/>
            <scheme val="minor"/>
          </rPr>
          <t>======
ID#AAAB1mIRWz4
pccli    (2026-02-26 18:52:16)
(Aqui descreva o material permanente)</t>
        </r>
      </text>
    </comment>
    <comment ref="A369" authorId="0" shapeId="0" xr:uid="{EF9E8881-F5BD-463B-8844-3643FC039B3C}">
      <text>
        <r>
          <rPr>
            <sz val="11"/>
            <color theme="1"/>
            <rFont val="Calibri"/>
            <family val="2"/>
            <scheme val="minor"/>
          </rPr>
          <t>======
ID#AAAB1mIRWzA
pccli    (2026-02-26 18:52:16)
(Aqui descreva o material permanente)</t>
        </r>
      </text>
    </comment>
    <comment ref="A370" authorId="0" shapeId="0" xr:uid="{BCCD23FD-8A0E-4F99-A950-BD55EB7FB23F}">
      <text>
        <r>
          <rPr>
            <sz val="11"/>
            <color theme="1"/>
            <rFont val="Calibri"/>
            <family val="2"/>
            <scheme val="minor"/>
          </rPr>
          <t>======
ID#AAAB1mqcq-Q
pccli    (2026-02-26 18:52:16)
(Aqui descreva o material permanente)</t>
        </r>
      </text>
    </comment>
    <comment ref="A371" authorId="0" shapeId="0" xr:uid="{CBCDC49C-EF0D-4D2D-BFD1-54D74F988DFF}">
      <text>
        <r>
          <rPr>
            <sz val="11"/>
            <color theme="1"/>
            <rFont val="Calibri"/>
            <family val="2"/>
            <scheme val="minor"/>
          </rPr>
          <t>======
ID#AAAB1mqcq80
pccli    (2026-02-26 18:52:16)
(Aqui descreva o material permanente)</t>
        </r>
      </text>
    </comment>
    <comment ref="A372" authorId="0" shapeId="0" xr:uid="{F1256DCC-73D5-4B68-BF3E-C5B1AD0FAC8B}">
      <text>
        <r>
          <rPr>
            <sz val="11"/>
            <color theme="1"/>
            <rFont val="Calibri"/>
            <family val="2"/>
            <scheme val="minor"/>
          </rPr>
          <t>======
ID#AAAB1mIRW0E
pccli    (2026-02-26 18:52:16)
(Aqui descreva o material permanente)</t>
        </r>
      </text>
    </comment>
    <comment ref="A373" authorId="0" shapeId="0" xr:uid="{36247137-13E8-4858-A792-93F122951D16}">
      <text>
        <r>
          <rPr>
            <sz val="11"/>
            <color theme="1"/>
            <rFont val="Calibri"/>
            <family val="2"/>
            <scheme val="minor"/>
          </rPr>
          <t>======
ID#AAAB1mIRWzM
pccli    (2026-02-26 18:52:16)
(Aqui descreva o material permanente)</t>
        </r>
      </text>
    </comment>
    <comment ref="A374" authorId="0" shapeId="0" xr:uid="{9E34EC1F-C4BD-4A0F-B7E0-E65E41588921}">
      <text>
        <r>
          <rPr>
            <sz val="11"/>
            <color theme="1"/>
            <rFont val="Calibri"/>
            <family val="2"/>
            <scheme val="minor"/>
          </rPr>
          <t>======
ID#AAAB1mqcq9A
pccli    (2026-02-26 18:52:16)
(Aqui descreva o material permanente)</t>
        </r>
      </text>
    </comment>
    <comment ref="A375" authorId="0" shapeId="0" xr:uid="{7F0E68C1-356C-4378-88C0-2019ACB92C86}">
      <text>
        <r>
          <rPr>
            <sz val="11"/>
            <color theme="1"/>
            <rFont val="Calibri"/>
            <family val="2"/>
            <scheme val="minor"/>
          </rPr>
          <t>======
ID#AAAB1mqcq9I
pccli    (2026-02-26 18:52:16)
(Aqui descreva o material permanente)</t>
        </r>
      </text>
    </comment>
    <comment ref="A376" authorId="0" shapeId="0" xr:uid="{C17507D1-E0BE-459E-A8CA-129BA790AB15}">
      <text>
        <r>
          <rPr>
            <sz val="11"/>
            <color theme="1"/>
            <rFont val="Calibri"/>
            <family val="2"/>
            <scheme val="minor"/>
          </rPr>
          <t>======
ID#AAAB1mqcq9Q
pccli    (2026-02-26 18:52:16)
(Aqui descreva o material permanente)</t>
        </r>
      </text>
    </comment>
    <comment ref="A377" authorId="0" shapeId="0" xr:uid="{0971AEA3-7C2F-4226-A06A-4021AFB6A07F}">
      <text>
        <r>
          <rPr>
            <sz val="11"/>
            <color theme="1"/>
            <rFont val="Calibri"/>
            <family val="2"/>
            <scheme val="minor"/>
          </rPr>
          <t>======
ID#AAAB1mqcq9w
pccli    (2026-02-26 18:52:16)
(Aqui descreva o material permanente)</t>
        </r>
      </text>
    </comment>
    <comment ref="A378" authorId="0" shapeId="0" xr:uid="{3ECF8B21-E6E7-4442-9EA7-D50749594970}">
      <text>
        <r>
          <rPr>
            <sz val="11"/>
            <color theme="1"/>
            <rFont val="Calibri"/>
            <family val="2"/>
            <scheme val="minor"/>
          </rPr>
          <t>======
ID#AAAB1mIRWzE
pccli    (2026-02-26 18:52:16)
(Aqui descreva o material permanente)</t>
        </r>
      </text>
    </comment>
    <comment ref="A379" authorId="0" shapeId="0" xr:uid="{CBC56CCE-FBEF-4805-A828-2791974D6F12}">
      <text>
        <r>
          <rPr>
            <sz val="11"/>
            <color theme="1"/>
            <rFont val="Calibri"/>
            <family val="2"/>
            <scheme val="minor"/>
          </rPr>
          <t>======
ID#AAAB1mIRWzI
pccli    (2026-02-26 18:52:16)
(Aqui descreva o material permanente)</t>
        </r>
      </text>
    </comment>
    <comment ref="A380" authorId="0" shapeId="0" xr:uid="{744A3410-0D9F-4365-8FA8-DAC49679C957}">
      <text>
        <r>
          <rPr>
            <sz val="11"/>
            <color theme="1"/>
            <rFont val="Calibri"/>
            <family val="2"/>
            <scheme val="minor"/>
          </rPr>
          <t>======
ID#AAAB1mIRWyw
pccli    (2026-02-26 18:52:16)
(Aqui descreva o material permanente)</t>
        </r>
      </text>
    </comment>
    <comment ref="A381" authorId="0" shapeId="0" xr:uid="{71B3E08C-0E73-4EC4-BB32-429DFBD3EF12}">
      <text>
        <r>
          <rPr>
            <sz val="11"/>
            <color theme="1"/>
            <rFont val="Calibri"/>
            <family val="2"/>
            <scheme val="minor"/>
          </rPr>
          <t>======
ID#AAAB1mIRWy4
pccli    (2026-02-26 18:52:16)
(Aqui descreva o material permanente)</t>
        </r>
      </text>
    </comment>
    <comment ref="A382" authorId="0" shapeId="0" xr:uid="{C347B155-D66A-4E6E-AAAF-23F5A6EE1CFE}">
      <text>
        <r>
          <rPr>
            <sz val="11"/>
            <color theme="1"/>
            <rFont val="Calibri"/>
            <family val="2"/>
            <scheme val="minor"/>
          </rPr>
          <t>======
ID#AAAB1mIRWzs
pccli    (2026-02-26 18:52:16)
(Aqui descreva o material permanente)</t>
        </r>
      </text>
    </comment>
    <comment ref="A383" authorId="0" shapeId="0" xr:uid="{1201D5B0-4BB7-45D0-908D-02A20B0D5F2F}">
      <text>
        <r>
          <rPr>
            <sz val="11"/>
            <color theme="1"/>
            <rFont val="Calibri"/>
            <family val="2"/>
            <scheme val="minor"/>
          </rPr>
          <t>======
ID#AAAB1mIRWy8
pccli    (2026-02-26 18:52:16)
(Aqui descreva o material permanente)</t>
        </r>
      </text>
    </comment>
    <comment ref="A384" authorId="0" shapeId="0" xr:uid="{3414E7DB-BCD5-4900-A53F-5343D0B5FD70}">
      <text>
        <r>
          <rPr>
            <sz val="11"/>
            <color theme="1"/>
            <rFont val="Calibri"/>
            <family val="2"/>
            <scheme val="minor"/>
          </rPr>
          <t>======
ID#AAAB1mqcq9Y
pccli    (2026-02-26 18:52:16)
(Aqui descreva o material permanente)</t>
        </r>
      </text>
    </comment>
    <comment ref="A385" authorId="0" shapeId="0" xr:uid="{8BA01996-F694-48F9-B3B0-B435E4DA6D36}">
      <text>
        <r>
          <rPr>
            <sz val="11"/>
            <color theme="1"/>
            <rFont val="Calibri"/>
            <family val="2"/>
            <scheme val="minor"/>
          </rPr>
          <t>======
ID#AAAB1mIRWzc
pccli    (2026-02-26 18:52:16)
(Aqui descreva o material permanente)</t>
        </r>
      </text>
    </comment>
    <comment ref="A386" authorId="0" shapeId="0" xr:uid="{FE98D67D-23B4-453B-B0A1-2EA47038425F}">
      <text>
        <r>
          <rPr>
            <sz val="11"/>
            <color theme="1"/>
            <rFont val="Calibri"/>
            <family val="2"/>
            <scheme val="minor"/>
          </rPr>
          <t>======
ID#AAAB1mqcq88
pccli    (2026-02-26 18:52:16)
(Aqui descreva o material permanente)</t>
        </r>
      </text>
    </comment>
    <comment ref="A387" authorId="0" shapeId="0" xr:uid="{64B11239-82E2-4B1E-B274-5E0647A3BA03}">
      <text>
        <r>
          <rPr>
            <sz val="11"/>
            <color theme="1"/>
            <rFont val="Calibri"/>
            <family val="2"/>
            <scheme val="minor"/>
          </rPr>
          <t>======
ID#AAAB1mqcq98
pccli    (2026-02-26 18:52:16)
(Aqui descreva o material permanente)</t>
        </r>
      </text>
    </comment>
    <comment ref="A388" authorId="0" shapeId="0" xr:uid="{3CCC329D-973B-4057-BCD5-20A451D0FC53}">
      <text>
        <r>
          <rPr>
            <sz val="11"/>
            <color theme="1"/>
            <rFont val="Calibri"/>
            <family val="2"/>
            <scheme val="minor"/>
          </rPr>
          <t>======
ID#AAAB1mqcq9s
pccli    (2026-02-26 18:52:16)
(Aqui descreva o material permanente)</t>
        </r>
      </text>
    </comment>
    <comment ref="A468" authorId="0" shapeId="0" xr:uid="{BEAA647B-707F-4B65-9BCB-1B7D9929B18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9" authorId="0" shapeId="0" xr:uid="{48F9938C-0FA3-4325-970E-DA92FF242E9A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0" authorId="0" shapeId="0" xr:uid="{377CCA9D-8B0F-428D-83AC-0D4DFCDDD9EA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1" authorId="0" shapeId="0" xr:uid="{FFF095FA-3F6A-4EFE-BF1A-C0D1CDEDDC6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2" authorId="0" shapeId="0" xr:uid="{51F4D4D0-538A-4927-9B8B-8005B40014B8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3" authorId="0" shapeId="0" xr:uid="{DBEC30A4-7421-4B12-A194-058EDF2924F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4" authorId="0" shapeId="0" xr:uid="{C9116B49-BAAC-4ABC-B64C-BDCF85A4958F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5" authorId="0" shapeId="0" xr:uid="{F8A3C18C-48F4-4D84-9867-DF2A59421BF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6" authorId="0" shapeId="0" xr:uid="{55F2F5E2-FB74-401F-A034-6C92EEC71CE3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7" authorId="0" shapeId="0" xr:uid="{E9198036-D5C5-4F1C-B857-5F3C0346A4E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8" authorId="0" shapeId="0" xr:uid="{FD53D1BB-AA4D-4DDF-AE7A-65511384F8F9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9" authorId="0" shapeId="0" xr:uid="{B9ABEA58-2B6B-4424-8C15-96C2126A8F0B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0" authorId="0" shapeId="0" xr:uid="{D821578F-F286-4D3C-81CD-CE8A7416D0D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1" authorId="0" shapeId="0" xr:uid="{5BDEF61D-EFAD-4204-B4C2-06DCB7AD397F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2" authorId="0" shapeId="0" xr:uid="{8DF4CCB4-031B-4854-9639-7F896B24519C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3" authorId="0" shapeId="0" xr:uid="{5B678D33-532F-4DA2-B80E-020611391DB0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4" authorId="0" shapeId="0" xr:uid="{EE1ACE08-771E-4A03-B981-BACF538B0EE0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5" authorId="0" shapeId="0" xr:uid="{E893A79B-26DD-49C2-AEF5-917570E65152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6" authorId="0" shapeId="0" xr:uid="{FD440BBB-E312-44FC-B18F-C3F0CA48347F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7" authorId="0" shapeId="0" xr:uid="{C3C51AB2-ACC7-4FF0-A4B1-53B341293CB8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8" authorId="0" shapeId="0" xr:uid="{60FCE750-5590-4A81-AF92-46F2D05A46E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9" authorId="0" shapeId="0" xr:uid="{7496B9AA-EA86-4501-ACE8-941929199AB6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0" authorId="0" shapeId="0" xr:uid="{AE807146-672F-4500-87DE-E9998A78B51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1" authorId="0" shapeId="0" xr:uid="{08044811-5A64-4E64-8AC7-6E459F851E5B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2" authorId="0" shapeId="0" xr:uid="{D1D62CD0-875B-4926-B21E-8B7ADEA9E18B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3" authorId="0" shapeId="0" xr:uid="{19566826-1CA1-44E4-B37F-B952E9349121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4" authorId="0" shapeId="0" xr:uid="{B8EB8BBB-9E24-4B4F-B477-3D68DED0267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5" authorId="0" shapeId="0" xr:uid="{F0C1A453-3B89-4307-B086-4AA55B37E34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6" authorId="0" shapeId="0" xr:uid="{0F174DC8-691D-4DF5-AA60-251F58FD7806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7" authorId="0" shapeId="0" xr:uid="{0B5F2475-EEA3-4042-BBFF-655A6BBFC596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8" authorId="0" shapeId="0" xr:uid="{95BEAE63-CFC6-4E2C-A73F-9E668D4F3661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9" authorId="0" shapeId="0" xr:uid="{3F12F10C-78B0-4141-8B04-342B7AD0E54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500" authorId="0" shapeId="0" xr:uid="{43DC2BD6-9FD5-4631-AAAF-820B3B0B8C0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</commentList>
</comments>
</file>

<file path=xl/sharedStrings.xml><?xml version="1.0" encoding="utf-8"?>
<sst xmlns="http://schemas.openxmlformats.org/spreadsheetml/2006/main" count="654" uniqueCount="466">
  <si>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</si>
  <si>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</si>
  <si>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</si>
  <si>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</si>
  <si>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</si>
  <si>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</si>
  <si>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</si>
  <si>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</si>
  <si>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</si>
  <si>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</si>
  <si>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</si>
  <si>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</si>
  <si>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</si>
  <si>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</si>
  <si>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ESF. ADMINISTRATIVA: PRIVADA</t>
  </si>
  <si>
    <t>FUNÇÃO: DIRETOR PRESIDENTE</t>
  </si>
  <si>
    <t xml:space="preserve">2 - DADOS DO PROJETO </t>
  </si>
  <si>
    <t>2.1.2 - INÍCIO</t>
  </si>
  <si>
    <t>A PARTIR DA ASSINATURA DO CONTRATO</t>
  </si>
  <si>
    <t>2.1.4 - COORDENADOR</t>
  </si>
  <si>
    <t>2.1.5 - FISCAL</t>
  </si>
  <si>
    <t>2.1.8 - CLASSIFICAÇÃO DO PROJETO</t>
  </si>
  <si>
    <t>Selecione o enquadramento do projeto</t>
  </si>
  <si>
    <t>VALOR</t>
  </si>
  <si>
    <t>INÍCIO</t>
  </si>
  <si>
    <t>TÉRMINO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</si>
  <si>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</si>
  <si>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</si>
  <si>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</si>
  <si>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</si>
  <si>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</si>
  <si>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</si>
  <si>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</si>
  <si>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</si>
  <si>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</si>
  <si>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</si>
  <si>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</si>
  <si>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</si>
  <si>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</si>
  <si>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</si>
  <si>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</si>
  <si>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</si>
  <si>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</si>
  <si>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</si>
  <si>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</si>
  <si>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</si>
  <si>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</si>
  <si>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</si>
  <si>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</si>
  <si>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</si>
  <si>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</si>
  <si>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</si>
  <si>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</si>
  <si>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</si>
  <si>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</si>
  <si>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</si>
  <si>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</si>
  <si>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</si>
  <si>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</si>
  <si>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</si>
  <si>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</si>
  <si>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</si>
  <si>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</si>
  <si>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</si>
  <si>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</si>
  <si>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</si>
  <si>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</si>
  <si>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</si>
  <si>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</si>
  <si>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</si>
  <si>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</si>
  <si>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</si>
  <si>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</si>
  <si>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</si>
  <si>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</si>
  <si>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</si>
  <si>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</si>
  <si>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</si>
  <si>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</si>
  <si>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</si>
  <si>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</si>
  <si>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</si>
  <si>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</si>
  <si>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</si>
  <si>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</si>
  <si>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</si>
  <si>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</si>
  <si>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</si>
  <si>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</si>
  <si>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</si>
  <si>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</si>
  <si>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</si>
  <si>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</si>
  <si>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</si>
  <si>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</si>
  <si>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</si>
  <si>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</si>
  <si>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</si>
  <si>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</si>
  <si>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</si>
  <si>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</si>
  <si>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</si>
  <si>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</si>
  <si>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</si>
  <si>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</si>
  <si>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</si>
  <si>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</si>
  <si>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</si>
  <si>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</si>
  <si>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</si>
  <si>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</si>
  <si>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</si>
  <si>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</si>
  <si>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</si>
  <si>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</si>
  <si>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</si>
  <si>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</si>
  <si>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</si>
  <si>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</si>
  <si>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</si>
  <si>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</si>
  <si>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</si>
  <si>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</si>
  <si>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</si>
  <si>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</si>
  <si>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</si>
  <si>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</si>
  <si>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</si>
  <si>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</si>
  <si>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</si>
  <si>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</si>
  <si>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</si>
  <si>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</si>
  <si>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</si>
  <si>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</si>
  <si>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</si>
  <si>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</si>
  <si>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</si>
  <si>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</si>
  <si>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</si>
  <si>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</si>
  <si>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</si>
  <si>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</si>
  <si>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</si>
  <si>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</si>
  <si>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</si>
  <si>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</si>
  <si>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</si>
  <si>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</si>
  <si>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</si>
  <si>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</si>
  <si>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</si>
  <si>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</si>
  <si>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</si>
  <si>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</si>
  <si>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</si>
  <si>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</si>
  <si>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</si>
  <si>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</si>
  <si>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</si>
  <si>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</si>
  <si>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</si>
  <si>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</si>
  <si>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</si>
  <si>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</si>
  <si>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</si>
  <si>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</si>
  <si>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</si>
  <si>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</si>
  <si>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</si>
  <si>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</si>
  <si>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</si>
  <si>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</si>
  <si>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</si>
  <si>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</si>
  <si>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</si>
  <si>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</si>
  <si>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</si>
  <si>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</si>
  <si>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</si>
  <si>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</si>
  <si>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</si>
  <si>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</si>
  <si>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</si>
  <si>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</si>
  <si>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</si>
  <si>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</si>
  <si>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</si>
  <si>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</si>
  <si>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</si>
  <si>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</si>
  <si>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</si>
  <si>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</si>
  <si>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</si>
  <si>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</si>
  <si>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</si>
  <si>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</si>
  <si>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</si>
  <si>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</si>
  <si>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</si>
  <si>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</si>
  <si>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</si>
  <si>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</si>
  <si>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</si>
  <si>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</si>
  <si>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</si>
  <si>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</si>
  <si>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</si>
  <si>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</si>
  <si>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</si>
  <si>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</si>
  <si>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</si>
  <si>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</si>
  <si>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</si>
  <si>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</si>
  <si>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</si>
  <si>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</si>
  <si>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</si>
  <si>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</si>
  <si>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</si>
  <si>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</si>
  <si>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</si>
  <si>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</si>
  <si>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</si>
  <si>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</si>
  <si>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</si>
  <si>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</si>
  <si>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</si>
  <si>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</si>
  <si>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</si>
  <si>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</si>
  <si>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</si>
  <si>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</si>
  <si>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</si>
  <si>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</si>
  <si>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</si>
  <si>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</si>
  <si>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</si>
  <si>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</si>
  <si>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</si>
  <si>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</si>
  <si>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</si>
  <si>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</si>
  <si>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</si>
  <si>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</si>
  <si>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</si>
  <si>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</si>
  <si>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</si>
  <si>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</si>
  <si>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 xml:space="preserve">2.1.1 - TÍTULO </t>
  </si>
  <si>
    <t>2.1.1 - TÉRMINO</t>
  </si>
  <si>
    <t xml:space="preserve">2.1.7 - N° DE REGISTRO </t>
  </si>
  <si>
    <t>2.1.9 - INSTRUMENTO JURÍDICO</t>
  </si>
  <si>
    <t>SIAPE</t>
  </si>
  <si>
    <t>2.1.6 - COORDENADOR ADM</t>
  </si>
  <si>
    <t>SIAPE RESPONSÁVEL</t>
  </si>
  <si>
    <t xml:space="preserve">RESPONSÁVEL </t>
  </si>
  <si>
    <t>UNIDADE/PRÓ-REITORIA</t>
  </si>
  <si>
    <t>DEPARTAMENTO/ÓRGÃO/SETOR</t>
  </si>
  <si>
    <t>NOME LABORATÓRIO/INFRAESTRUTURA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</si>
  <si>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</si>
  <si>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</si>
  <si>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</si>
  <si>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</si>
  <si>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</si>
  <si>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(descreva aqui a fase da meta de execução)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</si>
  <si>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</si>
  <si>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</si>
  <si>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</si>
  <si>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  <family val="2"/>
      </rPr>
      <t xml:space="preserve">ESCOLHA APENAS UMA DAS OPÇÕES </t>
    </r>
    <r>
      <rPr>
        <b/>
        <sz val="14"/>
        <color rgb="FFFFFFFF"/>
        <rFont val="Calibri"/>
        <family val="2"/>
      </rPr>
      <t xml:space="preserve">DE PERÍODO DE REMBOLSO ABAIXO: </t>
    </r>
  </si>
  <si>
    <t>MENSAL OU SEMESTRAL OU ANUAL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</si>
  <si>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</si>
  <si>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</si>
  <si>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</si>
  <si>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</si>
  <si>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</si>
  <si>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</si>
  <si>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</si>
  <si>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</si>
  <si>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</si>
  <si>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</si>
  <si>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</si>
  <si>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TOTAL</t>
  </si>
  <si>
    <t>ANUAL</t>
  </si>
  <si>
    <t>ANO 1</t>
  </si>
  <si>
    <t>ANO 2</t>
  </si>
  <si>
    <t>ANO 3</t>
  </si>
  <si>
    <t>ANO 4</t>
  </si>
  <si>
    <t>ANO 5</t>
  </si>
  <si>
    <t>ESPECIFICAÇÃO DOS RECURSOS FINANCEIROS PROVENIENTES: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</si>
  <si>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</si>
  <si>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</si>
  <si>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</si>
  <si>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</si>
  <si>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</si>
  <si>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</si>
  <si>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</si>
  <si>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</si>
  <si>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</si>
  <si>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ESPECIFICAÇÃO</t>
  </si>
  <si>
    <t>DESPESAS DE CUSTEIO</t>
  </si>
  <si>
    <t>DESPESAS DE CAPITAL</t>
  </si>
  <si>
    <t>RESSARCIMENTO INFRAESTRUTURA UFSM (5% a 8% CUSTEIO)</t>
  </si>
  <si>
    <t xml:space="preserve">DESPESAS OPERACIONAIS FUNDAÇÃO </t>
  </si>
  <si>
    <t>Diárias no país</t>
  </si>
  <si>
    <t>Diárias no exterior</t>
  </si>
  <si>
    <t>Auxílio para desenvolvimento de estudos e pesquisas</t>
  </si>
  <si>
    <t>Diárias a colaboradores eventuais no país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</si>
  <si>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</si>
  <si>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</si>
  <si>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</si>
  <si>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</si>
  <si>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</si>
  <si>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</si>
  <si>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</si>
  <si>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</si>
  <si>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</si>
  <si>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</si>
  <si>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</si>
  <si>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</si>
  <si>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</si>
  <si>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</si>
  <si>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</si>
  <si>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</si>
  <si>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</si>
  <si>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</si>
  <si>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</si>
  <si>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</si>
  <si>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</si>
  <si>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</si>
  <si>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</si>
  <si>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</si>
  <si>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</si>
  <si>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</si>
  <si>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</si>
  <si>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</si>
  <si>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</si>
  <si>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</si>
  <si>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</si>
  <si>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</si>
  <si>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</si>
  <si>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</si>
  <si>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</si>
  <si>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</si>
  <si>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</si>
  <si>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</si>
  <si>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</si>
  <si>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</si>
  <si>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</si>
  <si>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</si>
  <si>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</si>
  <si>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Serviços de limpeza e conservação</t>
  </si>
  <si>
    <t>Serviços de apoio administrativo, técnico e operacional</t>
  </si>
  <si>
    <t>Obrigações Tributárias e Contributivas (cota patronal 20%)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</si>
  <si>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</si>
  <si>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</si>
  <si>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</si>
  <si>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</si>
  <si>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</si>
  <si>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</si>
  <si>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</si>
  <si>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</si>
  <si>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</si>
  <si>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</si>
  <si>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</si>
  <si>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</si>
  <si>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</si>
  <si>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</si>
  <si>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</si>
  <si>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</si>
  <si>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</si>
  <si>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</si>
  <si>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</si>
  <si>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</si>
  <si>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</si>
  <si>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</si>
  <si>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</si>
  <si>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</si>
  <si>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</si>
  <si>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</si>
  <si>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</si>
  <si>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</si>
  <si>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</si>
  <si>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</si>
  <si>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</si>
  <si>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</si>
  <si>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</si>
  <si>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</si>
  <si>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</si>
  <si>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</si>
  <si>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</si>
  <si>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</si>
  <si>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</si>
  <si>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</si>
  <si>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</si>
  <si>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Material Permanente (Preencher o ANEXO I)</t>
  </si>
  <si>
    <t>Estudos e Projetos</t>
  </si>
  <si>
    <t>Obras em andamento</t>
  </si>
  <si>
    <t>Instalações</t>
  </si>
  <si>
    <t>Almoxarifado de obras</t>
  </si>
  <si>
    <t>Outras obras e instalações</t>
  </si>
  <si>
    <t>Ressarcimento pelo Uso da Infraestrutura da UFSM</t>
  </si>
  <si>
    <t>TOTAL GERAL</t>
  </si>
  <si>
    <t>11.7 - Equipamento e Material Permanente (Anexo I)</t>
  </si>
  <si>
    <t>11.8 - Obras e Instalações</t>
  </si>
  <si>
    <t>11.9 - Ressarcimento pelo Uso da Infraestrutura da UFSM</t>
  </si>
  <si>
    <t>11.10 - Despesas operacionais e administravas da FUNDAÇÃO DE APOIO</t>
  </si>
  <si>
    <t>ANEXO I - MATERIAL E EQUIPAMENTO PERMANENTE</t>
  </si>
  <si>
    <t>QUANTIDADE</t>
  </si>
  <si>
    <t>VALOR UNITÁRIO</t>
  </si>
  <si>
    <t>VALOR TOTAL</t>
  </si>
  <si>
    <t>(Aqui descreva o material permanente)</t>
  </si>
  <si>
    <r>
      <rPr>
        <b/>
        <sz val="14"/>
        <color rgb="FFFF0000"/>
        <rFont val="Calibri"/>
        <family val="2"/>
      </rPr>
      <t xml:space="preserve">SOMENTE SE PROJETO DE PRESTAÇÃO DE SERVIÇOS:
</t>
    </r>
    <r>
      <rPr>
        <b/>
        <sz val="14"/>
        <color theme="1"/>
        <rFont val="Calibri"/>
        <family val="2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</si>
  <si>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</si>
  <si>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MENSAL</t>
  </si>
  <si>
    <t>R$ -=SOMA(C248:C277;E248:E277)</t>
  </si>
  <si>
    <t>Despesas operacionais e administravas da FUNDAÇÃO DE APOIO</t>
  </si>
  <si>
    <t>Plano de Trabalho - FDMS</t>
  </si>
  <si>
    <t>NOME: FUNDAÇÃO DELFIM MENDES SILVEIRA - FDMS</t>
  </si>
  <si>
    <t>C.N.P.J.: 03.703.102/0001-61</t>
  </si>
  <si>
    <t>ENDEREÇO: RUA LOBO DA COSTA Nº 447, BAIRRO CENTRO</t>
  </si>
  <si>
    <t>CIDADE: PELOTAS - RS</t>
  </si>
  <si>
    <t>CEP: 96010-150</t>
  </si>
  <si>
    <t>DDD/FONE: (31) 3409-4200</t>
  </si>
  <si>
    <t>NOME DO DIRIGENTE DA ENTIDADE PROPONENTE: CÉSAR DALMOLIN BERGOLI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</si>
  <si>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</si>
  <si>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</si>
  <si>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</si>
  <si>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</si>
  <si>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</si>
  <si>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</si>
  <si>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</si>
  <si>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Coordenador (Participante)</t>
  </si>
  <si>
    <t>Coordenador (Bolsa)</t>
  </si>
  <si>
    <t>Coordenador (Remuneração eventual)</t>
  </si>
  <si>
    <t>2.2 - OBJETO/OBJETIVOS</t>
  </si>
  <si>
    <t xml:space="preserve">2.3 - JUSTIFICATIVA 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</si>
  <si>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</si>
  <si>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</si>
  <si>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3 - FONTES E USOS</t>
  </si>
  <si>
    <t>3.1 - FONTES</t>
  </si>
  <si>
    <t>3.2 - USOS</t>
  </si>
  <si>
    <t>4 - PLANO DE APLICAÇÃO</t>
  </si>
  <si>
    <t xml:space="preserve">4.1 - PARTICIPANTES </t>
  </si>
  <si>
    <t>4.2 - Diárias</t>
  </si>
  <si>
    <t>4.3 - Serviços de Terceiros Pessoa Jurídica</t>
  </si>
  <si>
    <t>4.4 - Serviços de Terceiros - Pessoa Física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</si>
  <si>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</si>
  <si>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</si>
  <si>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</si>
  <si>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</si>
  <si>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</si>
  <si>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4.10 - Despesas operacionais e administravas da FUNDAÇÃO DE APOIO</t>
  </si>
  <si>
    <t>5 - CRONOGRAMA DE EXECUÇÃO</t>
  </si>
  <si>
    <t>5.1 - DESCRIÇÃO DAS ATIVIDADES</t>
  </si>
  <si>
    <t>6 - CRONOGRAMA DE DESEMBOLSO</t>
  </si>
  <si>
    <t>ANEXO II</t>
  </si>
  <si>
    <t xml:space="preserve"> LABORATÓRIOS UTILIZADOS</t>
  </si>
  <si>
    <t>PREENCHER APENAS SE TRIPARTITE</t>
  </si>
  <si>
    <t>1.3 – CONCEDENTE/FINANCIADOR: DADOS EMPRESA</t>
  </si>
  <si>
    <t>Nome:</t>
  </si>
  <si>
    <t>C.N.P.J.</t>
  </si>
  <si>
    <t>Endereço:</t>
  </si>
  <si>
    <t>Cidade:</t>
  </si>
  <si>
    <t>UF:</t>
  </si>
  <si>
    <t>CEP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</si>
</sst>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&quot;R$ &quot;* #,##0.00_-;&quot;-R$ &quot;* #,##0.00_-;_-&quot;R$ &quot;* \-??_-;_-@"/>
    <numFmt numFmtId="165" formatCode="_-[$R$-416]\ * #,##0.00_-;\-[$R$-416]\ * #,##0.00_-;_-[$R$-416]\ * \-??_-;_-@"/>
    <numFmt numFmtId="166" formatCode="_-* #,##0.00_-;\-* #,##0.00_-;_-* \-??_-;_-@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b/>
      <sz val="14"/>
      <color rgb="FFFFFF00"/>
      <name val="Calibri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</font>
    <font>
      <sz val="12"/>
      <color theme="1"/>
      <name val="Calibri"/>
      <family val="2"/>
    </font>
    <font>
      <sz val="10"/>
      <color theme="0"/>
      <name val="Calibri"/>
      <family val="2"/>
    </font>
    <font>
      <sz val="14"/>
      <color theme="1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0"/>
        <bgColor rgb="FFD0CECE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2F2F2"/>
        <bgColor rgb="FFF2F2F2"/>
      </patternFill>
    </fill>
    <fill>
      <patternFill patternType="solid">
        <fgColor theme="4" tint="-0.249977111117893"/>
        <bgColor rgb="FF2E75B5"/>
      </patternFill>
    </fill>
    <fill>
      <patternFill patternType="solid">
        <fgColor theme="4" tint="-0.249977111117893"/>
        <bgColor rgb="FFD0CECE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2E75B5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D9D9D9"/>
        <bgColor indexed="64"/>
      </patternFill>
    </fill>
  </fills>
  <borders count="17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</borders>
  <cellStyleXfs count="2">
    <xf numFmtId="0" fontId="0" fillId="0" borderId="0"/>
    <xf numFmtId="44" fontId="16" fillId="0" borderId="0" applyFont="0" applyFill="0" applyBorder="0" applyAlignment="0" applyProtection="0"/>
  </cellStyleXfs>
  <cellXfs count="549">
    <xf numFmtId="0" fontId="0" fillId="0" borderId="0" xfId="0" applyFont="1" applyAlignment="1"/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6" fillId="0" borderId="0" xfId="0" applyFont="1"/>
    <xf numFmtId="0" fontId="6" fillId="0" borderId="0" xfId="0" applyFont="1" applyAlignment="1">
      <alignment wrapText="1"/>
    </xf>
    <xf numFmtId="0" fontId="3" fillId="5" borderId="17" xfId="0" applyFont="1" applyFill="1" applyBorder="1" applyAlignment="1">
      <alignment horizontal="left" vertical="center"/>
    </xf>
    <xf numFmtId="0" fontId="3" fillId="5" borderId="60" xfId="0" applyFont="1" applyFill="1" applyBorder="1" applyAlignment="1">
      <alignment horizontal="left" vertical="center"/>
    </xf>
    <xf numFmtId="0" fontId="3" fillId="5" borderId="62" xfId="0" applyFont="1" applyFill="1" applyBorder="1" applyAlignment="1">
      <alignment horizontal="left" vertical="center"/>
    </xf>
    <xf numFmtId="0" fontId="4" fillId="3" borderId="13" xfId="0" applyFont="1" applyFill="1" applyBorder="1" applyAlignment="1">
      <alignment vertical="center"/>
    </xf>
    <xf numFmtId="0" fontId="4" fillId="3" borderId="14" xfId="0" applyFont="1" applyFill="1" applyBorder="1" applyAlignment="1">
      <alignment vertical="center"/>
    </xf>
    <xf numFmtId="0" fontId="4" fillId="3" borderId="73" xfId="0" applyFont="1" applyFill="1" applyBorder="1" applyAlignment="1">
      <alignment vertical="center"/>
    </xf>
    <xf numFmtId="0" fontId="4" fillId="3" borderId="75" xfId="0" applyFont="1" applyFill="1" applyBorder="1" applyAlignment="1">
      <alignment vertical="center"/>
    </xf>
    <xf numFmtId="0" fontId="4" fillId="3" borderId="77" xfId="0" applyFont="1" applyFill="1" applyBorder="1" applyAlignment="1">
      <alignment vertical="center"/>
    </xf>
    <xf numFmtId="0" fontId="4" fillId="3" borderId="78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12" fillId="3" borderId="28" xfId="0" applyFont="1" applyFill="1" applyBorder="1" applyAlignment="1">
      <alignment vertical="center"/>
    </xf>
    <xf numFmtId="0" fontId="12" fillId="3" borderId="30" xfId="0" applyFont="1" applyFill="1" applyBorder="1" applyAlignment="1">
      <alignment vertical="center"/>
    </xf>
    <xf numFmtId="0" fontId="8" fillId="3" borderId="17" xfId="0" applyFont="1" applyFill="1" applyBorder="1" applyAlignment="1">
      <alignment vertical="center"/>
    </xf>
    <xf numFmtId="0" fontId="17" fillId="14" borderId="30" xfId="0" applyFont="1" applyFill="1" applyBorder="1" applyAlignment="1">
      <alignment horizontal="center" vertical="center" wrapText="1"/>
    </xf>
    <xf numFmtId="0" fontId="17" fillId="14" borderId="110" xfId="0" applyFont="1" applyFill="1" applyBorder="1" applyAlignment="1">
      <alignment horizontal="center" vertical="center" wrapText="1"/>
    </xf>
    <xf numFmtId="0" fontId="17" fillId="16" borderId="112" xfId="0" applyFont="1" applyFill="1" applyBorder="1" applyAlignment="1">
      <alignment horizontal="center" vertical="center" wrapText="1"/>
    </xf>
    <xf numFmtId="0" fontId="15" fillId="14" borderId="30" xfId="0" applyFont="1" applyFill="1" applyBorder="1" applyAlignment="1">
      <alignment horizontal="center" vertical="center" wrapText="1"/>
    </xf>
    <xf numFmtId="0" fontId="15" fillId="14" borderId="114" xfId="0" applyFont="1" applyFill="1" applyBorder="1" applyAlignment="1">
      <alignment horizontal="right" vertical="center" wrapText="1"/>
    </xf>
    <xf numFmtId="0" fontId="0" fillId="0" borderId="0" xfId="0" applyFont="1" applyAlignment="1"/>
    <xf numFmtId="0" fontId="8" fillId="2" borderId="14" xfId="0" applyFont="1" applyFill="1" applyBorder="1" applyAlignment="1">
      <alignment vertical="center" wrapText="1"/>
    </xf>
    <xf numFmtId="49" fontId="20" fillId="3" borderId="31" xfId="0" applyNumberFormat="1" applyFont="1" applyFill="1" applyBorder="1" applyAlignment="1">
      <alignment horizontal="center" vertical="center" wrapText="1"/>
    </xf>
    <xf numFmtId="166" fontId="4" fillId="3" borderId="31" xfId="0" applyNumberFormat="1" applyFont="1" applyFill="1" applyBorder="1" applyAlignment="1">
      <alignment vertical="center" wrapText="1"/>
    </xf>
    <xf numFmtId="165" fontId="20" fillId="3" borderId="31" xfId="0" applyNumberFormat="1" applyFont="1" applyFill="1" applyBorder="1" applyAlignment="1">
      <alignment horizontal="center" vertical="center" shrinkToFit="1"/>
    </xf>
    <xf numFmtId="164" fontId="4" fillId="2" borderId="60" xfId="0" applyNumberFormat="1" applyFont="1" applyFill="1" applyBorder="1" applyAlignment="1">
      <alignment vertical="center" shrinkToFit="1"/>
    </xf>
    <xf numFmtId="0" fontId="21" fillId="3" borderId="17" xfId="0" applyFont="1" applyFill="1" applyBorder="1" applyAlignment="1">
      <alignment vertical="center" wrapText="1"/>
    </xf>
    <xf numFmtId="165" fontId="4" fillId="3" borderId="31" xfId="0" applyNumberFormat="1" applyFont="1" applyFill="1" applyBorder="1" applyAlignment="1">
      <alignment horizontal="center" vertical="center" shrinkToFit="1"/>
    </xf>
    <xf numFmtId="0" fontId="18" fillId="0" borderId="17" xfId="0" applyFont="1" applyBorder="1" applyAlignment="1"/>
    <xf numFmtId="166" fontId="4" fillId="3" borderId="61" xfId="0" applyNumberFormat="1" applyFont="1" applyFill="1" applyBorder="1" applyAlignment="1">
      <alignment vertical="center" wrapText="1"/>
    </xf>
    <xf numFmtId="165" fontId="4" fillId="3" borderId="61" xfId="0" applyNumberFormat="1" applyFont="1" applyFill="1" applyBorder="1" applyAlignment="1">
      <alignment horizontal="center" vertical="center" shrinkToFit="1"/>
    </xf>
    <xf numFmtId="164" fontId="4" fillId="2" borderId="62" xfId="0" applyNumberFormat="1" applyFont="1" applyFill="1" applyBorder="1" applyAlignment="1">
      <alignment vertical="center" shrinkToFit="1"/>
    </xf>
    <xf numFmtId="0" fontId="4" fillId="3" borderId="31" xfId="0" applyFont="1" applyFill="1" applyBorder="1" applyAlignment="1">
      <alignment horizontal="center" vertical="center" wrapText="1"/>
    </xf>
    <xf numFmtId="49" fontId="4" fillId="3" borderId="31" xfId="0" applyNumberFormat="1" applyFont="1" applyFill="1" applyBorder="1" applyAlignment="1">
      <alignment horizontal="center" vertical="center" wrapText="1"/>
    </xf>
    <xf numFmtId="0" fontId="4" fillId="3" borderId="61" xfId="0" applyFont="1" applyFill="1" applyBorder="1" applyAlignment="1">
      <alignment horizontal="center" vertical="center" wrapText="1"/>
    </xf>
    <xf numFmtId="49" fontId="4" fillId="3" borderId="61" xfId="0" applyNumberFormat="1" applyFont="1" applyFill="1" applyBorder="1" applyAlignment="1">
      <alignment horizontal="center" vertical="center" wrapText="1"/>
    </xf>
    <xf numFmtId="0" fontId="0" fillId="0" borderId="0" xfId="0" applyFont="1" applyAlignment="1"/>
    <xf numFmtId="0" fontId="4" fillId="2" borderId="44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vertical="center"/>
    </xf>
    <xf numFmtId="0" fontId="4" fillId="8" borderId="152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left" vertical="center"/>
    </xf>
    <xf numFmtId="0" fontId="4" fillId="8" borderId="89" xfId="0" applyFont="1" applyFill="1" applyBorder="1" applyAlignment="1">
      <alignment horizontal="left" vertical="center"/>
    </xf>
    <xf numFmtId="0" fontId="4" fillId="8" borderId="44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left" vertical="center"/>
    </xf>
    <xf numFmtId="0" fontId="4" fillId="8" borderId="12" xfId="0" applyFont="1" applyFill="1" applyBorder="1" applyAlignment="1">
      <alignment horizontal="left" vertical="center"/>
    </xf>
    <xf numFmtId="0" fontId="4" fillId="8" borderId="49" xfId="0" applyFont="1" applyFill="1" applyBorder="1" applyAlignment="1">
      <alignment horizontal="left" vertical="center"/>
    </xf>
    <xf numFmtId="0" fontId="4" fillId="8" borderId="76" xfId="0" applyFont="1" applyFill="1" applyBorder="1" applyAlignment="1">
      <alignment horizontal="left" vertical="center"/>
    </xf>
    <xf numFmtId="0" fontId="4" fillId="8" borderId="74" xfId="0" applyFont="1" applyFill="1" applyBorder="1" applyAlignment="1">
      <alignment horizontal="left" vertical="center"/>
    </xf>
    <xf numFmtId="0" fontId="4" fillId="8" borderId="8" xfId="0" applyFont="1" applyFill="1" applyBorder="1" applyAlignment="1">
      <alignment horizontal="left" vertical="center"/>
    </xf>
    <xf numFmtId="0" fontId="4" fillId="8" borderId="9" xfId="0" applyFont="1" applyFill="1" applyBorder="1" applyAlignment="1">
      <alignment horizontal="left" vertical="center"/>
    </xf>
    <xf numFmtId="0" fontId="4" fillId="8" borderId="68" xfId="0" applyFont="1" applyFill="1" applyBorder="1" applyAlignment="1">
      <alignment horizontal="left" vertical="center"/>
    </xf>
    <xf numFmtId="0" fontId="4" fillId="8" borderId="11" xfId="0" applyFont="1" applyFill="1" applyBorder="1" applyAlignment="1">
      <alignment horizontal="left" vertical="center"/>
    </xf>
    <xf numFmtId="0" fontId="4" fillId="8" borderId="91" xfId="0" applyFont="1" applyFill="1" applyBorder="1" applyAlignment="1">
      <alignment horizontal="left" vertical="center"/>
    </xf>
    <xf numFmtId="0" fontId="4" fillId="8" borderId="92" xfId="0" applyFont="1" applyFill="1" applyBorder="1" applyAlignment="1">
      <alignment horizontal="left" vertical="center"/>
    </xf>
    <xf numFmtId="0" fontId="4" fillId="8" borderId="82" xfId="0" applyFont="1" applyFill="1" applyBorder="1" applyAlignment="1">
      <alignment horizontal="left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73" xfId="0" applyFont="1" applyFill="1" applyBorder="1" applyAlignment="1">
      <alignment horizontal="center" vertical="center"/>
    </xf>
    <xf numFmtId="0" fontId="4" fillId="2" borderId="49" xfId="0" applyFont="1" applyFill="1" applyBorder="1" applyAlignment="1">
      <alignment horizontal="center" vertical="center"/>
    </xf>
    <xf numFmtId="0" fontId="2" fillId="0" borderId="103" xfId="0" applyFont="1" applyBorder="1" applyAlignment="1">
      <alignment vertical="center" wrapText="1"/>
    </xf>
    <xf numFmtId="0" fontId="2" fillId="15" borderId="106" xfId="0" applyFont="1" applyFill="1" applyBorder="1" applyAlignment="1">
      <alignment vertical="center" wrapText="1"/>
    </xf>
    <xf numFmtId="0" fontId="4" fillId="0" borderId="24" xfId="0" applyFont="1" applyBorder="1" applyAlignment="1">
      <alignment vertical="center"/>
    </xf>
    <xf numFmtId="0" fontId="2" fillId="0" borderId="109" xfId="0" applyFont="1" applyBorder="1" applyAlignment="1">
      <alignment vertical="center" wrapText="1"/>
    </xf>
    <xf numFmtId="0" fontId="2" fillId="0" borderId="111" xfId="0" applyFont="1" applyBorder="1" applyAlignment="1">
      <alignment vertical="center" wrapText="1"/>
    </xf>
    <xf numFmtId="0" fontId="4" fillId="0" borderId="28" xfId="0" applyFont="1" applyBorder="1" applyAlignment="1">
      <alignment vertical="center"/>
    </xf>
    <xf numFmtId="0" fontId="2" fillId="14" borderId="30" xfId="0" applyFont="1" applyFill="1" applyBorder="1" applyAlignment="1">
      <alignment vertical="center" wrapText="1"/>
    </xf>
    <xf numFmtId="0" fontId="2" fillId="14" borderId="110" xfId="0" applyFont="1" applyFill="1" applyBorder="1" applyAlignment="1">
      <alignment vertical="center" wrapText="1"/>
    </xf>
    <xf numFmtId="0" fontId="2" fillId="0" borderId="28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15" borderId="113" xfId="0" applyFont="1" applyFill="1" applyBorder="1" applyAlignment="1">
      <alignment vertical="center" wrapText="1"/>
    </xf>
    <xf numFmtId="0" fontId="2" fillId="15" borderId="0" xfId="0" applyFont="1" applyFill="1" applyAlignment="1">
      <alignment vertical="center" wrapText="1"/>
    </xf>
    <xf numFmtId="0" fontId="2" fillId="0" borderId="115" xfId="0" applyFont="1" applyBorder="1" applyAlignment="1">
      <alignment vertical="center" wrapText="1"/>
    </xf>
    <xf numFmtId="166" fontId="3" fillId="8" borderId="69" xfId="0" applyNumberFormat="1" applyFont="1" applyFill="1" applyBorder="1" applyAlignment="1">
      <alignment vertical="center"/>
    </xf>
    <xf numFmtId="166" fontId="4" fillId="3" borderId="14" xfId="0" applyNumberFormat="1" applyFont="1" applyFill="1" applyBorder="1" applyAlignment="1">
      <alignment vertical="center"/>
    </xf>
    <xf numFmtId="166" fontId="4" fillId="3" borderId="97" xfId="0" applyNumberFormat="1" applyFont="1" applyFill="1" applyBorder="1" applyAlignment="1">
      <alignment vertical="center"/>
    </xf>
    <xf numFmtId="166" fontId="4" fillId="12" borderId="77" xfId="0" applyNumberFormat="1" applyFont="1" applyFill="1" applyBorder="1" applyAlignment="1">
      <alignment vertical="center"/>
    </xf>
    <xf numFmtId="0" fontId="4" fillId="2" borderId="60" xfId="0" applyFont="1" applyFill="1" applyBorder="1" applyAlignment="1">
      <alignment vertical="center"/>
    </xf>
    <xf numFmtId="166" fontId="8" fillId="3" borderId="31" xfId="0" applyNumberFormat="1" applyFont="1" applyFill="1" applyBorder="1" applyAlignment="1">
      <alignment vertical="center"/>
    </xf>
    <xf numFmtId="166" fontId="7" fillId="8" borderId="31" xfId="0" applyNumberFormat="1" applyFont="1" applyFill="1" applyBorder="1" applyAlignment="1">
      <alignment vertical="center"/>
    </xf>
    <xf numFmtId="164" fontId="8" fillId="3" borderId="31" xfId="0" applyNumberFormat="1" applyFont="1" applyFill="1" applyBorder="1" applyAlignment="1">
      <alignment horizontal="center" vertical="center"/>
    </xf>
    <xf numFmtId="0" fontId="7" fillId="12" borderId="64" xfId="0" applyFont="1" applyFill="1" applyBorder="1" applyAlignment="1">
      <alignment horizontal="center" vertical="center"/>
    </xf>
    <xf numFmtId="0" fontId="7" fillId="12" borderId="61" xfId="0" applyFont="1" applyFill="1" applyBorder="1" applyAlignment="1">
      <alignment horizontal="center" vertical="center"/>
    </xf>
    <xf numFmtId="164" fontId="8" fillId="3" borderId="35" xfId="0" applyNumberFormat="1" applyFont="1" applyFill="1" applyBorder="1" applyAlignment="1">
      <alignment horizontal="center" vertical="center"/>
    </xf>
    <xf numFmtId="164" fontId="8" fillId="3" borderId="47" xfId="0" applyNumberFormat="1" applyFont="1" applyFill="1" applyBorder="1" applyAlignment="1">
      <alignment horizontal="center" vertical="center"/>
    </xf>
    <xf numFmtId="164" fontId="8" fillId="3" borderId="51" xfId="0" applyNumberFormat="1" applyFont="1" applyFill="1" applyBorder="1" applyAlignment="1">
      <alignment horizontal="center" vertical="center"/>
    </xf>
    <xf numFmtId="164" fontId="8" fillId="3" borderId="53" xfId="0" applyNumberFormat="1" applyFont="1" applyFill="1" applyBorder="1" applyAlignment="1">
      <alignment horizontal="center" vertical="center"/>
    </xf>
    <xf numFmtId="0" fontId="8" fillId="3" borderId="63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7" fillId="10" borderId="167" xfId="0" applyFont="1" applyFill="1" applyBorder="1" applyAlignment="1">
      <alignment horizontal="center" vertical="center" wrapText="1"/>
    </xf>
    <xf numFmtId="0" fontId="7" fillId="10" borderId="166" xfId="0" applyFont="1" applyFill="1" applyBorder="1" applyAlignment="1">
      <alignment horizontal="center" vertical="center" wrapText="1"/>
    </xf>
    <xf numFmtId="0" fontId="7" fillId="10" borderId="168" xfId="0" applyFont="1" applyFill="1" applyBorder="1" applyAlignment="1">
      <alignment horizontal="center" vertical="center" wrapText="1"/>
    </xf>
    <xf numFmtId="0" fontId="7" fillId="10" borderId="19" xfId="0" applyFont="1" applyFill="1" applyBorder="1" applyAlignment="1">
      <alignment horizontal="center" vertical="center" wrapText="1"/>
    </xf>
    <xf numFmtId="0" fontId="7" fillId="10" borderId="17" xfId="0" applyFont="1" applyFill="1" applyBorder="1" applyAlignment="1">
      <alignment horizontal="center" vertical="center" wrapText="1"/>
    </xf>
    <xf numFmtId="0" fontId="7" fillId="10" borderId="66" xfId="0" applyFont="1" applyFill="1" applyBorder="1" applyAlignment="1">
      <alignment horizontal="center" vertical="center" wrapText="1"/>
    </xf>
    <xf numFmtId="0" fontId="7" fillId="10" borderId="169" xfId="0" applyFont="1" applyFill="1" applyBorder="1" applyAlignment="1">
      <alignment horizontal="center" vertical="center" wrapText="1"/>
    </xf>
    <xf numFmtId="0" fontId="7" fillId="10" borderId="143" xfId="0" applyFont="1" applyFill="1" applyBorder="1" applyAlignment="1">
      <alignment horizontal="center" vertical="center" wrapText="1"/>
    </xf>
    <xf numFmtId="0" fontId="7" fillId="10" borderId="170" xfId="0" applyFont="1" applyFill="1" applyBorder="1" applyAlignment="1">
      <alignment horizontal="center" vertical="center" wrapText="1"/>
    </xf>
    <xf numFmtId="164" fontId="8" fillId="2" borderId="158" xfId="0" applyNumberFormat="1" applyFont="1" applyFill="1" applyBorder="1" applyAlignment="1">
      <alignment horizontal="center" vertical="center"/>
    </xf>
    <xf numFmtId="164" fontId="8" fillId="2" borderId="159" xfId="0" applyNumberFormat="1" applyFont="1" applyFill="1" applyBorder="1" applyAlignment="1">
      <alignment horizontal="center" vertical="center"/>
    </xf>
    <xf numFmtId="164" fontId="8" fillId="2" borderId="18" xfId="0" applyNumberFormat="1" applyFont="1" applyFill="1" applyBorder="1" applyAlignment="1">
      <alignment horizontal="center" vertical="center"/>
    </xf>
    <xf numFmtId="164" fontId="8" fillId="2" borderId="28" xfId="0" applyNumberFormat="1" applyFont="1" applyFill="1" applyBorder="1" applyAlignment="1">
      <alignment horizontal="center" vertical="center"/>
    </xf>
    <xf numFmtId="164" fontId="8" fillId="2" borderId="160" xfId="0" applyNumberFormat="1" applyFont="1" applyFill="1" applyBorder="1" applyAlignment="1">
      <alignment horizontal="center" vertical="center"/>
    </xf>
    <xf numFmtId="164" fontId="8" fillId="2" borderId="161" xfId="0" applyNumberFormat="1" applyFont="1" applyFill="1" applyBorder="1" applyAlignment="1">
      <alignment horizontal="center" vertical="center"/>
    </xf>
    <xf numFmtId="0" fontId="8" fillId="8" borderId="162" xfId="0" applyFont="1" applyFill="1" applyBorder="1" applyAlignment="1">
      <alignment horizontal="center" vertical="center"/>
    </xf>
    <xf numFmtId="0" fontId="8" fillId="8" borderId="166" xfId="0" applyFont="1" applyFill="1" applyBorder="1" applyAlignment="1">
      <alignment horizontal="center" vertical="center"/>
    </xf>
    <xf numFmtId="0" fontId="8" fillId="8" borderId="163" xfId="0" applyFont="1" applyFill="1" applyBorder="1" applyAlignment="1">
      <alignment horizontal="center" vertical="center"/>
    </xf>
    <xf numFmtId="0" fontId="8" fillId="8" borderId="164" xfId="0" applyFont="1" applyFill="1" applyBorder="1" applyAlignment="1">
      <alignment horizontal="center" vertical="center"/>
    </xf>
    <xf numFmtId="0" fontId="8" fillId="8" borderId="143" xfId="0" applyFont="1" applyFill="1" applyBorder="1" applyAlignment="1">
      <alignment horizontal="center" vertical="center"/>
    </xf>
    <xf numFmtId="0" fontId="8" fillId="8" borderId="165" xfId="0" applyFont="1" applyFill="1" applyBorder="1" applyAlignment="1">
      <alignment horizontal="center" vertical="center"/>
    </xf>
    <xf numFmtId="9" fontId="9" fillId="0" borderId="162" xfId="0" applyNumberFormat="1" applyFont="1" applyBorder="1" applyAlignment="1">
      <alignment horizontal="center"/>
    </xf>
    <xf numFmtId="9" fontId="9" fillId="0" borderId="163" xfId="0" applyNumberFormat="1" applyFont="1" applyBorder="1" applyAlignment="1">
      <alignment horizontal="center"/>
    </xf>
    <xf numFmtId="9" fontId="9" fillId="0" borderId="164" xfId="0" applyNumberFormat="1" applyFont="1" applyBorder="1" applyAlignment="1">
      <alignment horizontal="center"/>
    </xf>
    <xf numFmtId="9" fontId="9" fillId="0" borderId="165" xfId="0" applyNumberFormat="1" applyFont="1" applyBorder="1" applyAlignment="1">
      <alignment horizontal="center"/>
    </xf>
    <xf numFmtId="0" fontId="7" fillId="10" borderId="167" xfId="0" applyFont="1" applyFill="1" applyBorder="1" applyAlignment="1">
      <alignment horizontal="center" vertical="center"/>
    </xf>
    <xf numFmtId="0" fontId="7" fillId="10" borderId="166" xfId="0" applyFont="1" applyFill="1" applyBorder="1" applyAlignment="1">
      <alignment horizontal="center" vertical="center"/>
    </xf>
    <xf numFmtId="0" fontId="7" fillId="10" borderId="168" xfId="0" applyFont="1" applyFill="1" applyBorder="1" applyAlignment="1">
      <alignment horizontal="center" vertical="center"/>
    </xf>
    <xf numFmtId="0" fontId="7" fillId="10" borderId="169" xfId="0" applyFont="1" applyFill="1" applyBorder="1" applyAlignment="1">
      <alignment horizontal="center" vertical="center"/>
    </xf>
    <xf numFmtId="0" fontId="7" fillId="10" borderId="143" xfId="0" applyFont="1" applyFill="1" applyBorder="1" applyAlignment="1">
      <alignment horizontal="center" vertical="center"/>
    </xf>
    <xf numFmtId="0" fontId="7" fillId="10" borderId="170" xfId="0" applyFont="1" applyFill="1" applyBorder="1" applyAlignment="1">
      <alignment horizontal="center" vertical="center"/>
    </xf>
    <xf numFmtId="0" fontId="4" fillId="0" borderId="162" xfId="0" applyFont="1" applyBorder="1" applyAlignment="1">
      <alignment horizontal="center" vertical="center"/>
    </xf>
    <xf numFmtId="0" fontId="4" fillId="0" borderId="166" xfId="0" applyFont="1" applyBorder="1" applyAlignment="1">
      <alignment horizontal="center" vertical="center"/>
    </xf>
    <xf numFmtId="0" fontId="4" fillId="0" borderId="163" xfId="0" applyFont="1" applyBorder="1" applyAlignment="1">
      <alignment horizontal="center" vertical="center"/>
    </xf>
    <xf numFmtId="0" fontId="7" fillId="10" borderId="136" xfId="0" applyFont="1" applyFill="1" applyBorder="1" applyAlignment="1">
      <alignment horizontal="center" vertical="center"/>
    </xf>
    <xf numFmtId="0" fontId="7" fillId="10" borderId="137" xfId="0" applyFont="1" applyFill="1" applyBorder="1" applyAlignment="1">
      <alignment horizontal="center" vertical="center"/>
    </xf>
    <xf numFmtId="0" fontId="7" fillId="10" borderId="138" xfId="0" applyFont="1" applyFill="1" applyBorder="1" applyAlignment="1">
      <alignment horizontal="center" vertical="center"/>
    </xf>
    <xf numFmtId="0" fontId="7" fillId="10" borderId="63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60" xfId="0" applyFont="1" applyFill="1" applyBorder="1" applyAlignment="1">
      <alignment horizontal="center" vertical="center"/>
    </xf>
    <xf numFmtId="166" fontId="7" fillId="8" borderId="63" xfId="0" applyNumberFormat="1" applyFont="1" applyFill="1" applyBorder="1" applyAlignment="1">
      <alignment horizontal="center" vertical="center"/>
    </xf>
    <xf numFmtId="166" fontId="7" fillId="8" borderId="31" xfId="0" applyNumberFormat="1" applyFont="1" applyFill="1" applyBorder="1" applyAlignment="1">
      <alignment horizontal="center" vertical="center"/>
    </xf>
    <xf numFmtId="164" fontId="7" fillId="8" borderId="31" xfId="0" applyNumberFormat="1" applyFont="1" applyFill="1" applyBorder="1" applyAlignment="1">
      <alignment horizontal="center" vertical="center"/>
    </xf>
    <xf numFmtId="164" fontId="7" fillId="2" borderId="31" xfId="0" applyNumberFormat="1" applyFont="1" applyFill="1" applyBorder="1" applyAlignment="1">
      <alignment horizontal="center" vertical="center"/>
    </xf>
    <xf numFmtId="164" fontId="7" fillId="2" borderId="60" xfId="0" applyNumberFormat="1" applyFont="1" applyFill="1" applyBorder="1" applyAlignment="1">
      <alignment horizontal="center" vertical="center"/>
    </xf>
    <xf numFmtId="0" fontId="8" fillId="8" borderId="44" xfId="0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0" fontId="8" fillId="8" borderId="49" xfId="0" applyFont="1" applyFill="1" applyBorder="1" applyAlignment="1">
      <alignment horizontal="center" vertical="center"/>
    </xf>
    <xf numFmtId="0" fontId="8" fillId="8" borderId="76" xfId="0" applyFont="1" applyFill="1" applyBorder="1" applyAlignment="1">
      <alignment horizontal="center" vertical="center"/>
    </xf>
    <xf numFmtId="164" fontId="8" fillId="2" borderId="93" xfId="0" applyNumberFormat="1" applyFont="1" applyFill="1" applyBorder="1" applyAlignment="1">
      <alignment horizontal="center" vertical="center"/>
    </xf>
    <xf numFmtId="164" fontId="8" fillId="2" borderId="24" xfId="0" applyNumberFormat="1" applyFont="1" applyFill="1" applyBorder="1" applyAlignment="1">
      <alignment horizontal="center" vertical="center"/>
    </xf>
    <xf numFmtId="165" fontId="7" fillId="2" borderId="93" xfId="0" applyNumberFormat="1" applyFont="1" applyFill="1" applyBorder="1" applyAlignment="1">
      <alignment horizontal="center" vertical="center"/>
    </xf>
    <xf numFmtId="165" fontId="7" fillId="2" borderId="24" xfId="0" applyNumberFormat="1" applyFont="1" applyFill="1" applyBorder="1" applyAlignment="1">
      <alignment horizontal="center" vertical="center"/>
    </xf>
    <xf numFmtId="165" fontId="7" fillId="2" borderId="88" xfId="0" applyNumberFormat="1" applyFont="1" applyFill="1" applyBorder="1" applyAlignment="1">
      <alignment horizontal="center" vertical="center"/>
    </xf>
    <xf numFmtId="165" fontId="7" fillId="2" borderId="30" xfId="0" applyNumberFormat="1" applyFont="1" applyFill="1" applyBorder="1" applyAlignment="1">
      <alignment horizontal="center" vertical="center"/>
    </xf>
    <xf numFmtId="165" fontId="8" fillId="2" borderId="95" xfId="0" applyNumberFormat="1" applyFont="1" applyFill="1" applyBorder="1" applyAlignment="1">
      <alignment horizontal="center" vertical="center"/>
    </xf>
    <xf numFmtId="165" fontId="8" fillId="2" borderId="6" xfId="0" applyNumberFormat="1" applyFont="1" applyFill="1" applyBorder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27" xfId="0" applyFont="1" applyFill="1" applyBorder="1" applyAlignment="1">
      <alignment horizontal="center" vertical="center"/>
    </xf>
    <xf numFmtId="0" fontId="7" fillId="10" borderId="94" xfId="0" applyFont="1" applyFill="1" applyBorder="1" applyAlignment="1">
      <alignment horizontal="center" vertical="center"/>
    </xf>
    <xf numFmtId="0" fontId="7" fillId="10" borderId="22" xfId="0" applyFont="1" applyFill="1" applyBorder="1" applyAlignment="1">
      <alignment horizontal="center" vertical="center"/>
    </xf>
    <xf numFmtId="0" fontId="7" fillId="10" borderId="29" xfId="0" applyFont="1" applyFill="1" applyBorder="1" applyAlignment="1">
      <alignment horizontal="center" vertical="center"/>
    </xf>
    <xf numFmtId="0" fontId="7" fillId="10" borderId="87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96" xfId="0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7" fillId="10" borderId="32" xfId="0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0" fontId="7" fillId="10" borderId="148" xfId="0" applyFont="1" applyFill="1" applyBorder="1" applyAlignment="1">
      <alignment horizontal="center" vertical="center"/>
    </xf>
    <xf numFmtId="0" fontId="7" fillId="10" borderId="150" xfId="0" applyFont="1" applyFill="1" applyBorder="1" applyAlignment="1">
      <alignment horizontal="center" vertical="center"/>
    </xf>
    <xf numFmtId="0" fontId="8" fillId="8" borderId="152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164" fontId="7" fillId="2" borderId="149" xfId="0" applyNumberFormat="1" applyFont="1" applyFill="1" applyBorder="1" applyAlignment="1">
      <alignment horizontal="center" vertical="center"/>
    </xf>
    <xf numFmtId="164" fontId="7" fillId="2" borderId="34" xfId="0" applyNumberFormat="1" applyFont="1" applyFill="1" applyBorder="1" applyAlignment="1">
      <alignment horizontal="center" vertical="center"/>
    </xf>
    <xf numFmtId="164" fontId="7" fillId="2" borderId="18" xfId="0" applyNumberFormat="1" applyFont="1" applyFill="1" applyBorder="1" applyAlignment="1">
      <alignment horizontal="center" vertical="center"/>
    </xf>
    <xf numFmtId="164" fontId="7" fillId="2" borderId="45" xfId="0" applyNumberFormat="1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/>
    </xf>
    <xf numFmtId="0" fontId="8" fillId="8" borderId="74" xfId="0" applyFont="1" applyFill="1" applyBorder="1" applyAlignment="1">
      <alignment horizontal="center" vertical="center"/>
    </xf>
    <xf numFmtId="165" fontId="8" fillId="3" borderId="13" xfId="0" applyNumberFormat="1" applyFont="1" applyFill="1" applyBorder="1" applyAlignment="1">
      <alignment horizontal="center" vertical="center"/>
    </xf>
    <xf numFmtId="165" fontId="8" fillId="3" borderId="71" xfId="0" applyNumberFormat="1" applyFont="1" applyFill="1" applyBorder="1" applyAlignment="1">
      <alignment horizontal="center" vertical="center"/>
    </xf>
    <xf numFmtId="165" fontId="8" fillId="3" borderId="75" xfId="0" applyNumberFormat="1" applyFont="1" applyFill="1" applyBorder="1" applyAlignment="1">
      <alignment horizontal="center" vertical="center"/>
    </xf>
    <xf numFmtId="165" fontId="8" fillId="3" borderId="79" xfId="0" applyNumberFormat="1" applyFont="1" applyFill="1" applyBorder="1" applyAlignment="1">
      <alignment horizontal="center" vertical="center"/>
    </xf>
    <xf numFmtId="165" fontId="4" fillId="3" borderId="13" xfId="0" applyNumberFormat="1" applyFont="1" applyFill="1" applyBorder="1" applyAlignment="1">
      <alignment horizontal="center" vertical="center"/>
    </xf>
    <xf numFmtId="0" fontId="5" fillId="0" borderId="7" xfId="0" applyFont="1" applyBorder="1"/>
    <xf numFmtId="0" fontId="8" fillId="2" borderId="13" xfId="0" applyFont="1" applyFill="1" applyBorder="1" applyAlignment="1">
      <alignment horizontal="center" vertical="center"/>
    </xf>
    <xf numFmtId="0" fontId="9" fillId="0" borderId="12" xfId="0" applyFont="1" applyBorder="1"/>
    <xf numFmtId="0" fontId="8" fillId="2" borderId="13" xfId="0" applyFont="1" applyFill="1" applyBorder="1" applyAlignment="1">
      <alignment horizontal="left" vertical="center" wrapText="1"/>
    </xf>
    <xf numFmtId="0" fontId="9" fillId="0" borderId="26" xfId="0" applyFont="1" applyBorder="1"/>
    <xf numFmtId="0" fontId="9" fillId="0" borderId="7" xfId="0" applyFont="1" applyBorder="1"/>
    <xf numFmtId="0" fontId="7" fillId="0" borderId="0" xfId="0" applyFont="1" applyAlignment="1">
      <alignment horizontal="center" vertical="center"/>
    </xf>
    <xf numFmtId="0" fontId="0" fillId="0" borderId="0" xfId="0" applyFont="1" applyAlignment="1"/>
    <xf numFmtId="0" fontId="9" fillId="0" borderId="29" xfId="0" applyFont="1" applyBorder="1"/>
    <xf numFmtId="0" fontId="8" fillId="2" borderId="1" xfId="0" applyFont="1" applyFill="1" applyBorder="1" applyAlignment="1">
      <alignment horizontal="center" vertical="center"/>
    </xf>
    <xf numFmtId="0" fontId="9" fillId="0" borderId="2" xfId="0" applyFont="1" applyBorder="1"/>
    <xf numFmtId="0" fontId="9" fillId="0" borderId="3" xfId="0" applyFont="1" applyBorder="1"/>
    <xf numFmtId="0" fontId="8" fillId="2" borderId="11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 wrapText="1"/>
    </xf>
    <xf numFmtId="0" fontId="9" fillId="0" borderId="5" xfId="0" applyFont="1" applyBorder="1"/>
    <xf numFmtId="0" fontId="9" fillId="0" borderId="6" xfId="0" applyFont="1" applyBorder="1"/>
    <xf numFmtId="0" fontId="8" fillId="2" borderId="26" xfId="0" applyFont="1" applyFill="1" applyBorder="1" applyAlignment="1">
      <alignment horizontal="left" vertical="center"/>
    </xf>
    <xf numFmtId="0" fontId="8" fillId="2" borderId="8" xfId="0" applyFont="1" applyFill="1" applyBorder="1" applyAlignment="1">
      <alignment horizontal="left" vertical="center" wrapText="1"/>
    </xf>
    <xf numFmtId="0" fontId="9" fillId="0" borderId="9" xfId="0" applyFont="1" applyBorder="1"/>
    <xf numFmtId="0" fontId="9" fillId="0" borderId="10" xfId="0" applyFont="1" applyBorder="1"/>
    <xf numFmtId="0" fontId="8" fillId="2" borderId="11" xfId="0" applyFont="1" applyFill="1" applyBorder="1" applyAlignment="1">
      <alignment horizontal="center" vertical="center" wrapText="1"/>
    </xf>
    <xf numFmtId="0" fontId="3" fillId="4" borderId="32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3" fillId="4" borderId="34" xfId="0" applyFont="1" applyFill="1" applyBorder="1" applyAlignment="1">
      <alignment horizontal="center" vertical="center"/>
    </xf>
    <xf numFmtId="0" fontId="3" fillId="4" borderId="56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4" borderId="45" xfId="0" applyFont="1" applyFill="1" applyBorder="1" applyAlignment="1">
      <alignment horizontal="center" vertical="center"/>
    </xf>
    <xf numFmtId="0" fontId="4" fillId="2" borderId="39" xfId="0" applyFont="1" applyFill="1" applyBorder="1" applyAlignment="1">
      <alignment horizontal="left" vertical="center"/>
    </xf>
    <xf numFmtId="0" fontId="4" fillId="2" borderId="40" xfId="0" applyFont="1" applyFill="1" applyBorder="1" applyAlignment="1">
      <alignment horizontal="left" vertical="center"/>
    </xf>
    <xf numFmtId="0" fontId="4" fillId="0" borderId="41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2" borderId="18" xfId="0" applyFont="1" applyFill="1" applyBorder="1" applyAlignment="1">
      <alignment horizontal="left" vertical="center"/>
    </xf>
    <xf numFmtId="0" fontId="4" fillId="2" borderId="17" xfId="0" applyFont="1" applyFill="1" applyBorder="1" applyAlignment="1">
      <alignment horizontal="left" vertical="center"/>
    </xf>
    <xf numFmtId="0" fontId="4" fillId="2" borderId="45" xfId="0" applyFont="1" applyFill="1" applyBorder="1" applyAlignment="1">
      <alignment horizontal="left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2" borderId="44" xfId="0" applyFont="1" applyFill="1" applyBorder="1" applyAlignment="1">
      <alignment horizontal="left" vertical="center"/>
    </xf>
    <xf numFmtId="0" fontId="4" fillId="2" borderId="26" xfId="0" applyFont="1" applyFill="1" applyBorder="1" applyAlignment="1">
      <alignment horizontal="left" vertical="center"/>
    </xf>
    <xf numFmtId="0" fontId="4" fillId="2" borderId="46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left" vertical="center"/>
    </xf>
    <xf numFmtId="0" fontId="8" fillId="2" borderId="11" xfId="0" applyFont="1" applyFill="1" applyBorder="1" applyAlignment="1">
      <alignment vertical="center" wrapText="1"/>
    </xf>
    <xf numFmtId="0" fontId="8" fillId="2" borderId="13" xfId="0" applyFont="1" applyFill="1" applyBorder="1" applyAlignment="1">
      <alignment vertical="center" wrapText="1"/>
    </xf>
    <xf numFmtId="0" fontId="8" fillId="2" borderId="15" xfId="0" applyFont="1" applyFill="1" applyBorder="1" applyAlignment="1">
      <alignment horizontal="left" vertical="center"/>
    </xf>
    <xf numFmtId="0" fontId="9" fillId="0" borderId="21" xfId="0" applyFont="1" applyBorder="1"/>
    <xf numFmtId="0" fontId="9" fillId="0" borderId="16" xfId="0" applyFont="1" applyBorder="1"/>
    <xf numFmtId="0" fontId="8" fillId="2" borderId="8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0" fontId="0" fillId="0" borderId="35" xfId="0" applyFont="1" applyBorder="1" applyAlignment="1">
      <alignment horizontal="center"/>
    </xf>
    <xf numFmtId="0" fontId="0" fillId="0" borderId="36" xfId="0" applyFont="1" applyBorder="1" applyAlignment="1">
      <alignment horizontal="center"/>
    </xf>
    <xf numFmtId="0" fontId="0" fillId="0" borderId="47" xfId="0" applyFont="1" applyBorder="1" applyAlignment="1">
      <alignment horizontal="center"/>
    </xf>
    <xf numFmtId="0" fontId="4" fillId="2" borderId="48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2" borderId="55" xfId="0" applyFont="1" applyFill="1" applyBorder="1" applyAlignment="1">
      <alignment horizontal="center" vertical="center" wrapText="1"/>
    </xf>
    <xf numFmtId="0" fontId="4" fillId="2" borderId="5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/>
    </xf>
    <xf numFmtId="0" fontId="3" fillId="2" borderId="27" xfId="0" applyFont="1" applyFill="1" applyBorder="1" applyAlignment="1">
      <alignment horizontal="left" vertical="center"/>
    </xf>
    <xf numFmtId="0" fontId="3" fillId="2" borderId="24" xfId="0" applyFont="1" applyFill="1" applyBorder="1" applyAlignment="1">
      <alignment horizontal="left" vertical="center"/>
    </xf>
    <xf numFmtId="0" fontId="3" fillId="2" borderId="22" xfId="0" applyFont="1" applyFill="1" applyBorder="1" applyAlignment="1">
      <alignment horizontal="left" vertical="center"/>
    </xf>
    <xf numFmtId="0" fontId="3" fillId="2" borderId="29" xfId="0" applyFont="1" applyFill="1" applyBorder="1" applyAlignment="1">
      <alignment horizontal="left" vertical="center"/>
    </xf>
    <xf numFmtId="0" fontId="3" fillId="2" borderId="30" xfId="0" applyFont="1" applyFill="1" applyBorder="1" applyAlignment="1">
      <alignment horizontal="left" vertical="center"/>
    </xf>
    <xf numFmtId="0" fontId="4" fillId="0" borderId="4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4" fillId="0" borderId="84" xfId="0" applyFont="1" applyBorder="1" applyAlignment="1">
      <alignment horizontal="center" vertical="center"/>
    </xf>
    <xf numFmtId="0" fontId="5" fillId="0" borderId="80" xfId="0" applyFont="1" applyBorder="1"/>
    <xf numFmtId="0" fontId="4" fillId="2" borderId="25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0" xfId="0" applyFont="1" applyBorder="1"/>
    <xf numFmtId="0" fontId="5" fillId="0" borderId="70" xfId="0" applyFont="1" applyBorder="1"/>
    <xf numFmtId="0" fontId="5" fillId="0" borderId="9" xfId="0" applyFont="1" applyBorder="1"/>
    <xf numFmtId="0" fontId="5" fillId="0" borderId="68" xfId="0" applyFont="1" applyBorder="1"/>
    <xf numFmtId="0" fontId="5" fillId="0" borderId="85" xfId="0" applyFont="1" applyBorder="1"/>
    <xf numFmtId="0" fontId="5" fillId="0" borderId="88" xfId="0" applyFont="1" applyBorder="1"/>
    <xf numFmtId="0" fontId="5" fillId="0" borderId="29" xfId="0" applyFont="1" applyBorder="1"/>
    <xf numFmtId="0" fontId="5" fillId="0" borderId="87" xfId="0" applyFont="1" applyBorder="1"/>
    <xf numFmtId="0" fontId="3" fillId="10" borderId="23" xfId="0" applyFont="1" applyFill="1" applyBorder="1" applyAlignment="1">
      <alignment horizontal="left" vertical="center"/>
    </xf>
    <xf numFmtId="0" fontId="5" fillId="11" borderId="27" xfId="0" applyFont="1" applyFill="1" applyBorder="1"/>
    <xf numFmtId="0" fontId="5" fillId="11" borderId="24" xfId="0" applyFont="1" applyFill="1" applyBorder="1"/>
    <xf numFmtId="0" fontId="5" fillId="11" borderId="22" xfId="0" applyFont="1" applyFill="1" applyBorder="1"/>
    <xf numFmtId="0" fontId="5" fillId="11" borderId="29" xfId="0" applyFont="1" applyFill="1" applyBorder="1"/>
    <xf numFmtId="0" fontId="5" fillId="11" borderId="30" xfId="0" applyFont="1" applyFill="1" applyBorder="1"/>
    <xf numFmtId="0" fontId="4" fillId="2" borderId="49" xfId="0" applyFont="1" applyFill="1" applyBorder="1" applyAlignment="1">
      <alignment horizontal="center" vertical="center" wrapText="1"/>
    </xf>
    <xf numFmtId="0" fontId="4" fillId="2" borderId="50" xfId="0" applyFont="1" applyFill="1" applyBorder="1" applyAlignment="1">
      <alignment horizontal="center" vertical="center" wrapText="1"/>
    </xf>
    <xf numFmtId="0" fontId="0" fillId="0" borderId="51" xfId="0" applyFont="1" applyBorder="1" applyAlignment="1">
      <alignment horizontal="center"/>
    </xf>
    <xf numFmtId="0" fontId="0" fillId="0" borderId="52" xfId="0" applyFont="1" applyBorder="1" applyAlignment="1">
      <alignment horizontal="center"/>
    </xf>
    <xf numFmtId="0" fontId="0" fillId="0" borderId="53" xfId="0" applyFont="1" applyBorder="1" applyAlignment="1">
      <alignment horizontal="center"/>
    </xf>
    <xf numFmtId="0" fontId="3" fillId="2" borderId="19" xfId="0" applyFont="1" applyFill="1" applyBorder="1" applyAlignment="1">
      <alignment horizontal="left" vertical="center"/>
    </xf>
    <xf numFmtId="0" fontId="3" fillId="2" borderId="17" xfId="0" applyFont="1" applyFill="1" applyBorder="1" applyAlignment="1">
      <alignment horizontal="left" vertical="center"/>
    </xf>
    <xf numFmtId="0" fontId="3" fillId="2" borderId="28" xfId="0" applyFont="1" applyFill="1" applyBorder="1" applyAlignment="1">
      <alignment horizontal="left" vertical="center"/>
    </xf>
    <xf numFmtId="0" fontId="19" fillId="3" borderId="57" xfId="0" applyFont="1" applyFill="1" applyBorder="1" applyAlignment="1">
      <alignment horizontal="center" vertical="center" wrapText="1"/>
    </xf>
    <xf numFmtId="0" fontId="19" fillId="3" borderId="37" xfId="0" applyFont="1" applyFill="1" applyBorder="1" applyAlignment="1">
      <alignment horizontal="center" vertical="center" wrapText="1"/>
    </xf>
    <xf numFmtId="0" fontId="3" fillId="2" borderId="136" xfId="0" applyFont="1" applyFill="1" applyBorder="1" applyAlignment="1">
      <alignment horizontal="center" vertical="center" wrapText="1"/>
    </xf>
    <xf numFmtId="0" fontId="5" fillId="0" borderId="137" xfId="0" applyFont="1" applyBorder="1"/>
    <xf numFmtId="0" fontId="5" fillId="0" borderId="63" xfId="0" applyFont="1" applyBorder="1"/>
    <xf numFmtId="0" fontId="5" fillId="0" borderId="31" xfId="0" applyFont="1" applyBorder="1"/>
    <xf numFmtId="0" fontId="3" fillId="2" borderId="137" xfId="0" applyFont="1" applyFill="1" applyBorder="1" applyAlignment="1">
      <alignment horizontal="center" vertical="center" wrapText="1"/>
    </xf>
    <xf numFmtId="164" fontId="3" fillId="2" borderId="138" xfId="0" applyNumberFormat="1" applyFont="1" applyFill="1" applyBorder="1" applyAlignment="1">
      <alignment horizontal="center" vertical="center" shrinkToFit="1"/>
    </xf>
    <xf numFmtId="0" fontId="5" fillId="0" borderId="60" xfId="0" applyFont="1" applyBorder="1"/>
    <xf numFmtId="0" fontId="20" fillId="3" borderId="31" xfId="0" applyFont="1" applyFill="1" applyBorder="1" applyAlignment="1">
      <alignment horizontal="center" vertical="center" wrapText="1"/>
    </xf>
    <xf numFmtId="49" fontId="4" fillId="3" borderId="31" xfId="0" applyNumberFormat="1" applyFont="1" applyFill="1" applyBorder="1" applyAlignment="1">
      <alignment horizontal="center" vertical="center" wrapText="1"/>
    </xf>
    <xf numFmtId="0" fontId="19" fillId="3" borderId="63" xfId="0" applyFont="1" applyFill="1" applyBorder="1" applyAlignment="1">
      <alignment horizontal="center" vertical="center" wrapText="1"/>
    </xf>
    <xf numFmtId="165" fontId="4" fillId="3" borderId="90" xfId="0" applyNumberFormat="1" applyFont="1" applyFill="1" applyBorder="1" applyAlignment="1">
      <alignment horizontal="center" vertical="center"/>
    </xf>
    <xf numFmtId="0" fontId="5" fillId="0" borderId="153" xfId="0" applyFont="1" applyBorder="1"/>
    <xf numFmtId="0" fontId="5" fillId="0" borderId="71" xfId="0" applyFont="1" applyBorder="1"/>
    <xf numFmtId="165" fontId="4" fillId="2" borderId="149" xfId="0" applyNumberFormat="1" applyFont="1" applyFill="1" applyBorder="1" applyAlignment="1">
      <alignment horizontal="center" vertical="center"/>
    </xf>
    <xf numFmtId="0" fontId="5" fillId="0" borderId="34" xfId="0" applyFont="1" applyBorder="1"/>
    <xf numFmtId="0" fontId="5" fillId="0" borderId="151" xfId="0" applyFont="1" applyBorder="1"/>
    <xf numFmtId="0" fontId="19" fillId="3" borderId="64" xfId="0" applyFont="1" applyFill="1" applyBorder="1" applyAlignment="1">
      <alignment horizontal="center" vertical="center" wrapText="1"/>
    </xf>
    <xf numFmtId="0" fontId="5" fillId="0" borderId="61" xfId="0" applyFont="1" applyBorder="1"/>
    <xf numFmtId="165" fontId="4" fillId="3" borderId="75" xfId="0" applyNumberFormat="1" applyFont="1" applyFill="1" applyBorder="1" applyAlignment="1">
      <alignment horizontal="center" vertical="center"/>
    </xf>
    <xf numFmtId="0" fontId="5" fillId="0" borderId="79" xfId="0" applyFont="1" applyBorder="1"/>
    <xf numFmtId="0" fontId="15" fillId="13" borderId="99" xfId="0" applyFont="1" applyFill="1" applyBorder="1" applyAlignment="1">
      <alignment horizontal="center"/>
    </xf>
    <xf numFmtId="0" fontId="15" fillId="13" borderId="98" xfId="0" applyFont="1" applyFill="1" applyBorder="1" applyAlignment="1">
      <alignment horizontal="center"/>
    </xf>
    <xf numFmtId="0" fontId="15" fillId="13" borderId="102" xfId="0" applyFont="1" applyFill="1" applyBorder="1" applyAlignment="1">
      <alignment horizontal="center"/>
    </xf>
    <xf numFmtId="164" fontId="15" fillId="13" borderId="101" xfId="0" applyNumberFormat="1" applyFont="1" applyFill="1" applyBorder="1" applyAlignment="1">
      <alignment horizontal="center"/>
    </xf>
    <xf numFmtId="164" fontId="15" fillId="13" borderId="98" xfId="0" applyNumberFormat="1" applyFont="1" applyFill="1" applyBorder="1" applyAlignment="1">
      <alignment horizontal="center"/>
    </xf>
    <xf numFmtId="164" fontId="15" fillId="13" borderId="100" xfId="0" applyNumberFormat="1" applyFont="1" applyFill="1" applyBorder="1" applyAlignment="1">
      <alignment horizontal="center"/>
    </xf>
    <xf numFmtId="0" fontId="3" fillId="10" borderId="39" xfId="0" applyFont="1" applyFill="1" applyBorder="1" applyAlignment="1">
      <alignment horizontal="center" vertical="center" wrapText="1"/>
    </xf>
    <xf numFmtId="0" fontId="5" fillId="11" borderId="40" xfId="0" applyFont="1" applyFill="1" applyBorder="1"/>
    <xf numFmtId="0" fontId="5" fillId="11" borderId="145" xfId="0" applyFont="1" applyFill="1" applyBorder="1"/>
    <xf numFmtId="164" fontId="3" fillId="2" borderId="146" xfId="0" applyNumberFormat="1" applyFont="1" applyFill="1" applyBorder="1" applyAlignment="1">
      <alignment horizontal="center" vertical="center"/>
    </xf>
    <xf numFmtId="0" fontId="5" fillId="0" borderId="147" xfId="0" applyFont="1" applyBorder="1"/>
    <xf numFmtId="0" fontId="4" fillId="8" borderId="44" xfId="0" applyFont="1" applyFill="1" applyBorder="1" applyAlignment="1">
      <alignment horizontal="left" vertical="center"/>
    </xf>
    <xf numFmtId="0" fontId="5" fillId="0" borderId="26" xfId="0" applyFont="1" applyBorder="1"/>
    <xf numFmtId="0" fontId="5" fillId="0" borderId="12" xfId="0" applyFont="1" applyBorder="1"/>
    <xf numFmtId="0" fontId="4" fillId="8" borderId="49" xfId="0" applyFont="1" applyFill="1" applyBorder="1" applyAlignment="1">
      <alignment horizontal="left" vertical="center"/>
    </xf>
    <xf numFmtId="0" fontId="5" fillId="0" borderId="76" xfId="0" applyFont="1" applyBorder="1"/>
    <xf numFmtId="0" fontId="5" fillId="0" borderId="74" xfId="0" applyFont="1" applyBorder="1"/>
    <xf numFmtId="0" fontId="3" fillId="10" borderId="32" xfId="0" applyFont="1" applyFill="1" applyBorder="1" applyAlignment="1">
      <alignment horizontal="center" vertical="center"/>
    </xf>
    <xf numFmtId="0" fontId="5" fillId="11" borderId="33" xfId="0" applyFont="1" applyFill="1" applyBorder="1"/>
    <xf numFmtId="0" fontId="5" fillId="11" borderId="148" xfId="0" applyFont="1" applyFill="1" applyBorder="1"/>
    <xf numFmtId="0" fontId="5" fillId="11" borderId="150" xfId="0" applyFont="1" applyFill="1" applyBorder="1"/>
    <xf numFmtId="0" fontId="5" fillId="11" borderId="87" xfId="0" applyFont="1" applyFill="1" applyBorder="1"/>
    <xf numFmtId="0" fontId="3" fillId="10" borderId="23" xfId="0" applyFont="1" applyFill="1" applyBorder="1" applyAlignment="1">
      <alignment horizontal="center" vertical="center"/>
    </xf>
    <xf numFmtId="0" fontId="5" fillId="11" borderId="94" xfId="0" applyFont="1" applyFill="1" applyBorder="1"/>
    <xf numFmtId="165" fontId="3" fillId="2" borderId="93" xfId="0" applyNumberFormat="1" applyFont="1" applyFill="1" applyBorder="1" applyAlignment="1">
      <alignment horizontal="center" vertical="center"/>
    </xf>
    <xf numFmtId="0" fontId="5" fillId="0" borderId="24" xfId="0" applyFont="1" applyBorder="1"/>
    <xf numFmtId="0" fontId="5" fillId="0" borderId="30" xfId="0" applyFont="1" applyBorder="1"/>
    <xf numFmtId="0" fontId="4" fillId="8" borderId="4" xfId="0" applyFont="1" applyFill="1" applyBorder="1" applyAlignment="1">
      <alignment horizontal="left" vertical="center"/>
    </xf>
    <xf numFmtId="0" fontId="5" fillId="0" borderId="5" xfId="0" applyFont="1" applyBorder="1"/>
    <xf numFmtId="0" fontId="5" fillId="0" borderId="96" xfId="0" applyFont="1" applyBorder="1"/>
    <xf numFmtId="165" fontId="4" fillId="2" borderId="95" xfId="0" applyNumberFormat="1" applyFont="1" applyFill="1" applyBorder="1" applyAlignment="1">
      <alignment horizontal="center" vertical="center"/>
    </xf>
    <xf numFmtId="0" fontId="5" fillId="0" borderId="6" xfId="0" applyFont="1" applyBorder="1"/>
    <xf numFmtId="0" fontId="4" fillId="8" borderId="63" xfId="0" applyFont="1" applyFill="1" applyBorder="1" applyAlignment="1">
      <alignment horizontal="center" vertical="center"/>
    </xf>
    <xf numFmtId="0" fontId="4" fillId="8" borderId="31" xfId="0" applyFont="1" applyFill="1" applyBorder="1" applyAlignment="1">
      <alignment horizontal="center" vertical="center"/>
    </xf>
    <xf numFmtId="0" fontId="4" fillId="8" borderId="60" xfId="0" applyFont="1" applyFill="1" applyBorder="1" applyAlignment="1">
      <alignment horizontal="center" vertical="center"/>
    </xf>
    <xf numFmtId="0" fontId="3" fillId="10" borderId="56" xfId="0" applyFont="1" applyFill="1" applyBorder="1" applyAlignment="1">
      <alignment horizontal="center" vertical="center" wrapText="1"/>
    </xf>
    <xf numFmtId="0" fontId="5" fillId="11" borderId="17" xfId="0" applyFont="1" applyFill="1" applyBorder="1"/>
    <xf numFmtId="0" fontId="5" fillId="11" borderId="66" xfId="0" applyFont="1" applyFill="1" applyBorder="1"/>
    <xf numFmtId="0" fontId="5" fillId="11" borderId="56" xfId="0" applyFont="1" applyFill="1" applyBorder="1"/>
    <xf numFmtId="0" fontId="0" fillId="11" borderId="17" xfId="0" applyFont="1" applyFill="1" applyBorder="1" applyAlignment="1"/>
    <xf numFmtId="164" fontId="4" fillId="2" borderId="18" xfId="0" applyNumberFormat="1" applyFont="1" applyFill="1" applyBorder="1" applyAlignment="1">
      <alignment horizontal="center" vertical="center"/>
    </xf>
    <xf numFmtId="0" fontId="5" fillId="0" borderId="45" xfId="0" applyFont="1" applyBorder="1"/>
    <xf numFmtId="0" fontId="5" fillId="0" borderId="18" xfId="0" applyFont="1" applyBorder="1"/>
    <xf numFmtId="9" fontId="5" fillId="0" borderId="31" xfId="0" applyNumberFormat="1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164" fontId="3" fillId="2" borderId="93" xfId="0" applyNumberFormat="1" applyFont="1" applyFill="1" applyBorder="1" applyAlignment="1">
      <alignment horizontal="center" vertical="center"/>
    </xf>
    <xf numFmtId="164" fontId="4" fillId="3" borderId="90" xfId="0" applyNumberFormat="1" applyFont="1" applyFill="1" applyBorder="1" applyAlignment="1">
      <alignment horizontal="center" vertical="center"/>
    </xf>
    <xf numFmtId="0" fontId="5" fillId="0" borderId="3" xfId="0" applyFont="1" applyBorder="1"/>
    <xf numFmtId="164" fontId="4" fillId="3" borderId="13" xfId="0" applyNumberFormat="1" applyFont="1" applyFill="1" applyBorder="1" applyAlignment="1">
      <alignment horizontal="center" vertical="center"/>
    </xf>
    <xf numFmtId="164" fontId="4" fillId="3" borderId="81" xfId="0" applyNumberFormat="1" applyFont="1" applyFill="1" applyBorder="1" applyAlignment="1">
      <alignment horizontal="center" vertical="center"/>
    </xf>
    <xf numFmtId="0" fontId="5" fillId="0" borderId="83" xfId="0" applyFont="1" applyBorder="1"/>
    <xf numFmtId="164" fontId="4" fillId="2" borderId="149" xfId="0" applyNumberFormat="1" applyFont="1" applyFill="1" applyBorder="1" applyAlignment="1">
      <alignment horizontal="center" vertical="center"/>
    </xf>
    <xf numFmtId="0" fontId="2" fillId="16" borderId="121" xfId="0" applyFont="1" applyFill="1" applyBorder="1" applyAlignment="1">
      <alignment vertical="center" wrapText="1"/>
    </xf>
    <xf numFmtId="0" fontId="2" fillId="16" borderId="122" xfId="0" applyFont="1" applyFill="1" applyBorder="1" applyAlignment="1">
      <alignment vertical="center" wrapText="1"/>
    </xf>
    <xf numFmtId="0" fontId="2" fillId="16" borderId="106" xfId="0" applyFont="1" applyFill="1" applyBorder="1" applyAlignment="1">
      <alignment vertical="center" wrapText="1"/>
    </xf>
    <xf numFmtId="0" fontId="2" fillId="16" borderId="123" xfId="0" applyFont="1" applyFill="1" applyBorder="1" applyAlignment="1">
      <alignment vertical="center" wrapText="1"/>
    </xf>
    <xf numFmtId="0" fontId="2" fillId="16" borderId="29" xfId="0" applyFont="1" applyFill="1" applyBorder="1" applyAlignment="1">
      <alignment vertical="center" wrapText="1"/>
    </xf>
    <xf numFmtId="0" fontId="2" fillId="16" borderId="110" xfId="0" applyFont="1" applyFill="1" applyBorder="1" applyAlignment="1">
      <alignment vertical="center" wrapText="1"/>
    </xf>
    <xf numFmtId="0" fontId="15" fillId="16" borderId="124" xfId="0" applyFont="1" applyFill="1" applyBorder="1" applyAlignment="1">
      <alignment horizontal="center" vertical="center" wrapText="1"/>
    </xf>
    <xf numFmtId="0" fontId="15" fillId="16" borderId="125" xfId="0" applyFont="1" applyFill="1" applyBorder="1" applyAlignment="1">
      <alignment horizontal="center" vertical="center" wrapText="1"/>
    </xf>
    <xf numFmtId="0" fontId="4" fillId="3" borderId="44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3" borderId="75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center"/>
    </xf>
    <xf numFmtId="0" fontId="13" fillId="2" borderId="23" xfId="0" applyFont="1" applyFill="1" applyBorder="1" applyAlignment="1">
      <alignment horizontal="center" vertical="center"/>
    </xf>
    <xf numFmtId="0" fontId="13" fillId="2" borderId="27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0" fontId="13" fillId="2" borderId="22" xfId="0" applyFont="1" applyFill="1" applyBorder="1" applyAlignment="1">
      <alignment horizontal="center" vertical="center"/>
    </xf>
    <xf numFmtId="0" fontId="13" fillId="2" borderId="29" xfId="0" applyFont="1" applyFill="1" applyBorder="1" applyAlignment="1">
      <alignment horizontal="center" vertical="center"/>
    </xf>
    <xf numFmtId="0" fontId="13" fillId="2" borderId="30" xfId="0" applyFont="1" applyFill="1" applyBorder="1" applyAlignment="1">
      <alignment horizontal="center" vertical="center"/>
    </xf>
    <xf numFmtId="0" fontId="17" fillId="14" borderId="116" xfId="0" applyFont="1" applyFill="1" applyBorder="1" applyAlignment="1">
      <alignment horizontal="center" vertical="center" wrapText="1"/>
    </xf>
    <xf numFmtId="0" fontId="17" fillId="14" borderId="105" xfId="0" applyFont="1" applyFill="1" applyBorder="1" applyAlignment="1">
      <alignment horizontal="center" vertical="center" wrapText="1"/>
    </xf>
    <xf numFmtId="0" fontId="17" fillId="14" borderId="104" xfId="0" applyFont="1" applyFill="1" applyBorder="1" applyAlignment="1">
      <alignment horizontal="center" vertical="center" wrapText="1"/>
    </xf>
    <xf numFmtId="0" fontId="17" fillId="16" borderId="117" xfId="0" applyFont="1" applyFill="1" applyBorder="1" applyAlignment="1">
      <alignment horizontal="center" vertical="center" wrapText="1"/>
    </xf>
    <xf numFmtId="0" fontId="17" fillId="16" borderId="108" xfId="0" applyFont="1" applyFill="1" applyBorder="1" applyAlignment="1">
      <alignment horizontal="center" vertical="center" wrapText="1"/>
    </xf>
    <xf numFmtId="0" fontId="17" fillId="16" borderId="107" xfId="0" applyFont="1" applyFill="1" applyBorder="1" applyAlignment="1">
      <alignment horizontal="center" vertical="center" wrapText="1"/>
    </xf>
    <xf numFmtId="0" fontId="17" fillId="16" borderId="118" xfId="0" applyFont="1" applyFill="1" applyBorder="1" applyAlignment="1">
      <alignment horizontal="center" vertical="center" wrapText="1"/>
    </xf>
    <xf numFmtId="0" fontId="17" fillId="16" borderId="119" xfId="0" applyFont="1" applyFill="1" applyBorder="1" applyAlignment="1">
      <alignment horizontal="center" vertical="center" wrapText="1"/>
    </xf>
    <xf numFmtId="0" fontId="17" fillId="16" borderId="120" xfId="0" applyFont="1" applyFill="1" applyBorder="1" applyAlignment="1">
      <alignment horizontal="center" vertical="center" wrapText="1"/>
    </xf>
    <xf numFmtId="164" fontId="4" fillId="2" borderId="13" xfId="0" applyNumberFormat="1" applyFont="1" applyFill="1" applyBorder="1" applyAlignment="1">
      <alignment horizontal="center" vertical="center"/>
    </xf>
    <xf numFmtId="0" fontId="15" fillId="16" borderId="4" xfId="0" applyFont="1" applyFill="1" applyBorder="1" applyAlignment="1">
      <alignment horizontal="center" vertical="center" wrapText="1"/>
    </xf>
    <xf numFmtId="0" fontId="15" fillId="16" borderId="6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vertical="center" wrapText="1"/>
    </xf>
    <xf numFmtId="0" fontId="2" fillId="16" borderId="126" xfId="0" applyFont="1" applyFill="1" applyBorder="1" applyAlignment="1">
      <alignment vertical="center" wrapText="1"/>
    </xf>
    <xf numFmtId="0" fontId="15" fillId="16" borderId="118" xfId="0" applyFont="1" applyFill="1" applyBorder="1" applyAlignment="1">
      <alignment horizontal="center" vertical="center" wrapText="1"/>
    </xf>
    <xf numFmtId="0" fontId="15" fillId="16" borderId="119" xfId="0" applyFont="1" applyFill="1" applyBorder="1" applyAlignment="1">
      <alignment horizontal="center" vertical="center" wrapText="1"/>
    </xf>
    <xf numFmtId="0" fontId="2" fillId="16" borderId="118" xfId="0" applyFont="1" applyFill="1" applyBorder="1" applyAlignment="1">
      <alignment vertical="center" wrapText="1"/>
    </xf>
    <xf numFmtId="0" fontId="2" fillId="16" borderId="120" xfId="0" applyFont="1" applyFill="1" applyBorder="1" applyAlignment="1">
      <alignment vertical="center" wrapText="1"/>
    </xf>
    <xf numFmtId="0" fontId="2" fillId="16" borderId="127" xfId="0" applyFont="1" applyFill="1" applyBorder="1" applyAlignment="1">
      <alignment vertical="center" wrapText="1"/>
    </xf>
    <xf numFmtId="0" fontId="2" fillId="16" borderId="128" xfId="0" applyFont="1" applyFill="1" applyBorder="1" applyAlignment="1">
      <alignment vertical="center" wrapText="1"/>
    </xf>
    <xf numFmtId="0" fontId="2" fillId="16" borderId="22" xfId="0" applyFont="1" applyFill="1" applyBorder="1" applyAlignment="1">
      <alignment vertical="center" wrapText="1"/>
    </xf>
    <xf numFmtId="0" fontId="2" fillId="16" borderId="30" xfId="0" applyFont="1" applyFill="1" applyBorder="1" applyAlignment="1">
      <alignment vertical="center" wrapText="1"/>
    </xf>
    <xf numFmtId="0" fontId="15" fillId="16" borderId="116" xfId="0" applyFont="1" applyFill="1" applyBorder="1" applyAlignment="1">
      <alignment horizontal="center" vertical="center" wrapText="1"/>
    </xf>
    <xf numFmtId="0" fontId="15" fillId="16" borderId="105" xfId="0" applyFont="1" applyFill="1" applyBorder="1" applyAlignment="1">
      <alignment horizontal="center" vertical="center" wrapText="1"/>
    </xf>
    <xf numFmtId="0" fontId="15" fillId="16" borderId="129" xfId="0" applyFont="1" applyFill="1" applyBorder="1" applyAlignment="1">
      <alignment horizontal="center" vertical="center" wrapText="1"/>
    </xf>
    <xf numFmtId="44" fontId="15" fillId="16" borderId="130" xfId="1" applyFont="1" applyFill="1" applyBorder="1" applyAlignment="1">
      <alignment horizontal="center" vertical="center" wrapText="1"/>
    </xf>
    <xf numFmtId="44" fontId="15" fillId="16" borderId="104" xfId="1" applyFont="1" applyFill="1" applyBorder="1" applyAlignment="1">
      <alignment horizontal="center" vertical="center" wrapText="1"/>
    </xf>
    <xf numFmtId="0" fontId="17" fillId="17" borderId="116" xfId="0" applyFont="1" applyFill="1" applyBorder="1" applyAlignment="1">
      <alignment horizontal="center" vertical="center" wrapText="1"/>
    </xf>
    <xf numFmtId="0" fontId="17" fillId="17" borderId="105" xfId="0" applyFont="1" applyFill="1" applyBorder="1" applyAlignment="1">
      <alignment horizontal="center" vertical="center" wrapText="1"/>
    </xf>
    <xf numFmtId="0" fontId="17" fillId="17" borderId="104" xfId="0" applyFont="1" applyFill="1" applyBorder="1" applyAlignment="1">
      <alignment horizontal="center" vertical="center" wrapText="1"/>
    </xf>
    <xf numFmtId="0" fontId="15" fillId="17" borderId="133" xfId="0" applyFont="1" applyFill="1" applyBorder="1" applyAlignment="1">
      <alignment horizontal="center" vertical="center" wrapText="1"/>
    </xf>
    <xf numFmtId="0" fontId="15" fillId="17" borderId="6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vertical="center" wrapText="1"/>
    </xf>
    <xf numFmtId="0" fontId="2" fillId="17" borderId="126" xfId="0" applyFont="1" applyFill="1" applyBorder="1" applyAlignment="1">
      <alignment vertical="center" wrapText="1"/>
    </xf>
    <xf numFmtId="0" fontId="17" fillId="17" borderId="134" xfId="0" applyFont="1" applyFill="1" applyBorder="1" applyAlignment="1">
      <alignment horizontal="center" vertical="center" wrapText="1"/>
    </xf>
    <xf numFmtId="0" fontId="17" fillId="17" borderId="119" xfId="0" applyFont="1" applyFill="1" applyBorder="1" applyAlignment="1">
      <alignment horizontal="center" vertical="center" wrapText="1"/>
    </xf>
    <xf numFmtId="44" fontId="15" fillId="17" borderId="118" xfId="1" applyFont="1" applyFill="1" applyBorder="1" applyAlignment="1">
      <alignment horizontal="center" vertical="center" wrapText="1"/>
    </xf>
    <xf numFmtId="44" fontId="15" fillId="17" borderId="120" xfId="1" applyFont="1" applyFill="1" applyBorder="1" applyAlignment="1">
      <alignment horizontal="center" vertical="center" wrapText="1"/>
    </xf>
    <xf numFmtId="164" fontId="4" fillId="2" borderId="81" xfId="0" applyNumberFormat="1" applyFont="1" applyFill="1" applyBorder="1" applyAlignment="1">
      <alignment horizontal="center" vertical="center"/>
    </xf>
    <xf numFmtId="0" fontId="5" fillId="0" borderId="157" xfId="0" applyFont="1" applyBorder="1"/>
    <xf numFmtId="164" fontId="4" fillId="2" borderId="75" xfId="0" applyNumberFormat="1" applyFont="1" applyFill="1" applyBorder="1" applyAlignment="1">
      <alignment horizontal="center" vertical="center"/>
    </xf>
    <xf numFmtId="0" fontId="3" fillId="12" borderId="49" xfId="0" applyFont="1" applyFill="1" applyBorder="1" applyAlignment="1">
      <alignment horizontal="center" vertical="center"/>
    </xf>
    <xf numFmtId="164" fontId="4" fillId="12" borderId="75" xfId="0" applyNumberFormat="1" applyFont="1" applyFill="1" applyBorder="1" applyAlignment="1">
      <alignment horizontal="center" vertical="center"/>
    </xf>
    <xf numFmtId="0" fontId="3" fillId="5" borderId="57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3" fillId="5" borderId="37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58" xfId="0" applyFont="1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9" xfId="0" applyFont="1" applyFill="1" applyBorder="1" applyAlignment="1">
      <alignment horizontal="center" vertical="center"/>
    </xf>
    <xf numFmtId="0" fontId="3" fillId="5" borderId="51" xfId="0" applyFont="1" applyFill="1" applyBorder="1" applyAlignment="1">
      <alignment horizontal="center" vertical="center"/>
    </xf>
    <xf numFmtId="0" fontId="8" fillId="8" borderId="39" xfId="0" applyFont="1" applyFill="1" applyBorder="1" applyAlignment="1">
      <alignment horizontal="center" vertical="center"/>
    </xf>
    <xf numFmtId="0" fontId="8" fillId="8" borderId="40" xfId="0" applyFont="1" applyFill="1" applyBorder="1" applyAlignment="1">
      <alignment horizontal="center" vertical="center"/>
    </xf>
    <xf numFmtId="0" fontId="8" fillId="8" borderId="145" xfId="0" applyFont="1" applyFill="1" applyBorder="1" applyAlignment="1">
      <alignment horizontal="center" vertical="center"/>
    </xf>
    <xf numFmtId="165" fontId="8" fillId="3" borderId="146" xfId="0" applyNumberFormat="1" applyFont="1" applyFill="1" applyBorder="1" applyAlignment="1">
      <alignment horizontal="center" vertical="center"/>
    </xf>
    <xf numFmtId="165" fontId="8" fillId="3" borderId="147" xfId="0" applyNumberFormat="1" applyFont="1" applyFill="1" applyBorder="1" applyAlignment="1">
      <alignment horizontal="center" vertical="center"/>
    </xf>
    <xf numFmtId="164" fontId="8" fillId="2" borderId="31" xfId="0" applyNumberFormat="1" applyFont="1" applyFill="1" applyBorder="1" applyAlignment="1">
      <alignment horizontal="center" vertical="center"/>
    </xf>
    <xf numFmtId="164" fontId="8" fillId="2" borderId="60" xfId="0" applyNumberFormat="1" applyFont="1" applyFill="1" applyBorder="1" applyAlignment="1">
      <alignment horizontal="center" vertical="center"/>
    </xf>
    <xf numFmtId="164" fontId="8" fillId="2" borderId="61" xfId="0" applyNumberFormat="1" applyFont="1" applyFill="1" applyBorder="1" applyAlignment="1">
      <alignment horizontal="center" vertical="center"/>
    </xf>
    <xf numFmtId="164" fontId="8" fillId="2" borderId="62" xfId="0" applyNumberFormat="1" applyFont="1" applyFill="1" applyBorder="1" applyAlignment="1">
      <alignment horizontal="center" vertical="center"/>
    </xf>
    <xf numFmtId="0" fontId="4" fillId="3" borderId="31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left" vertical="center"/>
    </xf>
    <xf numFmtId="0" fontId="5" fillId="11" borderId="5" xfId="0" applyFont="1" applyFill="1" applyBorder="1"/>
    <xf numFmtId="0" fontId="5" fillId="11" borderId="6" xfId="0" applyFont="1" applyFill="1" applyBorder="1"/>
    <xf numFmtId="0" fontId="3" fillId="10" borderId="19" xfId="0" applyFont="1" applyFill="1" applyBorder="1" applyAlignment="1">
      <alignment horizontal="left" vertical="center"/>
    </xf>
    <xf numFmtId="0" fontId="5" fillId="11" borderId="28" xfId="0" applyFont="1" applyFill="1" applyBorder="1"/>
    <xf numFmtId="0" fontId="5" fillId="11" borderId="8" xfId="0" applyFont="1" applyFill="1" applyBorder="1"/>
    <xf numFmtId="0" fontId="5" fillId="11" borderId="9" xfId="0" applyFont="1" applyFill="1" applyBorder="1"/>
    <xf numFmtId="0" fontId="5" fillId="11" borderId="10" xfId="0" applyFont="1" applyFill="1" applyBorder="1"/>
    <xf numFmtId="0" fontId="4" fillId="2" borderId="15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5" fillId="0" borderId="67" xfId="0" applyFont="1" applyBorder="1"/>
    <xf numFmtId="0" fontId="5" fillId="0" borderId="69" xfId="0" applyFont="1" applyBorder="1"/>
    <xf numFmtId="164" fontId="4" fillId="2" borderId="25" xfId="0" applyNumberFormat="1" applyFont="1" applyFill="1" applyBorder="1" applyAlignment="1">
      <alignment horizontal="center" vertical="center"/>
    </xf>
    <xf numFmtId="0" fontId="5" fillId="0" borderId="16" xfId="0" applyFont="1" applyBorder="1"/>
    <xf numFmtId="0" fontId="5" fillId="0" borderId="28" xfId="0" applyFont="1" applyBorder="1"/>
    <xf numFmtId="0" fontId="4" fillId="3" borderId="21" xfId="0" applyFont="1" applyFill="1" applyBorder="1" applyAlignment="1">
      <alignment horizontal="left" vertical="center" wrapText="1"/>
    </xf>
    <xf numFmtId="0" fontId="4" fillId="0" borderId="86" xfId="0" applyFont="1" applyBorder="1" applyAlignment="1">
      <alignment horizontal="center" vertical="center"/>
    </xf>
    <xf numFmtId="0" fontId="4" fillId="2" borderId="25" xfId="0" applyFont="1" applyFill="1" applyBorder="1" applyAlignment="1">
      <alignment horizontal="left" vertical="center" wrapText="1"/>
    </xf>
    <xf numFmtId="0" fontId="3" fillId="2" borderId="18" xfId="0" applyFont="1" applyFill="1" applyBorder="1" applyAlignment="1">
      <alignment horizontal="center" vertical="center"/>
    </xf>
    <xf numFmtId="0" fontId="5" fillId="0" borderId="10" xfId="0" applyFont="1" applyBorder="1"/>
    <xf numFmtId="0" fontId="4" fillId="2" borderId="15" xfId="0" applyFont="1" applyFill="1" applyBorder="1" applyAlignment="1">
      <alignment horizontal="left" vertical="center"/>
    </xf>
    <xf numFmtId="0" fontId="5" fillId="0" borderId="8" xfId="0" applyFont="1" applyBorder="1"/>
    <xf numFmtId="0" fontId="3" fillId="2" borderId="15" xfId="0" applyFont="1" applyFill="1" applyBorder="1" applyAlignment="1">
      <alignment horizontal="left" vertical="center"/>
    </xf>
    <xf numFmtId="0" fontId="5" fillId="0" borderId="22" xfId="0" applyFont="1" applyBorder="1"/>
    <xf numFmtId="164" fontId="3" fillId="2" borderId="25" xfId="0" applyNumberFormat="1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5" fillId="0" borderId="17" xfId="0" applyFont="1" applyBorder="1"/>
    <xf numFmtId="0" fontId="5" fillId="0" borderId="66" xfId="0" applyFont="1" applyBorder="1"/>
    <xf numFmtId="0" fontId="14" fillId="2" borderId="23" xfId="0" applyFont="1" applyFill="1" applyBorder="1" applyAlignment="1">
      <alignment horizontal="center" vertical="center" wrapText="1"/>
    </xf>
    <xf numFmtId="0" fontId="5" fillId="0" borderId="27" xfId="0" applyFont="1" applyBorder="1"/>
    <xf numFmtId="0" fontId="5" fillId="0" borderId="94" xfId="0" applyFont="1" applyBorder="1"/>
    <xf numFmtId="164" fontId="3" fillId="2" borderId="93" xfId="0" applyNumberFormat="1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164" fontId="3" fillId="3" borderId="25" xfId="0" applyNumberFormat="1" applyFont="1" applyFill="1" applyBorder="1" applyAlignment="1">
      <alignment horizontal="left" vertical="center" wrapText="1"/>
    </xf>
    <xf numFmtId="0" fontId="4" fillId="3" borderId="61" xfId="0" applyFont="1" applyFill="1" applyBorder="1" applyAlignment="1">
      <alignment horizontal="center" vertical="center" wrapText="1"/>
    </xf>
    <xf numFmtId="49" fontId="4" fillId="3" borderId="61" xfId="0" applyNumberFormat="1" applyFont="1" applyFill="1" applyBorder="1" applyAlignment="1">
      <alignment horizontal="center" vertical="center" wrapText="1"/>
    </xf>
    <xf numFmtId="165" fontId="4" fillId="2" borderId="93" xfId="0" applyNumberFormat="1" applyFont="1" applyFill="1" applyBorder="1" applyAlignment="1">
      <alignment horizontal="center" vertical="center"/>
    </xf>
    <xf numFmtId="165" fontId="4" fillId="3" borderId="81" xfId="0" applyNumberFormat="1" applyFont="1" applyFill="1" applyBorder="1" applyAlignment="1">
      <alignment horizontal="center" vertical="center"/>
    </xf>
    <xf numFmtId="164" fontId="4" fillId="2" borderId="93" xfId="0" applyNumberFormat="1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left" vertical="center" wrapText="1"/>
    </xf>
    <xf numFmtId="0" fontId="3" fillId="10" borderId="56" xfId="0" applyFont="1" applyFill="1" applyBorder="1" applyAlignment="1">
      <alignment horizontal="center" vertical="center"/>
    </xf>
    <xf numFmtId="0" fontId="5" fillId="11" borderId="139" xfId="0" applyFont="1" applyFill="1" applyBorder="1"/>
    <xf numFmtId="0" fontId="5" fillId="11" borderId="140" xfId="0" applyFont="1" applyFill="1" applyBorder="1"/>
    <xf numFmtId="0" fontId="5" fillId="11" borderId="154" xfId="0" applyFont="1" applyFill="1" applyBorder="1"/>
    <xf numFmtId="0" fontId="5" fillId="0" borderId="155" xfId="0" applyFont="1" applyBorder="1"/>
    <xf numFmtId="0" fontId="5" fillId="0" borderId="141" xfId="0" applyFont="1" applyBorder="1"/>
    <xf numFmtId="0" fontId="4" fillId="2" borderId="46" xfId="0" applyFont="1" applyFill="1" applyBorder="1" applyAlignment="1">
      <alignment horizontal="center" vertical="center"/>
    </xf>
    <xf numFmtId="0" fontId="5" fillId="0" borderId="56" xfId="0" applyFont="1" applyBorder="1"/>
    <xf numFmtId="0" fontId="5" fillId="0" borderId="72" xfId="0" applyFont="1" applyBorder="1"/>
    <xf numFmtId="0" fontId="4" fillId="2" borderId="65" xfId="0" applyFont="1" applyFill="1" applyBorder="1" applyAlignment="1">
      <alignment horizontal="center" vertical="center"/>
    </xf>
    <xf numFmtId="0" fontId="4" fillId="2" borderId="25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6" fillId="2" borderId="13" xfId="0" applyFont="1" applyFill="1" applyBorder="1" applyAlignment="1">
      <alignment horizontal="center" vertical="center" wrapText="1"/>
    </xf>
    <xf numFmtId="0" fontId="4" fillId="3" borderId="49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9" borderId="56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45" xfId="0" applyFont="1" applyFill="1" applyBorder="1" applyAlignment="1">
      <alignment horizontal="center" vertical="center"/>
    </xf>
    <xf numFmtId="0" fontId="4" fillId="6" borderId="44" xfId="0" applyFont="1" applyFill="1" applyBorder="1" applyAlignment="1">
      <alignment horizontal="center" vertical="center"/>
    </xf>
    <xf numFmtId="0" fontId="17" fillId="17" borderId="117" xfId="0" applyFont="1" applyFill="1" applyBorder="1" applyAlignment="1">
      <alignment horizontal="center" vertical="center" wrapText="1"/>
    </xf>
    <xf numFmtId="0" fontId="17" fillId="17" borderId="131" xfId="0" applyFont="1" applyFill="1" applyBorder="1" applyAlignment="1">
      <alignment horizontal="center" vertical="center" wrapText="1"/>
    </xf>
    <xf numFmtId="0" fontId="17" fillId="17" borderId="132" xfId="0" applyFont="1" applyFill="1" applyBorder="1" applyAlignment="1">
      <alignment horizontal="center" vertical="center" wrapText="1"/>
    </xf>
    <xf numFmtId="0" fontId="17" fillId="17" borderId="107" xfId="0" applyFont="1" applyFill="1" applyBorder="1" applyAlignment="1">
      <alignment horizontal="center" vertical="center" wrapText="1"/>
    </xf>
    <xf numFmtId="0" fontId="15" fillId="14" borderId="134" xfId="0" applyFont="1" applyFill="1" applyBorder="1" applyAlignment="1">
      <alignment horizontal="center" vertical="center" wrapText="1"/>
    </xf>
    <xf numFmtId="0" fontId="15" fillId="14" borderId="135" xfId="0" applyFont="1" applyFill="1" applyBorder="1" applyAlignment="1">
      <alignment horizontal="center" vertical="center" wrapText="1"/>
    </xf>
    <xf numFmtId="0" fontId="15" fillId="14" borderId="119" xfId="0" applyFont="1" applyFill="1" applyBorder="1" applyAlignment="1">
      <alignment horizontal="center" vertical="center" wrapText="1"/>
    </xf>
    <xf numFmtId="0" fontId="3" fillId="10" borderId="32" xfId="0" applyFont="1" applyFill="1" applyBorder="1" applyAlignment="1">
      <alignment horizontal="center" vertical="center" wrapText="1"/>
    </xf>
    <xf numFmtId="0" fontId="5" fillId="11" borderId="34" xfId="0" applyFont="1" applyFill="1" applyBorder="1"/>
    <xf numFmtId="0" fontId="5" fillId="11" borderId="151" xfId="0" applyFont="1" applyFill="1" applyBorder="1"/>
    <xf numFmtId="166" fontId="3" fillId="8" borderId="152" xfId="0" applyNumberFormat="1" applyFont="1" applyFill="1" applyBorder="1" applyAlignment="1">
      <alignment horizontal="center" vertical="center"/>
    </xf>
    <xf numFmtId="0" fontId="5" fillId="0" borderId="2" xfId="0" applyFont="1" applyBorder="1"/>
    <xf numFmtId="0" fontId="5" fillId="0" borderId="89" xfId="0" applyFont="1" applyBorder="1"/>
    <xf numFmtId="164" fontId="3" fillId="8" borderId="90" xfId="0" applyNumberFormat="1" applyFont="1" applyFill="1" applyBorder="1" applyAlignment="1">
      <alignment horizontal="center" vertical="center"/>
    </xf>
    <xf numFmtId="164" fontId="3" fillId="2" borderId="90" xfId="0" applyNumberFormat="1" applyFont="1" applyFill="1" applyBorder="1" applyAlignment="1">
      <alignment horizontal="center" vertical="center"/>
    </xf>
    <xf numFmtId="0" fontId="4" fillId="3" borderId="156" xfId="0" applyFont="1" applyFill="1" applyBorder="1" applyAlignment="1">
      <alignment horizontal="center" vertical="center"/>
    </xf>
    <xf numFmtId="0" fontId="5" fillId="0" borderId="92" xfId="0" applyFont="1" applyBorder="1"/>
    <xf numFmtId="0" fontId="5" fillId="0" borderId="82" xfId="0" applyFont="1" applyBorder="1"/>
    <xf numFmtId="0" fontId="3" fillId="4" borderId="142" xfId="0" applyFont="1" applyFill="1" applyBorder="1" applyAlignment="1">
      <alignment horizontal="center" vertical="center"/>
    </xf>
    <xf numFmtId="0" fontId="3" fillId="4" borderId="143" xfId="0" applyFont="1" applyFill="1" applyBorder="1" applyAlignment="1">
      <alignment horizontal="center" vertical="center"/>
    </xf>
    <xf numFmtId="0" fontId="3" fillId="4" borderId="144" xfId="0" applyFont="1" applyFill="1" applyBorder="1" applyAlignment="1">
      <alignment horizontal="center" vertical="center"/>
    </xf>
    <xf numFmtId="0" fontId="4" fillId="2" borderId="57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15" fillId="20" borderId="172" xfId="0" applyFont="1" applyFill="1" applyBorder="1" applyAlignment="1">
      <alignment vertical="center" wrapText="1"/>
    </xf>
    <xf numFmtId="0" fontId="15" fillId="20" borderId="30" xfId="0" applyFont="1" applyFill="1" applyBorder="1" applyAlignment="1">
      <alignment vertical="center" wrapText="1"/>
    </xf>
    <xf numFmtId="0" fontId="17" fillId="18" borderId="121" xfId="0" applyFont="1" applyFill="1" applyBorder="1" applyAlignment="1">
      <alignment horizontal="center" vertical="center" wrapText="1"/>
    </xf>
    <xf numFmtId="0" fontId="17" fillId="18" borderId="122" xfId="0" applyFont="1" applyFill="1" applyBorder="1" applyAlignment="1">
      <alignment horizontal="center" vertical="center" wrapText="1"/>
    </xf>
    <xf numFmtId="0" fontId="17" fillId="18" borderId="106" xfId="0" applyFont="1" applyFill="1" applyBorder="1" applyAlignment="1">
      <alignment horizontal="center" vertical="center" wrapText="1"/>
    </xf>
    <xf numFmtId="0" fontId="17" fillId="18" borderId="171" xfId="0" applyFont="1" applyFill="1" applyBorder="1" applyAlignment="1">
      <alignment horizontal="center" vertical="center" wrapText="1"/>
    </xf>
    <xf numFmtId="0" fontId="17" fillId="18" borderId="113" xfId="0" applyFont="1" applyFill="1" applyBorder="1" applyAlignment="1">
      <alignment horizontal="center" vertical="center" wrapText="1"/>
    </xf>
    <xf numFmtId="0" fontId="17" fillId="18" borderId="114" xfId="0" applyFont="1" applyFill="1" applyBorder="1" applyAlignment="1">
      <alignment horizontal="center" vertical="center" wrapText="1"/>
    </xf>
    <xf numFmtId="0" fontId="15" fillId="19" borderId="116" xfId="0" applyFont="1" applyFill="1" applyBorder="1" applyAlignment="1">
      <alignment horizontal="center" vertical="center" wrapText="1"/>
    </xf>
    <xf numFmtId="0" fontId="15" fillId="19" borderId="105" xfId="0" applyFont="1" applyFill="1" applyBorder="1" applyAlignment="1">
      <alignment horizontal="center" vertical="center" wrapText="1"/>
    </xf>
    <xf numFmtId="0" fontId="15" fillId="19" borderId="104" xfId="0" applyFont="1" applyFill="1" applyBorder="1" applyAlignment="1">
      <alignment horizontal="center" vertical="center" wrapText="1"/>
    </xf>
    <xf numFmtId="0" fontId="15" fillId="20" borderId="173" xfId="0" applyFont="1" applyFill="1" applyBorder="1" applyAlignment="1">
      <alignment horizontal="center" vertical="center" wrapText="1"/>
    </xf>
    <xf numFmtId="0" fontId="15" fillId="20" borderId="172" xfId="0" applyFont="1" applyFill="1" applyBorder="1" applyAlignment="1">
      <alignment horizontal="center" vertical="center" wrapText="1"/>
    </xf>
    <xf numFmtId="0" fontId="1" fillId="15" borderId="127" xfId="0" applyFont="1" applyFill="1" applyBorder="1" applyAlignment="1">
      <alignment vertical="center" wrapText="1"/>
    </xf>
    <xf numFmtId="0" fontId="1" fillId="15" borderId="122" xfId="0" applyFont="1" applyFill="1" applyBorder="1" applyAlignment="1">
      <alignment vertical="center" wrapText="1"/>
    </xf>
    <xf numFmtId="0" fontId="1" fillId="15" borderId="128" xfId="0" applyFont="1" applyFill="1" applyBorder="1" applyAlignment="1">
      <alignment vertical="center" wrapText="1"/>
    </xf>
    <xf numFmtId="0" fontId="1" fillId="15" borderId="22" xfId="0" applyFont="1" applyFill="1" applyBorder="1" applyAlignment="1">
      <alignment vertical="center" wrapText="1"/>
    </xf>
    <xf numFmtId="0" fontId="1" fillId="15" borderId="29" xfId="0" applyFont="1" applyFill="1" applyBorder="1" applyAlignment="1">
      <alignment vertical="center" wrapText="1"/>
    </xf>
    <xf numFmtId="0" fontId="1" fillId="15" borderId="30" xfId="0" applyFont="1" applyFill="1" applyBorder="1" applyAlignment="1">
      <alignment vertical="center" wrapText="1"/>
    </xf>
    <xf numFmtId="0" fontId="22" fillId="20" borderId="173" xfId="0" applyFont="1" applyFill="1" applyBorder="1" applyAlignment="1">
      <alignment vertical="center" wrapText="1"/>
    </xf>
    <xf numFmtId="0" fontId="22" fillId="20" borderId="172" xfId="0" applyFont="1" applyFill="1" applyBorder="1" applyAlignment="1">
      <alignment vertical="center" wrapText="1"/>
    </xf>
    <xf numFmtId="0" fontId="1" fillId="0" borderId="127" xfId="0" applyFont="1" applyBorder="1" applyAlignment="1">
      <alignment vertical="center" wrapText="1"/>
    </xf>
    <xf numFmtId="0" fontId="1" fillId="0" borderId="122" xfId="0" applyFont="1" applyBorder="1" applyAlignment="1">
      <alignment vertical="center" wrapText="1"/>
    </xf>
    <xf numFmtId="0" fontId="1" fillId="0" borderId="128" xfId="0" applyFont="1" applyBorder="1" applyAlignment="1">
      <alignment vertical="center" wrapText="1"/>
    </xf>
    <xf numFmtId="0" fontId="1" fillId="0" borderId="22" xfId="0" applyFont="1" applyBorder="1" applyAlignment="1">
      <alignment vertical="center" wrapText="1"/>
    </xf>
    <xf numFmtId="0" fontId="1" fillId="0" borderId="29" xfId="0" applyFont="1" applyBorder="1" applyAlignment="1">
      <alignment vertical="center" wrapText="1"/>
    </xf>
    <xf numFmtId="0" fontId="1" fillId="0" borderId="30" xfId="0" applyFont="1" applyBorder="1" applyAlignment="1">
      <alignment vertical="center" wrapText="1"/>
    </xf>
    <xf numFmtId="0" fontId="15" fillId="20" borderId="4" xfId="0" applyFont="1" applyFill="1" applyBorder="1" applyAlignment="1">
      <alignment horizontal="center" vertical="center" wrapText="1"/>
    </xf>
    <xf numFmtId="0" fontId="15" fillId="20" borderId="6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15" borderId="4" xfId="0" applyFont="1" applyFill="1" applyBorder="1" applyAlignment="1">
      <alignment vertical="center" wrapText="1"/>
    </xf>
    <xf numFmtId="0" fontId="1" fillId="15" borderId="5" xfId="0" applyFont="1" applyFill="1" applyBorder="1" applyAlignment="1">
      <alignment vertical="center" wrapText="1"/>
    </xf>
    <xf numFmtId="0" fontId="1" fillId="15" borderId="6" xfId="0" applyFont="1" applyFill="1" applyBorder="1" applyAlignment="1">
      <alignment vertical="center" wrapText="1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3.0%20Plano_trabalho_Ficha_Gest&#227;o_Faurgs_001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o de Trabalho"/>
      <sheetName val="Dado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980"/>
  <sheetViews>
    <sheetView showGridLines="0" tabSelected="1" topLeftCell="A475" zoomScale="70" zoomScaleNormal="70" workbookViewId="0">
      <selection activeCell="A453" sqref="A453:J454"/>
    </sheetView>
  </sheetViews>
  <sheetFormatPr defaultColWidth="14.42578125" defaultRowHeight="15" customHeight="1" x14ac:dyDescent="0.25"/>
  <cols>
    <col min="1" max="1" width="13.7109375" customWidth="1"/>
    <col min="2" max="2" width="22.1406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15" width="8.85546875" customWidth="1"/>
  </cols>
  <sheetData>
    <row r="1" spans="1:15" ht="18.75" customHeight="1" x14ac:dyDescent="0.25">
      <c r="A1" s="180" t="s">
        <v>417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"/>
      <c r="N1" s="1"/>
      <c r="O1" s="1"/>
    </row>
    <row r="2" spans="1:15" ht="18.75" customHeight="1" x14ac:dyDescent="0.25">
      <c r="A2" s="181"/>
      <c r="B2" s="181"/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"/>
      <c r="N2" s="1"/>
      <c r="O2" s="1"/>
    </row>
    <row r="3" spans="1:15" ht="18.75" customHeight="1" thickBot="1" x14ac:dyDescent="0.3">
      <c r="A3" s="182"/>
      <c r="B3" s="182"/>
      <c r="C3" s="182"/>
      <c r="D3" s="182"/>
      <c r="E3" s="182"/>
      <c r="F3" s="182"/>
      <c r="G3" s="182"/>
      <c r="H3" s="182"/>
      <c r="I3" s="182"/>
      <c r="J3" s="182"/>
      <c r="K3" s="182"/>
      <c r="L3" s="182"/>
      <c r="M3" s="1"/>
      <c r="N3" s="1"/>
      <c r="O3" s="1"/>
    </row>
    <row r="4" spans="1:15" ht="18.75" customHeight="1" x14ac:dyDescent="0.25">
      <c r="A4" s="183" t="s">
        <v>0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5"/>
      <c r="M4" s="1"/>
      <c r="N4" s="1"/>
      <c r="O4" s="1"/>
    </row>
    <row r="5" spans="1:15" ht="18.75" customHeight="1" thickBot="1" x14ac:dyDescent="0.3">
      <c r="A5" s="186" t="s">
        <v>1</v>
      </c>
      <c r="B5" s="178"/>
      <c r="C5" s="178"/>
      <c r="D5" s="178"/>
      <c r="E5" s="178"/>
      <c r="F5" s="178"/>
      <c r="G5" s="178"/>
      <c r="H5" s="178"/>
      <c r="I5" s="178"/>
      <c r="J5" s="178"/>
      <c r="K5" s="178"/>
      <c r="L5" s="179"/>
      <c r="M5" s="1"/>
      <c r="N5" s="1"/>
      <c r="O5" s="1"/>
    </row>
    <row r="6" spans="1:15" ht="18.75" customHeight="1" thickBot="1" x14ac:dyDescent="0.3">
      <c r="A6" s="187" t="s">
        <v>2</v>
      </c>
      <c r="B6" s="188"/>
      <c r="C6" s="188"/>
      <c r="D6" s="188"/>
      <c r="E6" s="188"/>
      <c r="F6" s="188"/>
      <c r="G6" s="189"/>
      <c r="H6" s="190" t="s">
        <v>3</v>
      </c>
      <c r="I6" s="178"/>
      <c r="J6" s="178"/>
      <c r="K6" s="178"/>
      <c r="L6" s="179"/>
      <c r="M6" s="1"/>
      <c r="N6" s="1"/>
      <c r="O6" s="1"/>
    </row>
    <row r="7" spans="1:15" ht="18.75" customHeight="1" x14ac:dyDescent="0.25">
      <c r="A7" s="191" t="s">
        <v>4</v>
      </c>
      <c r="B7" s="192"/>
      <c r="C7" s="192"/>
      <c r="D7" s="192"/>
      <c r="E7" s="192"/>
      <c r="F7" s="192"/>
      <c r="G7" s="192"/>
      <c r="H7" s="192"/>
      <c r="I7" s="192"/>
      <c r="J7" s="192"/>
      <c r="K7" s="192"/>
      <c r="L7" s="193"/>
      <c r="M7" s="1"/>
      <c r="N7" s="1"/>
      <c r="O7" s="1"/>
    </row>
    <row r="8" spans="1:15" ht="75" customHeight="1" x14ac:dyDescent="0.25">
      <c r="A8" s="194" t="s">
        <v>5</v>
      </c>
      <c r="B8" s="178"/>
      <c r="C8" s="176"/>
      <c r="D8" s="175" t="s">
        <v>6</v>
      </c>
      <c r="E8" s="176"/>
      <c r="F8" s="24" t="s">
        <v>7</v>
      </c>
      <c r="G8" s="24" t="s">
        <v>8</v>
      </c>
      <c r="H8" s="177" t="s">
        <v>8</v>
      </c>
      <c r="I8" s="178"/>
      <c r="J8" s="178"/>
      <c r="K8" s="178"/>
      <c r="L8" s="179"/>
      <c r="M8" s="1"/>
      <c r="N8" s="1"/>
      <c r="O8" s="1"/>
    </row>
    <row r="9" spans="1:15" ht="37.5" customHeight="1" x14ac:dyDescent="0.25">
      <c r="A9" s="216" t="s">
        <v>9</v>
      </c>
      <c r="B9" s="178"/>
      <c r="C9" s="178"/>
      <c r="D9" s="178"/>
      <c r="E9" s="176"/>
      <c r="F9" s="24" t="s">
        <v>10</v>
      </c>
      <c r="G9" s="24" t="s">
        <v>11</v>
      </c>
      <c r="H9" s="217" t="s">
        <v>12</v>
      </c>
      <c r="I9" s="178"/>
      <c r="J9" s="178"/>
      <c r="K9" s="178"/>
      <c r="L9" s="179"/>
      <c r="M9" s="1"/>
      <c r="N9" s="1"/>
      <c r="O9" s="1"/>
    </row>
    <row r="10" spans="1:15" ht="18.75" customHeight="1" thickBot="1" x14ac:dyDescent="0.3">
      <c r="A10" s="218" t="s">
        <v>13</v>
      </c>
      <c r="B10" s="219"/>
      <c r="C10" s="219"/>
      <c r="D10" s="219"/>
      <c r="E10" s="219"/>
      <c r="F10" s="219"/>
      <c r="G10" s="219"/>
      <c r="H10" s="219"/>
      <c r="I10" s="219"/>
      <c r="J10" s="219"/>
      <c r="K10" s="219"/>
      <c r="L10" s="220"/>
      <c r="M10" s="1"/>
      <c r="N10" s="1"/>
      <c r="O10" s="1"/>
    </row>
    <row r="11" spans="1:15" ht="18.75" customHeight="1" thickBot="1" x14ac:dyDescent="0.3">
      <c r="A11" s="187" t="s">
        <v>418</v>
      </c>
      <c r="B11" s="188"/>
      <c r="C11" s="188"/>
      <c r="D11" s="188"/>
      <c r="E11" s="188"/>
      <c r="F11" s="188"/>
      <c r="G11" s="189"/>
      <c r="H11" s="222" t="s">
        <v>419</v>
      </c>
      <c r="I11" s="188"/>
      <c r="J11" s="188"/>
      <c r="K11" s="188"/>
      <c r="L11" s="189"/>
      <c r="M11" s="1"/>
      <c r="N11" s="1"/>
      <c r="O11" s="1"/>
    </row>
    <row r="12" spans="1:15" ht="21.75" customHeight="1" x14ac:dyDescent="0.3">
      <c r="A12" s="221" t="s">
        <v>420</v>
      </c>
      <c r="B12" s="192"/>
      <c r="C12" s="192"/>
      <c r="D12" s="192"/>
      <c r="E12" s="192"/>
      <c r="F12" s="192"/>
      <c r="G12" s="192"/>
      <c r="H12" s="192"/>
      <c r="I12" s="192"/>
      <c r="J12" s="192"/>
      <c r="K12" s="192"/>
      <c r="L12" s="193"/>
      <c r="M12" s="1"/>
      <c r="N12" s="1"/>
      <c r="O12" s="1"/>
    </row>
    <row r="13" spans="1:15" ht="36" customHeight="1" x14ac:dyDescent="0.25">
      <c r="A13" s="194" t="s">
        <v>421</v>
      </c>
      <c r="B13" s="178"/>
      <c r="C13" s="176"/>
      <c r="D13" s="175" t="s">
        <v>422</v>
      </c>
      <c r="E13" s="176"/>
      <c r="F13" s="223" t="s">
        <v>423</v>
      </c>
      <c r="G13" s="176"/>
      <c r="H13" s="223" t="s">
        <v>14</v>
      </c>
      <c r="I13" s="178"/>
      <c r="J13" s="178"/>
      <c r="K13" s="178"/>
      <c r="L13" s="179"/>
      <c r="M13" s="1"/>
      <c r="N13" s="1"/>
      <c r="O13" s="1"/>
    </row>
    <row r="14" spans="1:15" ht="32.25" customHeight="1" thickBot="1" x14ac:dyDescent="0.3">
      <c r="A14" s="194" t="s">
        <v>424</v>
      </c>
      <c r="B14" s="178"/>
      <c r="C14" s="178"/>
      <c r="D14" s="178"/>
      <c r="E14" s="178"/>
      <c r="F14" s="176"/>
      <c r="G14" s="175" t="s">
        <v>15</v>
      </c>
      <c r="H14" s="178"/>
      <c r="I14" s="178"/>
      <c r="J14" s="178"/>
      <c r="K14" s="178"/>
      <c r="L14" s="179"/>
      <c r="M14" s="1"/>
      <c r="N14" s="1"/>
      <c r="O14" s="1"/>
    </row>
    <row r="15" spans="1:15" ht="18.75" customHeight="1" thickTop="1" x14ac:dyDescent="0.25">
      <c r="A15" s="516" t="s">
        <v>458</v>
      </c>
      <c r="B15" s="517"/>
      <c r="C15" s="517"/>
      <c r="D15" s="517"/>
      <c r="E15" s="517"/>
      <c r="F15" s="517"/>
      <c r="G15" s="517"/>
      <c r="H15" s="517"/>
      <c r="I15" s="517"/>
      <c r="J15" s="517"/>
      <c r="K15" s="517"/>
      <c r="L15" s="518"/>
      <c r="M15" s="1"/>
    </row>
    <row r="16" spans="1:15" ht="18.75" customHeight="1" thickBot="1" x14ac:dyDescent="0.3">
      <c r="A16" s="519"/>
      <c r="B16" s="520"/>
      <c r="C16" s="520"/>
      <c r="D16" s="520"/>
      <c r="E16" s="520"/>
      <c r="F16" s="520"/>
      <c r="G16" s="520"/>
      <c r="H16" s="520"/>
      <c r="I16" s="520"/>
      <c r="J16" s="520"/>
      <c r="K16" s="520"/>
      <c r="L16" s="521"/>
      <c r="M16" s="1"/>
    </row>
    <row r="17" spans="1:13" ht="18.75" customHeight="1" thickTop="1" thickBot="1" x14ac:dyDescent="0.3">
      <c r="A17" s="522" t="s">
        <v>459</v>
      </c>
      <c r="B17" s="523"/>
      <c r="C17" s="523"/>
      <c r="D17" s="523"/>
      <c r="E17" s="523"/>
      <c r="F17" s="523"/>
      <c r="G17" s="523"/>
      <c r="H17" s="523"/>
      <c r="I17" s="523"/>
      <c r="J17" s="523"/>
      <c r="K17" s="523"/>
      <c r="L17" s="524"/>
      <c r="M17" s="1"/>
    </row>
    <row r="18" spans="1:13" ht="15" customHeight="1" thickTop="1" x14ac:dyDescent="0.25">
      <c r="A18" s="525" t="s">
        <v>460</v>
      </c>
      <c r="B18" s="527"/>
      <c r="C18" s="528"/>
      <c r="D18" s="528"/>
      <c r="E18" s="528"/>
      <c r="F18" s="528"/>
      <c r="G18" s="529"/>
      <c r="H18" s="533" t="s">
        <v>461</v>
      </c>
      <c r="I18" s="535"/>
      <c r="J18" s="536"/>
      <c r="K18" s="536"/>
      <c r="L18" s="537"/>
      <c r="M18" s="1"/>
    </row>
    <row r="19" spans="1:13" ht="18.75" customHeight="1" thickBot="1" x14ac:dyDescent="0.3">
      <c r="A19" s="526"/>
      <c r="B19" s="530"/>
      <c r="C19" s="531"/>
      <c r="D19" s="531"/>
      <c r="E19" s="531"/>
      <c r="F19" s="531"/>
      <c r="G19" s="532"/>
      <c r="H19" s="534"/>
      <c r="I19" s="538"/>
      <c r="J19" s="539"/>
      <c r="K19" s="539"/>
      <c r="L19" s="540"/>
      <c r="M19" s="1"/>
    </row>
    <row r="20" spans="1:13" ht="18.75" customHeight="1" thickBot="1" x14ac:dyDescent="0.3">
      <c r="A20" s="541" t="s">
        <v>462</v>
      </c>
      <c r="B20" s="542"/>
      <c r="C20" s="543"/>
      <c r="D20" s="544"/>
      <c r="E20" s="544"/>
      <c r="F20" s="544"/>
      <c r="G20" s="544"/>
      <c r="H20" s="544"/>
      <c r="I20" s="544"/>
      <c r="J20" s="544"/>
      <c r="K20" s="544"/>
      <c r="L20" s="545"/>
      <c r="M20" s="1"/>
    </row>
    <row r="21" spans="1:13" ht="18.75" customHeight="1" thickBot="1" x14ac:dyDescent="0.3">
      <c r="A21" s="514" t="s">
        <v>463</v>
      </c>
      <c r="B21" s="546"/>
      <c r="C21" s="547"/>
      <c r="D21" s="547"/>
      <c r="E21" s="547"/>
      <c r="F21" s="547"/>
      <c r="G21" s="547"/>
      <c r="H21" s="548"/>
      <c r="I21" s="515" t="s">
        <v>464</v>
      </c>
      <c r="J21" s="543"/>
      <c r="K21" s="544"/>
      <c r="L21" s="545"/>
      <c r="M21" s="1"/>
    </row>
    <row r="22" spans="1:13" ht="18.75" customHeight="1" thickBot="1" x14ac:dyDescent="0.3">
      <c r="A22" s="514" t="s">
        <v>465</v>
      </c>
      <c r="B22" s="546"/>
      <c r="C22" s="547"/>
      <c r="D22" s="547"/>
      <c r="E22" s="547"/>
      <c r="F22" s="547"/>
      <c r="G22" s="547"/>
      <c r="H22" s="547"/>
      <c r="I22" s="547"/>
      <c r="J22" s="547"/>
      <c r="K22" s="547"/>
      <c r="L22" s="548"/>
      <c r="M22" s="1"/>
    </row>
    <row r="23" spans="1:13" ht="18.75" customHeight="1" x14ac:dyDescent="0.25">
      <c r="A23" s="195" t="s">
        <v>16</v>
      </c>
      <c r="B23" s="196"/>
      <c r="C23" s="196"/>
      <c r="D23" s="196"/>
      <c r="E23" s="196"/>
      <c r="F23" s="196"/>
      <c r="G23" s="196"/>
      <c r="H23" s="196"/>
      <c r="I23" s="196"/>
      <c r="J23" s="196"/>
      <c r="K23" s="196"/>
      <c r="L23" s="197"/>
      <c r="M23" s="1"/>
    </row>
    <row r="24" spans="1:13" ht="18.75" customHeight="1" thickBot="1" x14ac:dyDescent="0.3">
      <c r="A24" s="198"/>
      <c r="B24" s="199"/>
      <c r="C24" s="199"/>
      <c r="D24" s="199"/>
      <c r="E24" s="199"/>
      <c r="F24" s="199"/>
      <c r="G24" s="199"/>
      <c r="H24" s="199"/>
      <c r="I24" s="199"/>
      <c r="J24" s="199"/>
      <c r="K24" s="199"/>
      <c r="L24" s="200"/>
      <c r="M24" s="1"/>
    </row>
    <row r="25" spans="1:13" ht="18.75" customHeight="1" x14ac:dyDescent="0.25">
      <c r="A25" s="201" t="s">
        <v>249</v>
      </c>
      <c r="B25" s="202"/>
      <c r="C25" s="203"/>
      <c r="D25" s="204"/>
      <c r="E25" s="204"/>
      <c r="F25" s="204"/>
      <c r="G25" s="204"/>
      <c r="H25" s="204"/>
      <c r="I25" s="204"/>
      <c r="J25" s="204"/>
      <c r="K25" s="204"/>
      <c r="L25" s="205"/>
      <c r="M25" s="1"/>
    </row>
    <row r="26" spans="1:13" ht="18.75" customHeight="1" x14ac:dyDescent="0.25">
      <c r="A26" s="212" t="s">
        <v>17</v>
      </c>
      <c r="B26" s="213"/>
      <c r="C26" s="206" t="s">
        <v>18</v>
      </c>
      <c r="D26" s="207"/>
      <c r="E26" s="207"/>
      <c r="F26" s="207"/>
      <c r="G26" s="207"/>
      <c r="H26" s="207"/>
      <c r="I26" s="207"/>
      <c r="J26" s="207"/>
      <c r="K26" s="207"/>
      <c r="L26" s="208"/>
      <c r="M26" s="1"/>
    </row>
    <row r="27" spans="1:13" ht="18.75" customHeight="1" x14ac:dyDescent="0.25">
      <c r="A27" s="214" t="s">
        <v>250</v>
      </c>
      <c r="B27" s="215"/>
      <c r="C27" s="209"/>
      <c r="D27" s="210"/>
      <c r="E27" s="210"/>
      <c r="F27" s="210"/>
      <c r="G27" s="210"/>
      <c r="H27" s="210"/>
      <c r="I27" s="210"/>
      <c r="J27" s="210"/>
      <c r="K27" s="210"/>
      <c r="L27" s="211"/>
      <c r="M27" s="1"/>
    </row>
    <row r="28" spans="1:13" ht="20.25" customHeight="1" x14ac:dyDescent="0.25">
      <c r="A28" s="231" t="s">
        <v>19</v>
      </c>
      <c r="B28" s="232"/>
      <c r="C28" s="224"/>
      <c r="D28" s="225"/>
      <c r="E28" s="225"/>
      <c r="F28" s="225"/>
      <c r="G28" s="225"/>
      <c r="H28" s="225"/>
      <c r="I28" s="225"/>
      <c r="J28" s="225"/>
      <c r="K28" s="225"/>
      <c r="L28" s="226"/>
      <c r="M28" s="1"/>
    </row>
    <row r="29" spans="1:13" ht="15" customHeight="1" x14ac:dyDescent="0.25">
      <c r="A29" s="231" t="s">
        <v>253</v>
      </c>
      <c r="B29" s="232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M29" s="1"/>
    </row>
    <row r="30" spans="1:13" ht="18.75" customHeight="1" x14ac:dyDescent="0.25">
      <c r="A30" s="231" t="s">
        <v>20</v>
      </c>
      <c r="B30" s="232"/>
      <c r="C30" s="224"/>
      <c r="D30" s="225"/>
      <c r="E30" s="225"/>
      <c r="F30" s="225"/>
      <c r="G30" s="225"/>
      <c r="H30" s="225"/>
      <c r="I30" s="225"/>
      <c r="J30" s="225"/>
      <c r="K30" s="225"/>
      <c r="L30" s="226"/>
      <c r="M30" s="1"/>
    </row>
    <row r="31" spans="1:13" ht="18.75" customHeight="1" x14ac:dyDescent="0.25">
      <c r="A31" s="231" t="s">
        <v>253</v>
      </c>
      <c r="B31" s="232"/>
      <c r="C31" s="224"/>
      <c r="D31" s="225"/>
      <c r="E31" s="225"/>
      <c r="F31" s="225"/>
      <c r="G31" s="225"/>
      <c r="H31" s="225"/>
      <c r="I31" s="225"/>
      <c r="J31" s="225"/>
      <c r="K31" s="225"/>
      <c r="L31" s="226"/>
      <c r="M31" s="1"/>
    </row>
    <row r="32" spans="1:13" ht="18.75" customHeight="1" x14ac:dyDescent="0.25">
      <c r="A32" s="233" t="s">
        <v>254</v>
      </c>
      <c r="B32" s="234"/>
      <c r="C32" s="224"/>
      <c r="D32" s="225"/>
      <c r="E32" s="225"/>
      <c r="F32" s="225"/>
      <c r="G32" s="225"/>
      <c r="H32" s="225"/>
      <c r="I32" s="225"/>
      <c r="J32" s="225"/>
      <c r="K32" s="225"/>
      <c r="L32" s="226"/>
      <c r="M32" s="1"/>
    </row>
    <row r="33" spans="1:13" ht="17.25" customHeight="1" x14ac:dyDescent="0.25">
      <c r="A33" s="233" t="s">
        <v>253</v>
      </c>
      <c r="B33" s="234"/>
      <c r="C33" s="224"/>
      <c r="D33" s="225"/>
      <c r="E33" s="225"/>
      <c r="F33" s="225"/>
      <c r="G33" s="225"/>
      <c r="H33" s="225"/>
      <c r="I33" s="225"/>
      <c r="J33" s="225"/>
      <c r="K33" s="225"/>
      <c r="L33" s="226"/>
      <c r="M33" s="1"/>
    </row>
    <row r="34" spans="1:13" ht="18.75" customHeight="1" x14ac:dyDescent="0.25">
      <c r="A34" s="227" t="s">
        <v>251</v>
      </c>
      <c r="B34" s="228"/>
      <c r="C34" s="224"/>
      <c r="D34" s="225"/>
      <c r="E34" s="225"/>
      <c r="F34" s="225"/>
      <c r="G34" s="225"/>
      <c r="H34" s="225"/>
      <c r="I34" s="225"/>
      <c r="J34" s="225"/>
      <c r="K34" s="225"/>
      <c r="L34" s="226"/>
      <c r="M34" s="1"/>
    </row>
    <row r="35" spans="1:13" ht="18.75" customHeight="1" x14ac:dyDescent="0.25">
      <c r="A35" s="229" t="s">
        <v>21</v>
      </c>
      <c r="B35" s="230"/>
      <c r="C35" s="224"/>
      <c r="D35" s="225"/>
      <c r="E35" s="225"/>
      <c r="F35" s="225"/>
      <c r="G35" s="225"/>
      <c r="H35" s="225"/>
      <c r="I35" s="225"/>
      <c r="J35" s="225"/>
      <c r="K35" s="225"/>
      <c r="L35" s="226"/>
      <c r="M35" s="1"/>
    </row>
    <row r="36" spans="1:13" ht="18.75" customHeight="1" thickBot="1" x14ac:dyDescent="0.3">
      <c r="A36" s="262" t="s">
        <v>252</v>
      </c>
      <c r="B36" s="263"/>
      <c r="C36" s="264"/>
      <c r="D36" s="265"/>
      <c r="E36" s="265"/>
      <c r="F36" s="265"/>
      <c r="G36" s="265"/>
      <c r="H36" s="265"/>
      <c r="I36" s="265"/>
      <c r="J36" s="265"/>
      <c r="K36" s="265"/>
      <c r="L36" s="266"/>
      <c r="M36" s="1"/>
    </row>
    <row r="37" spans="1:13" ht="19.5" customHeight="1" thickBot="1" x14ac:dyDescent="0.3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1"/>
    </row>
    <row r="38" spans="1:13" ht="18.75" customHeight="1" x14ac:dyDescent="0.25">
      <c r="A38" s="235" t="s">
        <v>435</v>
      </c>
      <c r="B38" s="236"/>
      <c r="C38" s="236"/>
      <c r="D38" s="236"/>
      <c r="E38" s="236"/>
      <c r="F38" s="236"/>
      <c r="G38" s="236"/>
      <c r="H38" s="236"/>
      <c r="I38" s="236"/>
      <c r="J38" s="236"/>
      <c r="K38" s="236"/>
      <c r="L38" s="237"/>
      <c r="M38" s="1"/>
    </row>
    <row r="39" spans="1:13" ht="18.75" customHeight="1" thickBot="1" x14ac:dyDescent="0.3">
      <c r="A39" s="267"/>
      <c r="B39" s="268"/>
      <c r="C39" s="268"/>
      <c r="D39" s="268"/>
      <c r="E39" s="268"/>
      <c r="F39" s="268"/>
      <c r="G39" s="268"/>
      <c r="H39" s="268"/>
      <c r="I39" s="268"/>
      <c r="J39" s="268"/>
      <c r="K39" s="268"/>
      <c r="L39" s="269"/>
      <c r="M39" s="1"/>
    </row>
    <row r="40" spans="1:13" ht="18.75" customHeight="1" thickBot="1" x14ac:dyDescent="0.3">
      <c r="A40" s="241"/>
      <c r="B40" s="242"/>
      <c r="C40" s="242"/>
      <c r="D40" s="242"/>
      <c r="E40" s="242"/>
      <c r="F40" s="242"/>
      <c r="G40" s="242"/>
      <c r="H40" s="242"/>
      <c r="I40" s="242"/>
      <c r="J40" s="242"/>
      <c r="K40" s="242"/>
      <c r="L40" s="243"/>
      <c r="M40" s="1"/>
    </row>
    <row r="41" spans="1:13" ht="18.75" customHeight="1" thickBot="1" x14ac:dyDescent="0.3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1"/>
    </row>
    <row r="42" spans="1:13" ht="18.75" customHeight="1" x14ac:dyDescent="0.25">
      <c r="A42" s="235" t="s">
        <v>436</v>
      </c>
      <c r="B42" s="236"/>
      <c r="C42" s="236"/>
      <c r="D42" s="236"/>
      <c r="E42" s="236"/>
      <c r="F42" s="236"/>
      <c r="G42" s="236"/>
      <c r="H42" s="236"/>
      <c r="I42" s="236"/>
      <c r="J42" s="236"/>
      <c r="K42" s="236"/>
      <c r="L42" s="237"/>
      <c r="M42" s="1"/>
    </row>
    <row r="43" spans="1:13" ht="29.25" customHeight="1" thickBot="1" x14ac:dyDescent="0.3">
      <c r="A43" s="238"/>
      <c r="B43" s="239"/>
      <c r="C43" s="239"/>
      <c r="D43" s="239"/>
      <c r="E43" s="239"/>
      <c r="F43" s="239"/>
      <c r="G43" s="239"/>
      <c r="H43" s="239"/>
      <c r="I43" s="239"/>
      <c r="J43" s="239"/>
      <c r="K43" s="239"/>
      <c r="L43" s="240"/>
      <c r="M43" s="1"/>
    </row>
    <row r="44" spans="1:13" ht="19.5" customHeight="1" thickBot="1" x14ac:dyDescent="0.3">
      <c r="A44" s="241"/>
      <c r="B44" s="242"/>
      <c r="C44" s="242"/>
      <c r="D44" s="242"/>
      <c r="E44" s="242"/>
      <c r="F44" s="242"/>
      <c r="G44" s="242"/>
      <c r="H44" s="242"/>
      <c r="I44" s="242"/>
      <c r="J44" s="242"/>
      <c r="K44" s="242"/>
      <c r="L44" s="243"/>
      <c r="M44" s="1"/>
    </row>
    <row r="45" spans="1:13" ht="17.25" customHeight="1" thickBot="1" x14ac:dyDescent="0.3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1"/>
    </row>
    <row r="46" spans="1:13" ht="17.25" customHeight="1" x14ac:dyDescent="0.25">
      <c r="A46" s="235" t="s">
        <v>437</v>
      </c>
      <c r="B46" s="236"/>
      <c r="C46" s="236"/>
      <c r="D46" s="236"/>
      <c r="E46" s="236"/>
      <c r="F46" s="236"/>
      <c r="G46" s="236"/>
      <c r="H46" s="236"/>
      <c r="I46" s="236"/>
      <c r="J46" s="236"/>
      <c r="K46" s="236"/>
      <c r="L46" s="237"/>
      <c r="M46" s="1"/>
    </row>
    <row r="47" spans="1:13" ht="20.25" customHeight="1" thickBot="1" x14ac:dyDescent="0.3">
      <c r="A47" s="238"/>
      <c r="B47" s="239"/>
      <c r="C47" s="239"/>
      <c r="D47" s="239"/>
      <c r="E47" s="239"/>
      <c r="F47" s="239"/>
      <c r="G47" s="239"/>
      <c r="H47" s="239"/>
      <c r="I47" s="239"/>
      <c r="J47" s="239"/>
      <c r="K47" s="239"/>
      <c r="L47" s="240"/>
      <c r="M47" s="1"/>
    </row>
    <row r="48" spans="1:13" ht="18" customHeight="1" thickBot="1" x14ac:dyDescent="0.3">
      <c r="A48" s="241"/>
      <c r="B48" s="242"/>
      <c r="C48" s="242"/>
      <c r="D48" s="242"/>
      <c r="E48" s="242"/>
      <c r="F48" s="242"/>
      <c r="G48" s="242"/>
      <c r="H48" s="242"/>
      <c r="I48" s="242"/>
      <c r="J48" s="242"/>
      <c r="K48" s="242"/>
      <c r="L48" s="243"/>
      <c r="M48" s="1"/>
    </row>
    <row r="49" spans="1:13" ht="18.75" customHeight="1" thickBot="1" x14ac:dyDescent="0.3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1"/>
    </row>
    <row r="50" spans="1:13" ht="18.75" customHeight="1" x14ac:dyDescent="0.25">
      <c r="A50" s="235" t="s">
        <v>438</v>
      </c>
      <c r="B50" s="236"/>
      <c r="C50" s="236"/>
      <c r="D50" s="236"/>
      <c r="E50" s="236"/>
      <c r="F50" s="236"/>
      <c r="G50" s="236"/>
      <c r="H50" s="236"/>
      <c r="I50" s="236"/>
      <c r="J50" s="236"/>
      <c r="K50" s="236"/>
      <c r="L50" s="237"/>
      <c r="M50" s="1"/>
    </row>
    <row r="51" spans="1:13" ht="18.75" customHeight="1" thickBot="1" x14ac:dyDescent="0.3">
      <c r="A51" s="238"/>
      <c r="B51" s="239"/>
      <c r="C51" s="239"/>
      <c r="D51" s="239"/>
      <c r="E51" s="239"/>
      <c r="F51" s="239"/>
      <c r="G51" s="239"/>
      <c r="H51" s="239"/>
      <c r="I51" s="239"/>
      <c r="J51" s="239"/>
      <c r="K51" s="239"/>
      <c r="L51" s="240"/>
      <c r="M51" s="1"/>
    </row>
    <row r="52" spans="1:13" ht="18.75" customHeight="1" thickBot="1" x14ac:dyDescent="0.3">
      <c r="A52" s="241"/>
      <c r="B52" s="242"/>
      <c r="C52" s="242"/>
      <c r="D52" s="242"/>
      <c r="E52" s="242"/>
      <c r="F52" s="242"/>
      <c r="G52" s="242"/>
      <c r="H52" s="242"/>
      <c r="I52" s="242"/>
      <c r="J52" s="242"/>
      <c r="K52" s="242"/>
      <c r="L52" s="243"/>
      <c r="M52" s="1"/>
    </row>
    <row r="53" spans="1:13" ht="18.75" customHeight="1" thickBot="1" x14ac:dyDescent="0.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1"/>
    </row>
    <row r="54" spans="1:13" ht="18" customHeight="1" thickBot="1" x14ac:dyDescent="0.3">
      <c r="A54" s="429" t="s">
        <v>439</v>
      </c>
      <c r="B54" s="430"/>
      <c r="C54" s="430"/>
      <c r="D54" s="430"/>
      <c r="E54" s="430"/>
      <c r="F54" s="430"/>
      <c r="G54" s="430"/>
      <c r="H54" s="430"/>
      <c r="I54" s="430"/>
      <c r="J54" s="430"/>
      <c r="K54" s="430"/>
      <c r="L54" s="431"/>
      <c r="M54" s="1"/>
    </row>
    <row r="55" spans="1:13" ht="18.75" customHeight="1" x14ac:dyDescent="0.25">
      <c r="A55" s="432" t="s">
        <v>440</v>
      </c>
      <c r="B55" s="328"/>
      <c r="C55" s="328"/>
      <c r="D55" s="328"/>
      <c r="E55" s="328"/>
      <c r="F55" s="328"/>
      <c r="G55" s="328"/>
      <c r="H55" s="328"/>
      <c r="I55" s="328"/>
      <c r="J55" s="328"/>
      <c r="K55" s="328"/>
      <c r="L55" s="433"/>
      <c r="M55" s="1"/>
    </row>
    <row r="56" spans="1:13" ht="18.75" customHeight="1" x14ac:dyDescent="0.25">
      <c r="A56" s="434"/>
      <c r="B56" s="435"/>
      <c r="C56" s="435"/>
      <c r="D56" s="435"/>
      <c r="E56" s="435"/>
      <c r="F56" s="435"/>
      <c r="G56" s="435"/>
      <c r="H56" s="435"/>
      <c r="I56" s="435"/>
      <c r="J56" s="435"/>
      <c r="K56" s="435"/>
      <c r="L56" s="436"/>
      <c r="M56" s="1"/>
    </row>
    <row r="57" spans="1:13" ht="17.25" customHeight="1" x14ac:dyDescent="0.25">
      <c r="A57" s="437" t="s">
        <v>289</v>
      </c>
      <c r="B57" s="247"/>
      <c r="C57" s="247"/>
      <c r="D57" s="247"/>
      <c r="E57" s="247"/>
      <c r="F57" s="247"/>
      <c r="G57" s="247"/>
      <c r="H57" s="247"/>
      <c r="I57" s="247"/>
      <c r="J57" s="248"/>
      <c r="K57" s="438" t="s">
        <v>282</v>
      </c>
      <c r="L57" s="174"/>
      <c r="M57" s="1"/>
    </row>
    <row r="58" spans="1:13" ht="18.75" customHeight="1" x14ac:dyDescent="0.25">
      <c r="A58" s="439"/>
      <c r="B58" s="215" t="s">
        <v>290</v>
      </c>
      <c r="C58" s="247"/>
      <c r="D58" s="247"/>
      <c r="E58" s="247"/>
      <c r="F58" s="247"/>
      <c r="G58" s="247"/>
      <c r="H58" s="247"/>
      <c r="I58" s="247"/>
      <c r="J58" s="248"/>
      <c r="K58" s="442">
        <f>K89</f>
        <v>0</v>
      </c>
      <c r="L58" s="443"/>
      <c r="M58" s="1"/>
    </row>
    <row r="59" spans="1:13" ht="18.75" customHeight="1" x14ac:dyDescent="0.25">
      <c r="A59" s="440"/>
      <c r="B59" s="250"/>
      <c r="C59" s="250"/>
      <c r="D59" s="250"/>
      <c r="E59" s="250"/>
      <c r="F59" s="250"/>
      <c r="G59" s="250"/>
      <c r="H59" s="250"/>
      <c r="I59" s="250"/>
      <c r="J59" s="251"/>
      <c r="K59" s="334"/>
      <c r="L59" s="444"/>
      <c r="M59" s="1"/>
    </row>
    <row r="60" spans="1:13" ht="18.75" customHeight="1" x14ac:dyDescent="0.25">
      <c r="A60" s="440"/>
      <c r="B60" s="445" t="s">
        <v>291</v>
      </c>
      <c r="C60" s="247"/>
      <c r="D60" s="247"/>
      <c r="E60" s="247"/>
      <c r="F60" s="247"/>
      <c r="G60" s="247"/>
      <c r="H60" s="247"/>
      <c r="I60" s="247"/>
      <c r="J60" s="248"/>
      <c r="K60" s="334"/>
      <c r="L60" s="444"/>
      <c r="M60" s="1"/>
    </row>
    <row r="61" spans="1:13" ht="18.75" customHeight="1" x14ac:dyDescent="0.25">
      <c r="A61" s="441"/>
      <c r="B61" s="250"/>
      <c r="C61" s="250"/>
      <c r="D61" s="250"/>
      <c r="E61" s="250"/>
      <c r="F61" s="250"/>
      <c r="G61" s="250"/>
      <c r="H61" s="250"/>
      <c r="I61" s="250"/>
      <c r="J61" s="251"/>
      <c r="K61" s="334"/>
      <c r="L61" s="444"/>
      <c r="M61" s="1"/>
    </row>
    <row r="62" spans="1:13" ht="18.75" customHeight="1" x14ac:dyDescent="0.25">
      <c r="A62" s="446"/>
      <c r="B62" s="246" t="s">
        <v>292</v>
      </c>
      <c r="C62" s="247"/>
      <c r="D62" s="247"/>
      <c r="E62" s="247"/>
      <c r="F62" s="247"/>
      <c r="G62" s="247"/>
      <c r="H62" s="247"/>
      <c r="I62" s="247"/>
      <c r="J62" s="248"/>
      <c r="K62" s="334"/>
      <c r="L62" s="444"/>
      <c r="M62" s="1"/>
    </row>
    <row r="63" spans="1:13" ht="23.25" customHeight="1" x14ac:dyDescent="0.25">
      <c r="A63" s="245"/>
      <c r="B63" s="249"/>
      <c r="C63" s="250"/>
      <c r="D63" s="250"/>
      <c r="E63" s="250"/>
      <c r="F63" s="250"/>
      <c r="G63" s="250"/>
      <c r="H63" s="250"/>
      <c r="I63" s="250"/>
      <c r="J63" s="251"/>
      <c r="K63" s="334"/>
      <c r="L63" s="444"/>
      <c r="M63" s="1"/>
    </row>
    <row r="64" spans="1:13" ht="18.75" customHeight="1" x14ac:dyDescent="0.25">
      <c r="A64" s="244"/>
      <c r="B64" s="246" t="s">
        <v>293</v>
      </c>
      <c r="C64" s="247"/>
      <c r="D64" s="247"/>
      <c r="E64" s="247"/>
      <c r="F64" s="247"/>
      <c r="G64" s="247"/>
      <c r="H64" s="247"/>
      <c r="I64" s="247"/>
      <c r="J64" s="248"/>
      <c r="K64" s="334"/>
      <c r="L64" s="444"/>
      <c r="M64" s="1"/>
    </row>
    <row r="65" spans="1:13" ht="18.75" customHeight="1" x14ac:dyDescent="0.25">
      <c r="A65" s="245"/>
      <c r="B65" s="249"/>
      <c r="C65" s="250"/>
      <c r="D65" s="250"/>
      <c r="E65" s="250"/>
      <c r="F65" s="250"/>
      <c r="G65" s="250"/>
      <c r="H65" s="250"/>
      <c r="I65" s="250"/>
      <c r="J65" s="251"/>
      <c r="K65" s="334"/>
      <c r="L65" s="444"/>
      <c r="M65" s="1"/>
    </row>
    <row r="66" spans="1:13" ht="18.75" customHeight="1" x14ac:dyDescent="0.25">
      <c r="A66" s="244"/>
      <c r="B66" s="447" t="s">
        <v>294</v>
      </c>
      <c r="C66" s="247"/>
      <c r="D66" s="247"/>
      <c r="E66" s="247"/>
      <c r="F66" s="247"/>
      <c r="G66" s="247"/>
      <c r="H66" s="247"/>
      <c r="I66" s="247"/>
      <c r="J66" s="248"/>
      <c r="K66" s="334"/>
      <c r="L66" s="444"/>
      <c r="M66" s="1"/>
    </row>
    <row r="67" spans="1:13" ht="18.75" customHeight="1" x14ac:dyDescent="0.25">
      <c r="A67" s="245"/>
      <c r="B67" s="249"/>
      <c r="C67" s="250"/>
      <c r="D67" s="250"/>
      <c r="E67" s="250"/>
      <c r="F67" s="250"/>
      <c r="G67" s="250"/>
      <c r="H67" s="250"/>
      <c r="I67" s="250"/>
      <c r="J67" s="251"/>
      <c r="K67" s="334"/>
      <c r="L67" s="444"/>
      <c r="M67" s="1"/>
    </row>
    <row r="68" spans="1:13" ht="18.75" customHeight="1" x14ac:dyDescent="0.25">
      <c r="A68" s="244"/>
      <c r="B68" s="246" t="s">
        <v>295</v>
      </c>
      <c r="C68" s="247"/>
      <c r="D68" s="247"/>
      <c r="E68" s="247"/>
      <c r="F68" s="247"/>
      <c r="G68" s="247"/>
      <c r="H68" s="247"/>
      <c r="I68" s="247"/>
      <c r="J68" s="248"/>
      <c r="K68" s="334"/>
      <c r="L68" s="444"/>
      <c r="M68" s="1"/>
    </row>
    <row r="69" spans="1:13" ht="12" customHeight="1" x14ac:dyDescent="0.25">
      <c r="A69" s="245"/>
      <c r="B69" s="249"/>
      <c r="C69" s="250"/>
      <c r="D69" s="250"/>
      <c r="E69" s="250"/>
      <c r="F69" s="250"/>
      <c r="G69" s="250"/>
      <c r="H69" s="250"/>
      <c r="I69" s="250"/>
      <c r="J69" s="251"/>
      <c r="K69" s="334"/>
      <c r="L69" s="444"/>
      <c r="M69" s="1"/>
    </row>
    <row r="70" spans="1:13" ht="21" customHeight="1" x14ac:dyDescent="0.25">
      <c r="A70" s="244"/>
      <c r="B70" s="246" t="s">
        <v>296</v>
      </c>
      <c r="C70" s="247"/>
      <c r="D70" s="247"/>
      <c r="E70" s="247"/>
      <c r="F70" s="247"/>
      <c r="G70" s="247"/>
      <c r="H70" s="247"/>
      <c r="I70" s="247"/>
      <c r="J70" s="248"/>
      <c r="K70" s="334"/>
      <c r="L70" s="444"/>
      <c r="M70" s="1"/>
    </row>
    <row r="71" spans="1:13" ht="18.75" customHeight="1" x14ac:dyDescent="0.25">
      <c r="A71" s="245"/>
      <c r="B71" s="249"/>
      <c r="C71" s="250"/>
      <c r="D71" s="250"/>
      <c r="E71" s="250"/>
      <c r="F71" s="250"/>
      <c r="G71" s="250"/>
      <c r="H71" s="250"/>
      <c r="I71" s="250"/>
      <c r="J71" s="251"/>
      <c r="K71" s="334"/>
      <c r="L71" s="444"/>
      <c r="M71" s="1"/>
    </row>
    <row r="72" spans="1:13" ht="18.75" customHeight="1" x14ac:dyDescent="0.25">
      <c r="A72" s="244"/>
      <c r="B72" s="246" t="s">
        <v>297</v>
      </c>
      <c r="C72" s="247"/>
      <c r="D72" s="247"/>
      <c r="E72" s="247"/>
      <c r="F72" s="247"/>
      <c r="G72" s="247"/>
      <c r="H72" s="247"/>
      <c r="I72" s="247"/>
      <c r="J72" s="248"/>
      <c r="K72" s="334"/>
      <c r="L72" s="444"/>
      <c r="M72" s="1"/>
    </row>
    <row r="73" spans="1:13" ht="18.75" customHeight="1" x14ac:dyDescent="0.25">
      <c r="A73" s="245"/>
      <c r="B73" s="249"/>
      <c r="C73" s="250"/>
      <c r="D73" s="250"/>
      <c r="E73" s="250"/>
      <c r="F73" s="250"/>
      <c r="G73" s="250"/>
      <c r="H73" s="250"/>
      <c r="I73" s="250"/>
      <c r="J73" s="251"/>
      <c r="K73" s="334"/>
      <c r="L73" s="444"/>
      <c r="M73" s="1"/>
    </row>
    <row r="74" spans="1:13" ht="12" customHeight="1" x14ac:dyDescent="0.25">
      <c r="A74" s="244"/>
      <c r="B74" s="246" t="s">
        <v>298</v>
      </c>
      <c r="C74" s="247"/>
      <c r="D74" s="247"/>
      <c r="E74" s="247"/>
      <c r="F74" s="247"/>
      <c r="G74" s="247"/>
      <c r="H74" s="247"/>
      <c r="I74" s="247"/>
      <c r="J74" s="248"/>
      <c r="K74" s="334"/>
      <c r="L74" s="444"/>
      <c r="M74" s="1"/>
    </row>
    <row r="75" spans="1:13" ht="18.75" customHeight="1" thickBot="1" x14ac:dyDescent="0.3">
      <c r="A75" s="252"/>
      <c r="B75" s="253"/>
      <c r="C75" s="254"/>
      <c r="D75" s="254"/>
      <c r="E75" s="254"/>
      <c r="F75" s="254"/>
      <c r="G75" s="254"/>
      <c r="H75" s="254"/>
      <c r="I75" s="254"/>
      <c r="J75" s="255"/>
      <c r="K75" s="253"/>
      <c r="L75" s="318"/>
      <c r="M75" s="1"/>
    </row>
    <row r="76" spans="1:13" ht="18.75" customHeight="1" thickBot="1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1"/>
    </row>
    <row r="77" spans="1:13" ht="18.75" customHeight="1" x14ac:dyDescent="0.25">
      <c r="A77" s="256" t="s">
        <v>441</v>
      </c>
      <c r="B77" s="257"/>
      <c r="C77" s="257"/>
      <c r="D77" s="257"/>
      <c r="E77" s="257"/>
      <c r="F77" s="257"/>
      <c r="G77" s="257"/>
      <c r="H77" s="257"/>
      <c r="I77" s="257"/>
      <c r="J77" s="257"/>
      <c r="K77" s="257"/>
      <c r="L77" s="258"/>
      <c r="M77" s="1"/>
    </row>
    <row r="78" spans="1:13" ht="18.75" customHeight="1" thickBot="1" x14ac:dyDescent="0.3">
      <c r="A78" s="259"/>
      <c r="B78" s="260"/>
      <c r="C78" s="260"/>
      <c r="D78" s="260"/>
      <c r="E78" s="260"/>
      <c r="F78" s="260"/>
      <c r="G78" s="260"/>
      <c r="H78" s="260"/>
      <c r="I78" s="260"/>
      <c r="J78" s="260"/>
      <c r="K78" s="260"/>
      <c r="L78" s="261"/>
      <c r="M78" s="1"/>
    </row>
    <row r="79" spans="1:13" ht="18.75" customHeight="1" x14ac:dyDescent="0.25">
      <c r="A79" s="455" t="s">
        <v>299</v>
      </c>
      <c r="B79" s="456"/>
      <c r="C79" s="456"/>
      <c r="D79" s="456"/>
      <c r="E79" s="456"/>
      <c r="F79" s="456"/>
      <c r="G79" s="456"/>
      <c r="H79" s="456"/>
      <c r="I79" s="456"/>
      <c r="J79" s="457"/>
      <c r="K79" s="448" t="s">
        <v>23</v>
      </c>
      <c r="L79" s="444"/>
      <c r="M79" s="1"/>
    </row>
    <row r="80" spans="1:13" ht="18.75" customHeight="1" x14ac:dyDescent="0.25">
      <c r="A80" s="451"/>
      <c r="B80" s="250"/>
      <c r="C80" s="250"/>
      <c r="D80" s="250"/>
      <c r="E80" s="250"/>
      <c r="F80" s="250"/>
      <c r="G80" s="250"/>
      <c r="H80" s="250"/>
      <c r="I80" s="250"/>
      <c r="J80" s="251"/>
      <c r="K80" s="249"/>
      <c r="L80" s="449"/>
      <c r="M80" s="1"/>
    </row>
    <row r="81" spans="1:33" ht="18.75" customHeight="1" x14ac:dyDescent="0.25">
      <c r="A81" s="450" t="s">
        <v>300</v>
      </c>
      <c r="B81" s="247"/>
      <c r="C81" s="247"/>
      <c r="D81" s="247"/>
      <c r="E81" s="247"/>
      <c r="F81" s="247"/>
      <c r="G81" s="247"/>
      <c r="H81" s="247"/>
      <c r="I81" s="247"/>
      <c r="J81" s="248"/>
      <c r="K81" s="442">
        <f>SUM(K148,K154,K200,K208,K216,G146)</f>
        <v>0</v>
      </c>
      <c r="L81" s="443"/>
      <c r="M81" s="1"/>
    </row>
    <row r="82" spans="1:33" ht="18.75" customHeight="1" x14ac:dyDescent="0.25">
      <c r="A82" s="451"/>
      <c r="B82" s="250"/>
      <c r="C82" s="250"/>
      <c r="D82" s="250"/>
      <c r="E82" s="250"/>
      <c r="F82" s="250"/>
      <c r="G82" s="250"/>
      <c r="H82" s="250"/>
      <c r="I82" s="250"/>
      <c r="J82" s="251"/>
      <c r="K82" s="249"/>
      <c r="L82" s="449"/>
      <c r="M82" s="1"/>
    </row>
    <row r="83" spans="1:33" ht="18.75" customHeight="1" x14ac:dyDescent="0.25">
      <c r="A83" s="450" t="s">
        <v>301</v>
      </c>
      <c r="B83" s="247"/>
      <c r="C83" s="247"/>
      <c r="D83" s="247"/>
      <c r="E83" s="247"/>
      <c r="F83" s="247"/>
      <c r="G83" s="247"/>
      <c r="H83" s="247"/>
      <c r="I83" s="247"/>
      <c r="J83" s="248"/>
      <c r="K83" s="442">
        <f>SUM(K255,K259)</f>
        <v>0</v>
      </c>
      <c r="L83" s="443"/>
      <c r="M83" s="1"/>
    </row>
    <row r="84" spans="1:33" ht="18.75" customHeight="1" x14ac:dyDescent="0.25">
      <c r="A84" s="451"/>
      <c r="B84" s="250"/>
      <c r="C84" s="250"/>
      <c r="D84" s="250"/>
      <c r="E84" s="250"/>
      <c r="F84" s="250"/>
      <c r="G84" s="250"/>
      <c r="H84" s="250"/>
      <c r="I84" s="250"/>
      <c r="J84" s="251"/>
      <c r="K84" s="249"/>
      <c r="L84" s="449"/>
      <c r="M84" s="1"/>
    </row>
    <row r="85" spans="1:33" ht="18.75" customHeight="1" x14ac:dyDescent="0.25">
      <c r="A85" s="450" t="s">
        <v>302</v>
      </c>
      <c r="B85" s="247"/>
      <c r="C85" s="247"/>
      <c r="D85" s="247"/>
      <c r="E85" s="247"/>
      <c r="F85" s="247"/>
      <c r="G85" s="247"/>
      <c r="H85" s="247"/>
      <c r="I85" s="247"/>
      <c r="J85" s="248"/>
      <c r="K85" s="442">
        <f>K267</f>
        <v>0</v>
      </c>
      <c r="L85" s="443"/>
      <c r="M85" s="1"/>
    </row>
    <row r="86" spans="1:33" ht="18.75" customHeight="1" x14ac:dyDescent="0.25">
      <c r="A86" s="451"/>
      <c r="B86" s="250"/>
      <c r="C86" s="250"/>
      <c r="D86" s="250"/>
      <c r="E86" s="250"/>
      <c r="F86" s="250"/>
      <c r="G86" s="250"/>
      <c r="H86" s="250"/>
      <c r="I86" s="250"/>
      <c r="J86" s="251"/>
      <c r="K86" s="249"/>
      <c r="L86" s="449"/>
      <c r="M86" s="1"/>
    </row>
    <row r="87" spans="1:33" ht="18.75" customHeight="1" x14ac:dyDescent="0.25">
      <c r="A87" s="450" t="s">
        <v>303</v>
      </c>
      <c r="B87" s="247"/>
      <c r="C87" s="247"/>
      <c r="D87" s="247"/>
      <c r="E87" s="247"/>
      <c r="F87" s="247"/>
      <c r="G87" s="247"/>
      <c r="H87" s="247"/>
      <c r="I87" s="247"/>
      <c r="J87" s="248"/>
      <c r="K87" s="442">
        <f>K271</f>
        <v>0</v>
      </c>
      <c r="L87" s="443"/>
      <c r="M87" s="1"/>
    </row>
    <row r="88" spans="1:33" ht="18.75" customHeight="1" x14ac:dyDescent="0.25">
      <c r="A88" s="451"/>
      <c r="B88" s="250"/>
      <c r="C88" s="250"/>
      <c r="D88" s="250"/>
      <c r="E88" s="250"/>
      <c r="F88" s="250"/>
      <c r="G88" s="250"/>
      <c r="H88" s="250"/>
      <c r="I88" s="250"/>
      <c r="J88" s="251"/>
      <c r="K88" s="249"/>
      <c r="L88" s="449"/>
      <c r="M88" s="1"/>
    </row>
    <row r="89" spans="1:33" ht="18.75" customHeight="1" x14ac:dyDescent="0.25">
      <c r="A89" s="452" t="s">
        <v>282</v>
      </c>
      <c r="B89" s="247"/>
      <c r="C89" s="247"/>
      <c r="D89" s="247"/>
      <c r="E89" s="247"/>
      <c r="F89" s="247"/>
      <c r="G89" s="247"/>
      <c r="H89" s="247"/>
      <c r="I89" s="247"/>
      <c r="J89" s="248"/>
      <c r="K89" s="454">
        <f>SUM(K81:L88)</f>
        <v>0</v>
      </c>
      <c r="L89" s="443"/>
      <c r="M89" s="1"/>
    </row>
    <row r="90" spans="1:33" ht="14.25" customHeight="1" thickBot="1" x14ac:dyDescent="0.3">
      <c r="A90" s="453"/>
      <c r="B90" s="254"/>
      <c r="C90" s="254"/>
      <c r="D90" s="254"/>
      <c r="E90" s="254"/>
      <c r="F90" s="254"/>
      <c r="G90" s="254"/>
      <c r="H90" s="254"/>
      <c r="I90" s="254"/>
      <c r="J90" s="255"/>
      <c r="K90" s="253"/>
      <c r="L90" s="318"/>
      <c r="M90" s="1"/>
    </row>
    <row r="91" spans="1:33" ht="15" customHeight="1" thickBot="1" x14ac:dyDescent="0.3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1"/>
    </row>
    <row r="92" spans="1:33" ht="18.75" customHeight="1" x14ac:dyDescent="0.25">
      <c r="A92" s="314" t="s">
        <v>442</v>
      </c>
      <c r="B92" s="257"/>
      <c r="C92" s="257"/>
      <c r="D92" s="257"/>
      <c r="E92" s="257"/>
      <c r="F92" s="257"/>
      <c r="G92" s="257"/>
      <c r="H92" s="257"/>
      <c r="I92" s="257"/>
      <c r="J92" s="257"/>
      <c r="K92" s="257"/>
      <c r="L92" s="258"/>
      <c r="M92" s="1"/>
    </row>
    <row r="93" spans="1:33" ht="18" customHeight="1" thickBot="1" x14ac:dyDescent="0.3">
      <c r="A93" s="259"/>
      <c r="B93" s="260"/>
      <c r="C93" s="260"/>
      <c r="D93" s="260"/>
      <c r="E93" s="260"/>
      <c r="F93" s="260"/>
      <c r="G93" s="260"/>
      <c r="H93" s="260"/>
      <c r="I93" s="260"/>
      <c r="J93" s="260"/>
      <c r="K93" s="260"/>
      <c r="L93" s="261"/>
      <c r="M93" s="1"/>
    </row>
    <row r="94" spans="1:33" ht="40.5" customHeight="1" thickBot="1" x14ac:dyDescent="0.3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23"/>
      <c r="Z94" s="23"/>
      <c r="AA94" s="23"/>
      <c r="AB94" s="23"/>
      <c r="AC94" s="23"/>
      <c r="AD94" s="23"/>
      <c r="AE94" s="23"/>
      <c r="AF94" s="23"/>
      <c r="AG94" s="23"/>
    </row>
    <row r="95" spans="1:33" ht="18.75" customHeight="1" x14ac:dyDescent="0.25">
      <c r="A95" s="458" t="s">
        <v>412</v>
      </c>
      <c r="B95" s="459"/>
      <c r="C95" s="459"/>
      <c r="D95" s="459"/>
      <c r="E95" s="459"/>
      <c r="F95" s="459"/>
      <c r="G95" s="459"/>
      <c r="H95" s="459"/>
      <c r="I95" s="459"/>
      <c r="J95" s="460"/>
      <c r="K95" s="461"/>
      <c r="L95" s="317"/>
      <c r="M95" s="23"/>
      <c r="Z95" s="23"/>
      <c r="AA95" s="23"/>
      <c r="AB95" s="23"/>
      <c r="AC95" s="23"/>
      <c r="AD95" s="23"/>
      <c r="AE95" s="23"/>
      <c r="AF95" s="23"/>
      <c r="AG95" s="23"/>
    </row>
    <row r="96" spans="1:33" ht="18.75" customHeight="1" x14ac:dyDescent="0.25">
      <c r="A96" s="451"/>
      <c r="B96" s="250"/>
      <c r="C96" s="250"/>
      <c r="D96" s="250"/>
      <c r="E96" s="250"/>
      <c r="F96" s="250"/>
      <c r="G96" s="250"/>
      <c r="H96" s="250"/>
      <c r="I96" s="250"/>
      <c r="J96" s="251"/>
      <c r="K96" s="249"/>
      <c r="L96" s="449"/>
      <c r="M96" s="23"/>
      <c r="Z96" s="23"/>
      <c r="AA96" s="23"/>
      <c r="AB96" s="23"/>
      <c r="AC96" s="23"/>
      <c r="AD96" s="23"/>
      <c r="AE96" s="23"/>
      <c r="AF96" s="23"/>
      <c r="AG96" s="23"/>
    </row>
    <row r="97" spans="1:33" ht="18.75" customHeight="1" x14ac:dyDescent="0.25">
      <c r="A97" s="462" t="s">
        <v>413</v>
      </c>
      <c r="B97" s="247"/>
      <c r="C97" s="247"/>
      <c r="D97" s="247"/>
      <c r="E97" s="247"/>
      <c r="F97" s="247"/>
      <c r="G97" s="247"/>
      <c r="H97" s="247"/>
      <c r="I97" s="247"/>
      <c r="J97" s="248"/>
      <c r="K97" s="463"/>
      <c r="L97" s="443"/>
      <c r="M97" s="23"/>
      <c r="Z97" s="23"/>
      <c r="AA97" s="23"/>
      <c r="AB97" s="23"/>
      <c r="AC97" s="23"/>
      <c r="AD97" s="23"/>
      <c r="AE97" s="23"/>
      <c r="AF97" s="23"/>
      <c r="AG97" s="29" t="s">
        <v>57</v>
      </c>
    </row>
    <row r="98" spans="1:33" ht="18.75" customHeight="1" thickBot="1" x14ac:dyDescent="0.3">
      <c r="A98" s="453"/>
      <c r="B98" s="254"/>
      <c r="C98" s="254"/>
      <c r="D98" s="254"/>
      <c r="E98" s="254"/>
      <c r="F98" s="254"/>
      <c r="G98" s="254"/>
      <c r="H98" s="254"/>
      <c r="I98" s="254"/>
      <c r="J98" s="255"/>
      <c r="K98" s="253"/>
      <c r="L98" s="318"/>
      <c r="M98" s="23"/>
      <c r="Z98" s="23"/>
      <c r="AA98" s="23"/>
      <c r="AB98" s="23"/>
      <c r="AC98" s="23"/>
      <c r="AD98" s="23"/>
      <c r="AE98" s="23"/>
      <c r="AF98" s="23"/>
      <c r="AG98" s="29" t="s">
        <v>61</v>
      </c>
    </row>
    <row r="99" spans="1:33" ht="18.75" customHeight="1" thickBot="1" x14ac:dyDescent="0.3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23"/>
      <c r="Z99" s="23"/>
      <c r="AA99" s="23"/>
      <c r="AB99" s="23"/>
      <c r="AC99" s="23"/>
      <c r="AD99" s="23"/>
      <c r="AE99" s="23"/>
      <c r="AF99" s="23"/>
      <c r="AG99" s="29" t="s">
        <v>65</v>
      </c>
    </row>
    <row r="100" spans="1:33" ht="19.5" customHeight="1" x14ac:dyDescent="0.25">
      <c r="A100" s="195" t="s">
        <v>443</v>
      </c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7"/>
      <c r="M100" s="23"/>
      <c r="Z100" s="23"/>
      <c r="AA100" s="23"/>
      <c r="AB100" s="23"/>
      <c r="AC100" s="23"/>
      <c r="AD100" s="23"/>
      <c r="AE100" s="23"/>
      <c r="AF100" s="23"/>
      <c r="AG100" s="29" t="s">
        <v>69</v>
      </c>
    </row>
    <row r="101" spans="1:33" ht="18.75" customHeight="1" thickBot="1" x14ac:dyDescent="0.3">
      <c r="A101" s="198"/>
      <c r="B101" s="199"/>
      <c r="C101" s="199"/>
      <c r="D101" s="199"/>
      <c r="E101" s="199"/>
      <c r="F101" s="199"/>
      <c r="G101" s="199"/>
      <c r="H101" s="199"/>
      <c r="I101" s="199"/>
      <c r="J101" s="199"/>
      <c r="K101" s="199"/>
      <c r="L101" s="200"/>
      <c r="M101" s="23"/>
      <c r="Z101" s="23"/>
      <c r="AA101" s="23"/>
      <c r="AB101" s="23"/>
      <c r="AC101" s="23"/>
      <c r="AD101" s="23"/>
      <c r="AE101" s="23"/>
      <c r="AF101" s="23"/>
      <c r="AG101" s="29" t="s">
        <v>73</v>
      </c>
    </row>
    <row r="102" spans="1:33" ht="18.75" customHeight="1" x14ac:dyDescent="0.25">
      <c r="A102" s="272" t="s">
        <v>425</v>
      </c>
      <c r="B102" s="273"/>
      <c r="C102" s="276" t="s">
        <v>426</v>
      </c>
      <c r="D102" s="273"/>
      <c r="E102" s="273"/>
      <c r="F102" s="276" t="s">
        <v>427</v>
      </c>
      <c r="G102" s="273"/>
      <c r="H102" s="276" t="s">
        <v>428</v>
      </c>
      <c r="I102" s="276" t="s">
        <v>429</v>
      </c>
      <c r="J102" s="276" t="s">
        <v>430</v>
      </c>
      <c r="K102" s="276" t="s">
        <v>431</v>
      </c>
      <c r="L102" s="277">
        <f>SUM(L104:L134)</f>
        <v>0</v>
      </c>
      <c r="M102" s="23"/>
      <c r="Z102" s="23"/>
      <c r="AA102" s="23"/>
      <c r="AB102" s="23"/>
      <c r="AC102" s="23"/>
      <c r="AD102" s="23"/>
      <c r="AE102" s="23"/>
      <c r="AF102" s="23"/>
      <c r="AG102" s="29" t="s">
        <v>77</v>
      </c>
    </row>
    <row r="103" spans="1:33" ht="15.75" customHeight="1" x14ac:dyDescent="0.25">
      <c r="A103" s="274"/>
      <c r="B103" s="275"/>
      <c r="C103" s="275"/>
      <c r="D103" s="275"/>
      <c r="E103" s="275"/>
      <c r="F103" s="275"/>
      <c r="G103" s="275"/>
      <c r="H103" s="275"/>
      <c r="I103" s="275"/>
      <c r="J103" s="275"/>
      <c r="K103" s="275"/>
      <c r="L103" s="278"/>
      <c r="M103" s="23"/>
      <c r="Z103" s="23"/>
      <c r="AA103" s="23"/>
      <c r="AB103" s="23"/>
      <c r="AC103" s="23"/>
      <c r="AD103" s="23"/>
      <c r="AE103" s="23"/>
      <c r="AF103" s="23"/>
      <c r="AG103" s="29" t="s">
        <v>81</v>
      </c>
    </row>
    <row r="104" spans="1:33" ht="18.75" customHeight="1" x14ac:dyDescent="0.25">
      <c r="A104" s="270"/>
      <c r="B104" s="271"/>
      <c r="C104" s="279"/>
      <c r="D104" s="275"/>
      <c r="E104" s="275"/>
      <c r="F104" s="280"/>
      <c r="G104" s="275"/>
      <c r="H104" s="25"/>
      <c r="I104" s="35"/>
      <c r="J104" s="26"/>
      <c r="K104" s="27"/>
      <c r="L104" s="28">
        <f t="shared" ref="L104:L145" si="0">J104*K104</f>
        <v>0</v>
      </c>
      <c r="M104" s="23"/>
      <c r="Z104" s="23"/>
      <c r="AA104" s="23"/>
      <c r="AB104" s="23"/>
      <c r="AC104" s="23"/>
      <c r="AD104" s="23"/>
      <c r="AE104" s="23"/>
      <c r="AF104" s="23"/>
      <c r="AG104" s="29" t="s">
        <v>85</v>
      </c>
    </row>
    <row r="105" spans="1:33" ht="18.75" customHeight="1" x14ac:dyDescent="0.25">
      <c r="A105" s="270"/>
      <c r="B105" s="271"/>
      <c r="C105" s="279"/>
      <c r="D105" s="275"/>
      <c r="E105" s="275"/>
      <c r="F105" s="280"/>
      <c r="G105" s="275"/>
      <c r="H105" s="25"/>
      <c r="I105" s="35"/>
      <c r="J105" s="26"/>
      <c r="K105" s="27"/>
      <c r="L105" s="28">
        <f t="shared" si="0"/>
        <v>0</v>
      </c>
      <c r="M105" s="23"/>
      <c r="Z105" s="23"/>
      <c r="AA105" s="23"/>
      <c r="AB105" s="23"/>
      <c r="AC105" s="23"/>
      <c r="AD105" s="23"/>
      <c r="AE105" s="23"/>
      <c r="AF105" s="23"/>
      <c r="AG105" s="29" t="s">
        <v>89</v>
      </c>
    </row>
    <row r="106" spans="1:33" ht="18.75" customHeight="1" x14ac:dyDescent="0.25">
      <c r="A106" s="270"/>
      <c r="B106" s="271"/>
      <c r="C106" s="279"/>
      <c r="D106" s="275"/>
      <c r="E106" s="275"/>
      <c r="F106" s="280"/>
      <c r="G106" s="275"/>
      <c r="H106" s="25"/>
      <c r="I106" s="35"/>
      <c r="J106" s="26"/>
      <c r="K106" s="27"/>
      <c r="L106" s="28">
        <f t="shared" si="0"/>
        <v>0</v>
      </c>
      <c r="M106" s="23"/>
      <c r="Z106" s="23"/>
      <c r="AA106" s="23"/>
      <c r="AB106" s="23"/>
      <c r="AC106" s="23"/>
      <c r="AD106" s="23"/>
      <c r="AE106" s="23"/>
      <c r="AF106" s="23"/>
      <c r="AG106" s="29" t="s">
        <v>93</v>
      </c>
    </row>
    <row r="107" spans="1:33" ht="18.75" customHeight="1" x14ac:dyDescent="0.25">
      <c r="A107" s="281"/>
      <c r="B107" s="275"/>
      <c r="C107" s="279"/>
      <c r="D107" s="275"/>
      <c r="E107" s="275"/>
      <c r="F107" s="280"/>
      <c r="G107" s="275"/>
      <c r="H107" s="25"/>
      <c r="I107" s="35"/>
      <c r="J107" s="26"/>
      <c r="K107" s="27"/>
      <c r="L107" s="28">
        <f t="shared" si="0"/>
        <v>0</v>
      </c>
      <c r="M107" s="23"/>
      <c r="Z107" s="23"/>
      <c r="AA107" s="23"/>
      <c r="AB107" s="23"/>
      <c r="AC107" s="23"/>
      <c r="AD107" s="23"/>
      <c r="AE107" s="23"/>
      <c r="AF107" s="23"/>
      <c r="AG107" s="29" t="s">
        <v>97</v>
      </c>
    </row>
    <row r="108" spans="1:33" ht="18.75" customHeight="1" x14ac:dyDescent="0.25">
      <c r="A108" s="281"/>
      <c r="B108" s="275"/>
      <c r="C108" s="279"/>
      <c r="D108" s="275"/>
      <c r="E108" s="275"/>
      <c r="F108" s="280"/>
      <c r="G108" s="275"/>
      <c r="H108" s="25"/>
      <c r="I108" s="35"/>
      <c r="J108" s="26"/>
      <c r="K108" s="27"/>
      <c r="L108" s="28">
        <f t="shared" si="0"/>
        <v>0</v>
      </c>
      <c r="M108" s="23"/>
      <c r="Z108" s="23"/>
      <c r="AA108" s="23"/>
      <c r="AB108" s="23"/>
      <c r="AC108" s="23"/>
      <c r="AD108" s="23"/>
      <c r="AE108" s="23"/>
      <c r="AF108" s="23"/>
      <c r="AG108" s="29" t="s">
        <v>101</v>
      </c>
    </row>
    <row r="109" spans="1:33" ht="18.75" customHeight="1" x14ac:dyDescent="0.25">
      <c r="A109" s="281"/>
      <c r="B109" s="275"/>
      <c r="C109" s="279"/>
      <c r="D109" s="275"/>
      <c r="E109" s="275"/>
      <c r="F109" s="280"/>
      <c r="G109" s="275"/>
      <c r="H109" s="25"/>
      <c r="I109" s="35"/>
      <c r="J109" s="26"/>
      <c r="K109" s="27"/>
      <c r="L109" s="28">
        <f t="shared" si="0"/>
        <v>0</v>
      </c>
      <c r="M109" s="23"/>
      <c r="Z109" s="23"/>
      <c r="AA109" s="23"/>
      <c r="AB109" s="23"/>
      <c r="AC109" s="23"/>
      <c r="AD109" s="23"/>
      <c r="AE109" s="23"/>
      <c r="AF109" s="23"/>
      <c r="AG109" s="29" t="s">
        <v>105</v>
      </c>
    </row>
    <row r="110" spans="1:33" ht="18.75" customHeight="1" x14ac:dyDescent="0.25">
      <c r="A110" s="281"/>
      <c r="B110" s="275"/>
      <c r="C110" s="279"/>
      <c r="D110" s="275"/>
      <c r="E110" s="275"/>
      <c r="F110" s="280"/>
      <c r="G110" s="275"/>
      <c r="H110" s="25"/>
      <c r="I110" s="35"/>
      <c r="J110" s="26"/>
      <c r="K110" s="27"/>
      <c r="L110" s="28">
        <f t="shared" si="0"/>
        <v>0</v>
      </c>
      <c r="M110" s="23"/>
      <c r="Z110" s="23"/>
      <c r="AA110" s="23"/>
      <c r="AB110" s="23"/>
      <c r="AC110" s="23"/>
      <c r="AD110" s="23"/>
      <c r="AE110" s="23"/>
      <c r="AF110" s="23"/>
      <c r="AG110" s="29" t="s">
        <v>109</v>
      </c>
    </row>
    <row r="111" spans="1:33" ht="18.75" customHeight="1" x14ac:dyDescent="0.25">
      <c r="A111" s="281"/>
      <c r="B111" s="275"/>
      <c r="C111" s="279"/>
      <c r="D111" s="275"/>
      <c r="E111" s="275"/>
      <c r="F111" s="280"/>
      <c r="G111" s="275"/>
      <c r="H111" s="25"/>
      <c r="I111" s="35"/>
      <c r="J111" s="26"/>
      <c r="K111" s="27"/>
      <c r="L111" s="28">
        <f t="shared" si="0"/>
        <v>0</v>
      </c>
      <c r="M111" s="23"/>
      <c r="Z111" s="23"/>
      <c r="AA111" s="23"/>
      <c r="AB111" s="23"/>
      <c r="AC111" s="23"/>
      <c r="AD111" s="23"/>
      <c r="AE111" s="23"/>
      <c r="AF111" s="23"/>
      <c r="AG111" s="29" t="s">
        <v>113</v>
      </c>
    </row>
    <row r="112" spans="1:33" ht="18.75" customHeight="1" x14ac:dyDescent="0.25">
      <c r="A112" s="281"/>
      <c r="B112" s="275"/>
      <c r="C112" s="279"/>
      <c r="D112" s="275"/>
      <c r="E112" s="275"/>
      <c r="F112" s="280"/>
      <c r="G112" s="275"/>
      <c r="H112" s="25"/>
      <c r="I112" s="35"/>
      <c r="J112" s="26"/>
      <c r="K112" s="27"/>
      <c r="L112" s="28">
        <f t="shared" si="0"/>
        <v>0</v>
      </c>
      <c r="M112" s="23"/>
      <c r="Z112" s="23"/>
      <c r="AA112" s="23"/>
      <c r="AB112" s="23"/>
      <c r="AC112" s="23"/>
      <c r="AD112" s="23"/>
      <c r="AE112" s="23"/>
      <c r="AF112" s="23"/>
      <c r="AG112" s="29" t="s">
        <v>117</v>
      </c>
    </row>
    <row r="113" spans="1:33" ht="18.75" customHeight="1" x14ac:dyDescent="0.25">
      <c r="A113" s="281"/>
      <c r="B113" s="275"/>
      <c r="C113" s="279"/>
      <c r="D113" s="275"/>
      <c r="E113" s="275"/>
      <c r="F113" s="280"/>
      <c r="G113" s="275"/>
      <c r="H113" s="25"/>
      <c r="I113" s="35"/>
      <c r="J113" s="26"/>
      <c r="K113" s="27"/>
      <c r="L113" s="28">
        <f t="shared" si="0"/>
        <v>0</v>
      </c>
      <c r="M113" s="23"/>
      <c r="Z113" s="23"/>
      <c r="AA113" s="23"/>
      <c r="AB113" s="23"/>
      <c r="AC113" s="23"/>
      <c r="AD113" s="23"/>
      <c r="AE113" s="23"/>
      <c r="AF113" s="23"/>
      <c r="AG113" s="31" t="s">
        <v>432</v>
      </c>
    </row>
    <row r="114" spans="1:33" ht="18.75" customHeight="1" x14ac:dyDescent="0.25">
      <c r="A114" s="281"/>
      <c r="B114" s="275"/>
      <c r="C114" s="279"/>
      <c r="D114" s="275"/>
      <c r="E114" s="275"/>
      <c r="F114" s="280"/>
      <c r="G114" s="275"/>
      <c r="H114" s="25"/>
      <c r="I114" s="35"/>
      <c r="J114" s="26"/>
      <c r="K114" s="27"/>
      <c r="L114" s="28">
        <f t="shared" si="0"/>
        <v>0</v>
      </c>
      <c r="M114" s="23"/>
      <c r="Z114" s="23"/>
      <c r="AA114" s="23"/>
      <c r="AB114" s="23"/>
      <c r="AC114" s="23"/>
      <c r="AD114" s="23"/>
      <c r="AE114" s="23"/>
      <c r="AF114" s="23"/>
      <c r="AG114" s="31" t="s">
        <v>433</v>
      </c>
    </row>
    <row r="115" spans="1:33" ht="18.75" customHeight="1" x14ac:dyDescent="0.25">
      <c r="A115" s="281"/>
      <c r="B115" s="275"/>
      <c r="C115" s="279"/>
      <c r="D115" s="275"/>
      <c r="E115" s="275"/>
      <c r="F115" s="280"/>
      <c r="G115" s="275"/>
      <c r="H115" s="25"/>
      <c r="I115" s="35"/>
      <c r="J115" s="26"/>
      <c r="K115" s="27"/>
      <c r="L115" s="28">
        <f t="shared" si="0"/>
        <v>0</v>
      </c>
      <c r="M115" s="23"/>
      <c r="Z115" s="23"/>
      <c r="AA115" s="23"/>
      <c r="AB115" s="23"/>
      <c r="AC115" s="23"/>
      <c r="AD115" s="23"/>
      <c r="AE115" s="23"/>
      <c r="AF115" s="23"/>
      <c r="AG115" s="31" t="s">
        <v>434</v>
      </c>
    </row>
    <row r="116" spans="1:33" ht="18.75" customHeight="1" x14ac:dyDescent="0.25">
      <c r="A116" s="281"/>
      <c r="B116" s="275"/>
      <c r="C116" s="428"/>
      <c r="D116" s="275"/>
      <c r="E116" s="275"/>
      <c r="F116" s="280"/>
      <c r="G116" s="275"/>
      <c r="H116" s="36"/>
      <c r="I116" s="35"/>
      <c r="J116" s="26"/>
      <c r="K116" s="30"/>
      <c r="L116" s="28">
        <f t="shared" si="0"/>
        <v>0</v>
      </c>
      <c r="M116" s="23"/>
      <c r="Z116" s="23"/>
      <c r="AA116" s="23"/>
      <c r="AB116" s="23"/>
      <c r="AC116" s="23"/>
      <c r="AD116" s="23"/>
      <c r="AE116" s="23"/>
      <c r="AF116" s="23"/>
      <c r="AG116" s="23"/>
    </row>
    <row r="117" spans="1:33" ht="18.75" customHeight="1" x14ac:dyDescent="0.25">
      <c r="A117" s="281"/>
      <c r="B117" s="275"/>
      <c r="C117" s="428"/>
      <c r="D117" s="275"/>
      <c r="E117" s="275"/>
      <c r="F117" s="280"/>
      <c r="G117" s="275"/>
      <c r="H117" s="36"/>
      <c r="I117" s="35"/>
      <c r="J117" s="26"/>
      <c r="K117" s="30"/>
      <c r="L117" s="28">
        <f t="shared" si="0"/>
        <v>0</v>
      </c>
      <c r="M117" s="23"/>
      <c r="Z117" s="23"/>
      <c r="AA117" s="23"/>
      <c r="AB117" s="23"/>
      <c r="AC117" s="23"/>
      <c r="AD117" s="23"/>
      <c r="AE117" s="23"/>
      <c r="AF117" s="23"/>
      <c r="AG117" s="23"/>
    </row>
    <row r="118" spans="1:33" ht="18.75" customHeight="1" x14ac:dyDescent="0.25">
      <c r="A118" s="281"/>
      <c r="B118" s="275"/>
      <c r="C118" s="428"/>
      <c r="D118" s="275"/>
      <c r="E118" s="275"/>
      <c r="F118" s="280"/>
      <c r="G118" s="275"/>
      <c r="H118" s="36"/>
      <c r="I118" s="35"/>
      <c r="J118" s="26"/>
      <c r="K118" s="30"/>
      <c r="L118" s="28">
        <f t="shared" si="0"/>
        <v>0</v>
      </c>
      <c r="M118" s="23"/>
      <c r="Z118" s="23"/>
      <c r="AA118" s="23"/>
      <c r="AB118" s="23"/>
      <c r="AC118" s="23"/>
      <c r="AD118" s="23"/>
      <c r="AE118" s="23"/>
      <c r="AF118" s="23"/>
      <c r="AG118" s="23"/>
    </row>
    <row r="119" spans="1:33" ht="18.75" customHeight="1" x14ac:dyDescent="0.25">
      <c r="A119" s="281"/>
      <c r="B119" s="275"/>
      <c r="C119" s="428"/>
      <c r="D119" s="275"/>
      <c r="E119" s="275"/>
      <c r="F119" s="280"/>
      <c r="G119" s="275"/>
      <c r="H119" s="36"/>
      <c r="I119" s="35"/>
      <c r="J119" s="26"/>
      <c r="K119" s="30"/>
      <c r="L119" s="28">
        <f t="shared" si="0"/>
        <v>0</v>
      </c>
      <c r="M119" s="23"/>
      <c r="Z119" s="23"/>
      <c r="AA119" s="23"/>
      <c r="AB119" s="23"/>
      <c r="AC119" s="23"/>
      <c r="AD119" s="23"/>
      <c r="AE119" s="23"/>
      <c r="AF119" s="23"/>
      <c r="AG119" s="23"/>
    </row>
    <row r="120" spans="1:33" ht="18.75" customHeight="1" x14ac:dyDescent="0.25">
      <c r="A120" s="281"/>
      <c r="B120" s="275"/>
      <c r="C120" s="428"/>
      <c r="D120" s="275"/>
      <c r="E120" s="275"/>
      <c r="F120" s="280"/>
      <c r="G120" s="275"/>
      <c r="H120" s="36"/>
      <c r="I120" s="35"/>
      <c r="J120" s="26"/>
      <c r="K120" s="30"/>
      <c r="L120" s="28">
        <f t="shared" si="0"/>
        <v>0</v>
      </c>
      <c r="M120" s="23"/>
      <c r="Z120" s="23"/>
      <c r="AA120" s="23"/>
      <c r="AB120" s="23"/>
      <c r="AC120" s="23"/>
      <c r="AD120" s="23"/>
      <c r="AE120" s="23"/>
      <c r="AF120" s="23"/>
      <c r="AG120" s="23"/>
    </row>
    <row r="121" spans="1:33" ht="18.75" customHeight="1" x14ac:dyDescent="0.25">
      <c r="A121" s="281"/>
      <c r="B121" s="275"/>
      <c r="C121" s="428"/>
      <c r="D121" s="275"/>
      <c r="E121" s="275"/>
      <c r="F121" s="280"/>
      <c r="G121" s="275"/>
      <c r="H121" s="36"/>
      <c r="I121" s="35"/>
      <c r="J121" s="26"/>
      <c r="K121" s="30"/>
      <c r="L121" s="28">
        <f t="shared" si="0"/>
        <v>0</v>
      </c>
      <c r="M121" s="23"/>
      <c r="Z121" s="23"/>
      <c r="AA121" s="23"/>
      <c r="AB121" s="23"/>
      <c r="AC121" s="23"/>
      <c r="AD121" s="23"/>
      <c r="AE121" s="23"/>
      <c r="AF121" s="23"/>
      <c r="AG121" s="23"/>
    </row>
    <row r="122" spans="1:33" ht="18.75" customHeight="1" x14ac:dyDescent="0.25">
      <c r="A122" s="281"/>
      <c r="B122" s="275"/>
      <c r="C122" s="428"/>
      <c r="D122" s="275"/>
      <c r="E122" s="275"/>
      <c r="F122" s="280"/>
      <c r="G122" s="275"/>
      <c r="H122" s="36"/>
      <c r="I122" s="35"/>
      <c r="J122" s="26"/>
      <c r="K122" s="30"/>
      <c r="L122" s="28">
        <f t="shared" si="0"/>
        <v>0</v>
      </c>
      <c r="M122" s="23"/>
      <c r="Z122" s="23"/>
      <c r="AA122" s="23"/>
      <c r="AB122" s="23"/>
      <c r="AC122" s="23"/>
      <c r="AD122" s="23"/>
      <c r="AE122" s="23"/>
      <c r="AF122" s="23"/>
      <c r="AG122" s="23"/>
    </row>
    <row r="123" spans="1:33" ht="18.75" customHeight="1" x14ac:dyDescent="0.25">
      <c r="A123" s="281"/>
      <c r="B123" s="275"/>
      <c r="C123" s="428"/>
      <c r="D123" s="275"/>
      <c r="E123" s="275"/>
      <c r="F123" s="280"/>
      <c r="G123" s="275"/>
      <c r="H123" s="36"/>
      <c r="I123" s="35"/>
      <c r="J123" s="26"/>
      <c r="K123" s="30"/>
      <c r="L123" s="28">
        <f t="shared" si="0"/>
        <v>0</v>
      </c>
      <c r="M123" s="23"/>
      <c r="Z123" s="23"/>
      <c r="AA123" s="23"/>
      <c r="AB123" s="23"/>
      <c r="AC123" s="23"/>
      <c r="AD123" s="23"/>
      <c r="AE123" s="23"/>
      <c r="AF123" s="23"/>
      <c r="AG123" s="23"/>
    </row>
    <row r="124" spans="1:33" ht="18.75" customHeight="1" x14ac:dyDescent="0.25">
      <c r="A124" s="281"/>
      <c r="B124" s="275"/>
      <c r="C124" s="428"/>
      <c r="D124" s="275"/>
      <c r="E124" s="275"/>
      <c r="F124" s="280"/>
      <c r="G124" s="275"/>
      <c r="H124" s="36"/>
      <c r="I124" s="35"/>
      <c r="J124" s="26"/>
      <c r="K124" s="30"/>
      <c r="L124" s="28">
        <f t="shared" si="0"/>
        <v>0</v>
      </c>
      <c r="M124" s="23"/>
      <c r="Z124" s="23"/>
      <c r="AA124" s="23"/>
      <c r="AB124" s="23"/>
      <c r="AC124" s="23"/>
      <c r="AD124" s="23"/>
      <c r="AE124" s="23"/>
      <c r="AF124" s="23"/>
      <c r="AG124" s="23"/>
    </row>
    <row r="125" spans="1:33" ht="18.75" customHeight="1" x14ac:dyDescent="0.25">
      <c r="A125" s="281"/>
      <c r="B125" s="275"/>
      <c r="C125" s="428"/>
      <c r="D125" s="275"/>
      <c r="E125" s="275"/>
      <c r="F125" s="280"/>
      <c r="G125" s="275"/>
      <c r="H125" s="36"/>
      <c r="I125" s="35"/>
      <c r="J125" s="26"/>
      <c r="K125" s="30"/>
      <c r="L125" s="28">
        <f t="shared" si="0"/>
        <v>0</v>
      </c>
      <c r="M125" s="23"/>
      <c r="Z125" s="23"/>
      <c r="AA125" s="23"/>
      <c r="AB125" s="23"/>
      <c r="AC125" s="23"/>
      <c r="AD125" s="23"/>
      <c r="AE125" s="23"/>
      <c r="AF125" s="23"/>
      <c r="AG125" s="23"/>
    </row>
    <row r="126" spans="1:33" ht="18.75" customHeight="1" x14ac:dyDescent="0.25">
      <c r="A126" s="281"/>
      <c r="B126" s="275"/>
      <c r="C126" s="428"/>
      <c r="D126" s="275"/>
      <c r="E126" s="275"/>
      <c r="F126" s="280"/>
      <c r="G126" s="275"/>
      <c r="H126" s="36"/>
      <c r="I126" s="35"/>
      <c r="J126" s="26"/>
      <c r="K126" s="30"/>
      <c r="L126" s="28">
        <f t="shared" si="0"/>
        <v>0</v>
      </c>
      <c r="M126" s="23"/>
      <c r="Z126" s="23"/>
      <c r="AA126" s="23"/>
      <c r="AB126" s="23"/>
      <c r="AC126" s="23"/>
      <c r="AD126" s="23"/>
      <c r="AE126" s="23"/>
      <c r="AF126" s="23"/>
      <c r="AG126" s="23"/>
    </row>
    <row r="127" spans="1:33" ht="18.75" customHeight="1" x14ac:dyDescent="0.25">
      <c r="A127" s="281"/>
      <c r="B127" s="275"/>
      <c r="C127" s="428"/>
      <c r="D127" s="275"/>
      <c r="E127" s="275"/>
      <c r="F127" s="280"/>
      <c r="G127" s="275"/>
      <c r="H127" s="36"/>
      <c r="I127" s="35"/>
      <c r="J127" s="26"/>
      <c r="K127" s="30"/>
      <c r="L127" s="28">
        <f t="shared" si="0"/>
        <v>0</v>
      </c>
      <c r="M127" s="2"/>
      <c r="Z127" s="23"/>
      <c r="AA127" s="23"/>
      <c r="AB127" s="23"/>
      <c r="AC127" s="23"/>
      <c r="AD127" s="23"/>
      <c r="AE127" s="23"/>
      <c r="AF127" s="23"/>
      <c r="AG127" s="23"/>
    </row>
    <row r="128" spans="1:33" ht="18.75" customHeight="1" x14ac:dyDescent="0.25">
      <c r="A128" s="281"/>
      <c r="B128" s="275"/>
      <c r="C128" s="428"/>
      <c r="D128" s="275"/>
      <c r="E128" s="275"/>
      <c r="F128" s="280"/>
      <c r="G128" s="275"/>
      <c r="H128" s="36"/>
      <c r="I128" s="35"/>
      <c r="J128" s="26"/>
      <c r="K128" s="30"/>
      <c r="L128" s="28">
        <f t="shared" si="0"/>
        <v>0</v>
      </c>
      <c r="M128" s="2"/>
      <c r="Z128" s="23"/>
      <c r="AA128" s="23"/>
      <c r="AB128" s="23"/>
      <c r="AC128" s="23"/>
      <c r="AD128" s="23"/>
      <c r="AE128" s="23"/>
      <c r="AF128" s="23"/>
      <c r="AG128" s="23"/>
    </row>
    <row r="129" spans="1:33" ht="18.75" customHeight="1" x14ac:dyDescent="0.25">
      <c r="A129" s="281"/>
      <c r="B129" s="275"/>
      <c r="C129" s="428"/>
      <c r="D129" s="275"/>
      <c r="E129" s="275"/>
      <c r="F129" s="280"/>
      <c r="G129" s="275"/>
      <c r="H129" s="36"/>
      <c r="I129" s="35"/>
      <c r="J129" s="26"/>
      <c r="K129" s="30"/>
      <c r="L129" s="28">
        <f t="shared" si="0"/>
        <v>0</v>
      </c>
      <c r="M129" s="2"/>
      <c r="Z129" s="23"/>
      <c r="AA129" s="23"/>
      <c r="AB129" s="23"/>
      <c r="AC129" s="23"/>
      <c r="AD129" s="23"/>
      <c r="AE129" s="23"/>
      <c r="AF129" s="23"/>
      <c r="AG129" s="23"/>
    </row>
    <row r="130" spans="1:33" ht="18.75" customHeight="1" x14ac:dyDescent="0.25">
      <c r="A130" s="281"/>
      <c r="B130" s="275"/>
      <c r="C130" s="428"/>
      <c r="D130" s="275"/>
      <c r="E130" s="275"/>
      <c r="F130" s="280"/>
      <c r="G130" s="275"/>
      <c r="H130" s="36"/>
      <c r="I130" s="35"/>
      <c r="J130" s="26"/>
      <c r="K130" s="30"/>
      <c r="L130" s="28">
        <f t="shared" si="0"/>
        <v>0</v>
      </c>
      <c r="M130" s="2"/>
      <c r="Z130" s="23"/>
      <c r="AA130" s="23"/>
      <c r="AB130" s="23"/>
      <c r="AC130" s="23"/>
      <c r="AD130" s="23"/>
      <c r="AE130" s="23"/>
      <c r="AF130" s="23"/>
      <c r="AG130" s="23"/>
    </row>
    <row r="131" spans="1:33" ht="18.75" customHeight="1" x14ac:dyDescent="0.25">
      <c r="A131" s="270"/>
      <c r="B131" s="271"/>
      <c r="C131" s="428"/>
      <c r="D131" s="275"/>
      <c r="E131" s="275"/>
      <c r="F131" s="280"/>
      <c r="G131" s="275"/>
      <c r="H131" s="36"/>
      <c r="I131" s="35"/>
      <c r="J131" s="26"/>
      <c r="K131" s="30"/>
      <c r="L131" s="28">
        <f t="shared" si="0"/>
        <v>0</v>
      </c>
      <c r="M131" s="2"/>
      <c r="Z131" s="23"/>
      <c r="AA131" s="23"/>
      <c r="AB131" s="23"/>
      <c r="AC131" s="23"/>
      <c r="AD131" s="23"/>
      <c r="AE131" s="23"/>
      <c r="AF131" s="23"/>
      <c r="AG131" s="23"/>
    </row>
    <row r="132" spans="1:33" ht="18.75" customHeight="1" x14ac:dyDescent="0.25">
      <c r="A132" s="281"/>
      <c r="B132" s="275"/>
      <c r="C132" s="428"/>
      <c r="D132" s="275"/>
      <c r="E132" s="275"/>
      <c r="F132" s="280"/>
      <c r="G132" s="275"/>
      <c r="H132" s="36"/>
      <c r="I132" s="35"/>
      <c r="J132" s="26"/>
      <c r="K132" s="30"/>
      <c r="L132" s="28">
        <f t="shared" si="0"/>
        <v>0</v>
      </c>
      <c r="M132" s="2"/>
      <c r="Z132" s="23"/>
      <c r="AA132" s="23"/>
      <c r="AB132" s="23"/>
      <c r="AC132" s="23"/>
      <c r="AD132" s="23"/>
      <c r="AE132" s="23"/>
      <c r="AF132" s="23"/>
      <c r="AG132" s="23"/>
    </row>
    <row r="133" spans="1:33" ht="18.75" customHeight="1" x14ac:dyDescent="0.25">
      <c r="A133" s="281"/>
      <c r="B133" s="275"/>
      <c r="C133" s="428"/>
      <c r="D133" s="275"/>
      <c r="E133" s="275"/>
      <c r="F133" s="280"/>
      <c r="G133" s="275"/>
      <c r="H133" s="36"/>
      <c r="I133" s="35"/>
      <c r="J133" s="26"/>
      <c r="K133" s="30"/>
      <c r="L133" s="28">
        <f t="shared" si="0"/>
        <v>0</v>
      </c>
      <c r="M133" s="2"/>
      <c r="Z133" s="23"/>
      <c r="AA133" s="23"/>
      <c r="AB133" s="23"/>
      <c r="AC133" s="23"/>
      <c r="AD133" s="23"/>
      <c r="AE133" s="23"/>
      <c r="AF133" s="23"/>
      <c r="AG133" s="23"/>
    </row>
    <row r="134" spans="1:33" ht="18.75" customHeight="1" x14ac:dyDescent="0.25">
      <c r="A134" s="281"/>
      <c r="B134" s="275"/>
      <c r="C134" s="428"/>
      <c r="D134" s="275"/>
      <c r="E134" s="275"/>
      <c r="F134" s="280"/>
      <c r="G134" s="275"/>
      <c r="H134" s="36"/>
      <c r="I134" s="35"/>
      <c r="J134" s="26"/>
      <c r="K134" s="30"/>
      <c r="L134" s="28">
        <f t="shared" si="0"/>
        <v>0</v>
      </c>
      <c r="M134" s="2"/>
      <c r="Z134" s="23"/>
      <c r="AA134" s="23"/>
      <c r="AB134" s="23"/>
      <c r="AC134" s="23"/>
      <c r="AD134" s="23"/>
      <c r="AE134" s="23"/>
      <c r="AF134" s="23"/>
      <c r="AG134" s="23"/>
    </row>
    <row r="135" spans="1:33" ht="24.75" customHeight="1" x14ac:dyDescent="0.25">
      <c r="A135" s="281"/>
      <c r="B135" s="275"/>
      <c r="C135" s="428"/>
      <c r="D135" s="275"/>
      <c r="E135" s="275"/>
      <c r="F135" s="280"/>
      <c r="G135" s="275"/>
      <c r="H135" s="36"/>
      <c r="I135" s="35"/>
      <c r="J135" s="26"/>
      <c r="K135" s="30"/>
      <c r="L135" s="28">
        <f t="shared" si="0"/>
        <v>0</v>
      </c>
      <c r="M135" s="2"/>
      <c r="Z135" s="23"/>
      <c r="AA135" s="23"/>
      <c r="AB135" s="23"/>
      <c r="AC135" s="23"/>
      <c r="AD135" s="23"/>
      <c r="AE135" s="23"/>
      <c r="AF135" s="23"/>
      <c r="AG135" s="23"/>
    </row>
    <row r="136" spans="1:33" ht="18" customHeight="1" x14ac:dyDescent="0.25">
      <c r="A136" s="281"/>
      <c r="B136" s="275"/>
      <c r="C136" s="428"/>
      <c r="D136" s="275"/>
      <c r="E136" s="275"/>
      <c r="F136" s="280"/>
      <c r="G136" s="275"/>
      <c r="H136" s="36"/>
      <c r="I136" s="35"/>
      <c r="J136" s="26"/>
      <c r="K136" s="30"/>
      <c r="L136" s="28">
        <f t="shared" si="0"/>
        <v>0</v>
      </c>
      <c r="M136" s="1"/>
      <c r="Z136" s="23"/>
      <c r="AA136" s="23"/>
      <c r="AB136" s="23"/>
      <c r="AC136" s="23"/>
      <c r="AD136" s="23"/>
      <c r="AE136" s="23"/>
      <c r="AF136" s="23"/>
      <c r="AG136" s="23"/>
    </row>
    <row r="137" spans="1:33" ht="17.25" customHeight="1" x14ac:dyDescent="0.25">
      <c r="A137" s="281"/>
      <c r="B137" s="275"/>
      <c r="C137" s="428"/>
      <c r="D137" s="275"/>
      <c r="E137" s="275"/>
      <c r="F137" s="280"/>
      <c r="G137" s="275"/>
      <c r="H137" s="36"/>
      <c r="I137" s="35"/>
      <c r="J137" s="26"/>
      <c r="K137" s="30"/>
      <c r="L137" s="28">
        <f t="shared" si="0"/>
        <v>0</v>
      </c>
      <c r="M137" s="1"/>
      <c r="Z137" s="23"/>
      <c r="AA137" s="23"/>
      <c r="AB137" s="23"/>
      <c r="AC137" s="23"/>
      <c r="AD137" s="23"/>
      <c r="AE137" s="23"/>
      <c r="AF137" s="23"/>
      <c r="AG137" s="23"/>
    </row>
    <row r="138" spans="1:33" ht="21.75" customHeight="1" x14ac:dyDescent="0.25">
      <c r="A138" s="281"/>
      <c r="B138" s="275"/>
      <c r="C138" s="428"/>
      <c r="D138" s="275"/>
      <c r="E138" s="275"/>
      <c r="F138" s="280"/>
      <c r="G138" s="275"/>
      <c r="H138" s="36"/>
      <c r="I138" s="35"/>
      <c r="J138" s="26"/>
      <c r="K138" s="30"/>
      <c r="L138" s="28">
        <f t="shared" si="0"/>
        <v>0</v>
      </c>
      <c r="M138" s="1"/>
    </row>
    <row r="139" spans="1:33" ht="18.75" customHeight="1" x14ac:dyDescent="0.25">
      <c r="A139" s="281"/>
      <c r="B139" s="275"/>
      <c r="C139" s="428"/>
      <c r="D139" s="275"/>
      <c r="E139" s="275"/>
      <c r="F139" s="280"/>
      <c r="G139" s="275"/>
      <c r="H139" s="36"/>
      <c r="I139" s="35"/>
      <c r="J139" s="26"/>
      <c r="K139" s="30"/>
      <c r="L139" s="28">
        <f t="shared" si="0"/>
        <v>0</v>
      </c>
      <c r="M139" s="1"/>
    </row>
    <row r="140" spans="1:33" ht="18.75" customHeight="1" x14ac:dyDescent="0.25">
      <c r="A140" s="281"/>
      <c r="B140" s="275"/>
      <c r="C140" s="428"/>
      <c r="D140" s="275"/>
      <c r="E140" s="275"/>
      <c r="F140" s="280"/>
      <c r="G140" s="275"/>
      <c r="H140" s="36"/>
      <c r="I140" s="35"/>
      <c r="J140" s="26"/>
      <c r="K140" s="30"/>
      <c r="L140" s="28">
        <f t="shared" si="0"/>
        <v>0</v>
      </c>
      <c r="M140" s="1"/>
    </row>
    <row r="141" spans="1:33" ht="18.75" customHeight="1" x14ac:dyDescent="0.25">
      <c r="A141" s="281"/>
      <c r="B141" s="275"/>
      <c r="C141" s="428"/>
      <c r="D141" s="275"/>
      <c r="E141" s="275"/>
      <c r="F141" s="280"/>
      <c r="G141" s="275"/>
      <c r="H141" s="36"/>
      <c r="I141" s="35"/>
      <c r="J141" s="26"/>
      <c r="K141" s="30"/>
      <c r="L141" s="28">
        <f t="shared" si="0"/>
        <v>0</v>
      </c>
      <c r="M141" s="1"/>
    </row>
    <row r="142" spans="1:33" ht="18.75" customHeight="1" x14ac:dyDescent="0.25">
      <c r="A142" s="281"/>
      <c r="B142" s="275"/>
      <c r="C142" s="428"/>
      <c r="D142" s="275"/>
      <c r="E142" s="275"/>
      <c r="F142" s="280"/>
      <c r="G142" s="275"/>
      <c r="H142" s="36"/>
      <c r="I142" s="35"/>
      <c r="J142" s="26"/>
      <c r="K142" s="30"/>
      <c r="L142" s="28">
        <f t="shared" si="0"/>
        <v>0</v>
      </c>
      <c r="M142" s="1"/>
    </row>
    <row r="143" spans="1:33" ht="18.75" customHeight="1" x14ac:dyDescent="0.25">
      <c r="A143" s="281"/>
      <c r="B143" s="275"/>
      <c r="C143" s="428"/>
      <c r="D143" s="275"/>
      <c r="E143" s="275"/>
      <c r="F143" s="280"/>
      <c r="G143" s="275"/>
      <c r="H143" s="36"/>
      <c r="I143" s="35"/>
      <c r="J143" s="26"/>
      <c r="K143" s="30"/>
      <c r="L143" s="28">
        <f t="shared" si="0"/>
        <v>0</v>
      </c>
      <c r="M143" s="1"/>
    </row>
    <row r="144" spans="1:33" ht="18.75" customHeight="1" x14ac:dyDescent="0.25">
      <c r="A144" s="281"/>
      <c r="B144" s="275"/>
      <c r="C144" s="428"/>
      <c r="D144" s="275"/>
      <c r="E144" s="275"/>
      <c r="F144" s="280"/>
      <c r="G144" s="275"/>
      <c r="H144" s="36"/>
      <c r="I144" s="35"/>
      <c r="J144" s="26"/>
      <c r="K144" s="30"/>
      <c r="L144" s="28">
        <f t="shared" si="0"/>
        <v>0</v>
      </c>
      <c r="M144" s="1"/>
    </row>
    <row r="145" spans="1:13" ht="18.75" customHeight="1" thickBot="1" x14ac:dyDescent="0.3">
      <c r="A145" s="288"/>
      <c r="B145" s="289"/>
      <c r="C145" s="464"/>
      <c r="D145" s="289"/>
      <c r="E145" s="289"/>
      <c r="F145" s="465"/>
      <c r="G145" s="289"/>
      <c r="H145" s="38"/>
      <c r="I145" s="37"/>
      <c r="J145" s="32"/>
      <c r="K145" s="33"/>
      <c r="L145" s="34">
        <f t="shared" si="0"/>
        <v>0</v>
      </c>
      <c r="M145" s="1"/>
    </row>
    <row r="146" spans="1:13" ht="18.75" customHeight="1" thickBot="1" x14ac:dyDescent="0.35">
      <c r="A146" s="292" t="s">
        <v>282</v>
      </c>
      <c r="B146" s="293"/>
      <c r="C146" s="293"/>
      <c r="D146" s="293"/>
      <c r="E146" s="293"/>
      <c r="F146" s="294"/>
      <c r="G146" s="295">
        <f>SUM(L104:L145)</f>
        <v>0</v>
      </c>
      <c r="H146" s="296"/>
      <c r="I146" s="296"/>
      <c r="J146" s="296"/>
      <c r="K146" s="296"/>
      <c r="L146" s="297"/>
      <c r="M146" s="1"/>
    </row>
    <row r="147" spans="1:13" ht="18.75" customHeight="1" thickBot="1" x14ac:dyDescent="0.3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1"/>
    </row>
    <row r="148" spans="1:13" ht="18.75" customHeight="1" x14ac:dyDescent="0.25">
      <c r="A148" s="298" t="s">
        <v>444</v>
      </c>
      <c r="B148" s="299"/>
      <c r="C148" s="299"/>
      <c r="D148" s="299"/>
      <c r="E148" s="299"/>
      <c r="F148" s="299"/>
      <c r="G148" s="299"/>
      <c r="H148" s="299"/>
      <c r="I148" s="299"/>
      <c r="J148" s="300"/>
      <c r="K148" s="301">
        <f>SUM(K149,K150,K151,K152)</f>
        <v>0</v>
      </c>
      <c r="L148" s="302"/>
      <c r="M148" s="1"/>
    </row>
    <row r="149" spans="1:13" ht="18.75" customHeight="1" x14ac:dyDescent="0.25">
      <c r="A149" s="303" t="s">
        <v>304</v>
      </c>
      <c r="B149" s="304"/>
      <c r="C149" s="304"/>
      <c r="D149" s="304"/>
      <c r="E149" s="304"/>
      <c r="F149" s="304"/>
      <c r="G149" s="304"/>
      <c r="H149" s="304"/>
      <c r="I149" s="304"/>
      <c r="J149" s="305"/>
      <c r="K149" s="173"/>
      <c r="L149" s="284"/>
      <c r="M149" s="1"/>
    </row>
    <row r="150" spans="1:13" ht="18.75" customHeight="1" x14ac:dyDescent="0.25">
      <c r="A150" s="303" t="s">
        <v>305</v>
      </c>
      <c r="B150" s="304"/>
      <c r="C150" s="304"/>
      <c r="D150" s="304"/>
      <c r="E150" s="304"/>
      <c r="F150" s="304"/>
      <c r="G150" s="304"/>
      <c r="H150" s="304"/>
      <c r="I150" s="304"/>
      <c r="J150" s="305"/>
      <c r="K150" s="173"/>
      <c r="L150" s="284"/>
      <c r="M150" s="1"/>
    </row>
    <row r="151" spans="1:13" ht="18.75" customHeight="1" x14ac:dyDescent="0.25">
      <c r="A151" s="303" t="s">
        <v>306</v>
      </c>
      <c r="B151" s="304"/>
      <c r="C151" s="304"/>
      <c r="D151" s="304"/>
      <c r="E151" s="304"/>
      <c r="F151" s="304"/>
      <c r="G151" s="304"/>
      <c r="H151" s="304"/>
      <c r="I151" s="304"/>
      <c r="J151" s="305"/>
      <c r="K151" s="173"/>
      <c r="L151" s="284"/>
      <c r="M151" s="1"/>
    </row>
    <row r="152" spans="1:13" ht="18.75" customHeight="1" thickBot="1" x14ac:dyDescent="0.3">
      <c r="A152" s="306" t="s">
        <v>307</v>
      </c>
      <c r="B152" s="307"/>
      <c r="C152" s="307"/>
      <c r="D152" s="307"/>
      <c r="E152" s="307"/>
      <c r="F152" s="307"/>
      <c r="G152" s="307"/>
      <c r="H152" s="307"/>
      <c r="I152" s="307"/>
      <c r="J152" s="308"/>
      <c r="K152" s="290"/>
      <c r="L152" s="291"/>
      <c r="M152" s="1"/>
    </row>
    <row r="153" spans="1:13" ht="18.75" customHeight="1" thickBot="1" x14ac:dyDescent="0.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1"/>
    </row>
    <row r="154" spans="1:13" ht="18.75" customHeight="1" x14ac:dyDescent="0.25">
      <c r="A154" s="309" t="s">
        <v>445</v>
      </c>
      <c r="B154" s="310"/>
      <c r="C154" s="310"/>
      <c r="D154" s="310"/>
      <c r="E154" s="310"/>
      <c r="F154" s="310"/>
      <c r="G154" s="310"/>
      <c r="H154" s="310"/>
      <c r="I154" s="310"/>
      <c r="J154" s="311"/>
      <c r="K154" s="285">
        <f>SUM(K156:L198)</f>
        <v>0</v>
      </c>
      <c r="L154" s="286"/>
      <c r="M154" s="1"/>
    </row>
    <row r="155" spans="1:13" ht="18.75" customHeight="1" thickBot="1" x14ac:dyDescent="0.3">
      <c r="A155" s="312"/>
      <c r="B155" s="260"/>
      <c r="C155" s="260"/>
      <c r="D155" s="260"/>
      <c r="E155" s="260"/>
      <c r="F155" s="260"/>
      <c r="G155" s="260"/>
      <c r="H155" s="260"/>
      <c r="I155" s="260"/>
      <c r="J155" s="313"/>
      <c r="K155" s="253"/>
      <c r="L155" s="287"/>
      <c r="M155" s="1"/>
    </row>
    <row r="156" spans="1:13" ht="18.75" customHeight="1" x14ac:dyDescent="0.25">
      <c r="A156" s="42" t="s">
        <v>308</v>
      </c>
      <c r="B156" s="43"/>
      <c r="C156" s="43"/>
      <c r="D156" s="43"/>
      <c r="E156" s="43"/>
      <c r="F156" s="43"/>
      <c r="G156" s="43"/>
      <c r="H156" s="43"/>
      <c r="I156" s="43"/>
      <c r="J156" s="44"/>
      <c r="K156" s="282"/>
      <c r="L156" s="283"/>
      <c r="M156" s="1"/>
    </row>
    <row r="157" spans="1:13" ht="18.75" customHeight="1" x14ac:dyDescent="0.25">
      <c r="A157" s="45" t="s">
        <v>309</v>
      </c>
      <c r="B157" s="46"/>
      <c r="C157" s="46"/>
      <c r="D157" s="46"/>
      <c r="E157" s="46"/>
      <c r="F157" s="46"/>
      <c r="G157" s="46"/>
      <c r="H157" s="46"/>
      <c r="I157" s="46"/>
      <c r="J157" s="47"/>
      <c r="K157" s="173"/>
      <c r="L157" s="284"/>
      <c r="M157" s="1"/>
    </row>
    <row r="158" spans="1:13" ht="18.75" customHeight="1" x14ac:dyDescent="0.25">
      <c r="A158" s="45" t="s">
        <v>310</v>
      </c>
      <c r="B158" s="46"/>
      <c r="C158" s="46"/>
      <c r="D158" s="46"/>
      <c r="E158" s="46"/>
      <c r="F158" s="46"/>
      <c r="G158" s="46"/>
      <c r="H158" s="46"/>
      <c r="I158" s="46"/>
      <c r="J158" s="47"/>
      <c r="K158" s="173"/>
      <c r="L158" s="284"/>
      <c r="M158" s="1"/>
    </row>
    <row r="159" spans="1:13" ht="18.75" customHeight="1" x14ac:dyDescent="0.25">
      <c r="A159" s="45" t="s">
        <v>311</v>
      </c>
      <c r="B159" s="46"/>
      <c r="C159" s="46"/>
      <c r="D159" s="46"/>
      <c r="E159" s="46"/>
      <c r="F159" s="46"/>
      <c r="G159" s="46"/>
      <c r="H159" s="46"/>
      <c r="I159" s="46"/>
      <c r="J159" s="47"/>
      <c r="K159" s="173"/>
      <c r="L159" s="284"/>
      <c r="M159" s="1"/>
    </row>
    <row r="160" spans="1:13" ht="18.75" customHeight="1" x14ac:dyDescent="0.25">
      <c r="A160" s="45" t="s">
        <v>312</v>
      </c>
      <c r="B160" s="46"/>
      <c r="C160" s="46"/>
      <c r="D160" s="46"/>
      <c r="E160" s="46"/>
      <c r="F160" s="46"/>
      <c r="G160" s="46"/>
      <c r="H160" s="46"/>
      <c r="I160" s="46"/>
      <c r="J160" s="47"/>
      <c r="K160" s="173"/>
      <c r="L160" s="284"/>
      <c r="M160" s="1"/>
    </row>
    <row r="161" spans="1:13" ht="18.75" customHeight="1" x14ac:dyDescent="0.25">
      <c r="A161" s="45" t="s">
        <v>313</v>
      </c>
      <c r="B161" s="46"/>
      <c r="C161" s="46"/>
      <c r="D161" s="46"/>
      <c r="E161" s="46"/>
      <c r="F161" s="46"/>
      <c r="G161" s="46"/>
      <c r="H161" s="46"/>
      <c r="I161" s="46"/>
      <c r="J161" s="47"/>
      <c r="K161" s="173"/>
      <c r="L161" s="284"/>
      <c r="M161" s="1"/>
    </row>
    <row r="162" spans="1:13" ht="18.75" customHeight="1" x14ac:dyDescent="0.25">
      <c r="A162" s="45" t="s">
        <v>314</v>
      </c>
      <c r="B162" s="46"/>
      <c r="C162" s="46"/>
      <c r="D162" s="46"/>
      <c r="E162" s="46"/>
      <c r="F162" s="46"/>
      <c r="G162" s="46"/>
      <c r="H162" s="46"/>
      <c r="I162" s="46"/>
      <c r="J162" s="47"/>
      <c r="K162" s="173"/>
      <c r="L162" s="284"/>
      <c r="M162" s="1"/>
    </row>
    <row r="163" spans="1:13" ht="18.75" customHeight="1" x14ac:dyDescent="0.25">
      <c r="A163" s="45" t="s">
        <v>315</v>
      </c>
      <c r="B163" s="46"/>
      <c r="C163" s="46"/>
      <c r="D163" s="46"/>
      <c r="E163" s="46"/>
      <c r="F163" s="46"/>
      <c r="G163" s="46"/>
      <c r="H163" s="46"/>
      <c r="I163" s="46"/>
      <c r="J163" s="47"/>
      <c r="K163" s="173"/>
      <c r="L163" s="284"/>
      <c r="M163" s="1"/>
    </row>
    <row r="164" spans="1:13" ht="18.75" customHeight="1" x14ac:dyDescent="0.25">
      <c r="A164" s="45" t="s">
        <v>316</v>
      </c>
      <c r="B164" s="46"/>
      <c r="C164" s="46"/>
      <c r="D164" s="46"/>
      <c r="E164" s="46"/>
      <c r="F164" s="46"/>
      <c r="G164" s="46"/>
      <c r="H164" s="46"/>
      <c r="I164" s="46"/>
      <c r="J164" s="47"/>
      <c r="K164" s="173"/>
      <c r="L164" s="284"/>
      <c r="M164" s="1"/>
    </row>
    <row r="165" spans="1:13" ht="18.75" customHeight="1" x14ac:dyDescent="0.25">
      <c r="A165" s="45" t="s">
        <v>317</v>
      </c>
      <c r="B165" s="46"/>
      <c r="C165" s="46"/>
      <c r="D165" s="46"/>
      <c r="E165" s="46"/>
      <c r="F165" s="46"/>
      <c r="G165" s="46"/>
      <c r="H165" s="46"/>
      <c r="I165" s="46"/>
      <c r="J165" s="47"/>
      <c r="K165" s="173"/>
      <c r="L165" s="284"/>
      <c r="M165" s="1"/>
    </row>
    <row r="166" spans="1:13" ht="18.75" customHeight="1" x14ac:dyDescent="0.25">
      <c r="A166" s="45" t="s">
        <v>318</v>
      </c>
      <c r="B166" s="46"/>
      <c r="C166" s="46"/>
      <c r="D166" s="46"/>
      <c r="E166" s="46"/>
      <c r="F166" s="46"/>
      <c r="G166" s="46"/>
      <c r="H166" s="46"/>
      <c r="I166" s="46"/>
      <c r="J166" s="47"/>
      <c r="K166" s="173"/>
      <c r="L166" s="284"/>
      <c r="M166" s="1"/>
    </row>
    <row r="167" spans="1:13" ht="18.75" customHeight="1" x14ac:dyDescent="0.25">
      <c r="A167" s="45" t="s">
        <v>319</v>
      </c>
      <c r="B167" s="46"/>
      <c r="C167" s="46"/>
      <c r="D167" s="46"/>
      <c r="E167" s="46"/>
      <c r="F167" s="46"/>
      <c r="G167" s="46"/>
      <c r="H167" s="46"/>
      <c r="I167" s="46"/>
      <c r="J167" s="47"/>
      <c r="K167" s="173"/>
      <c r="L167" s="284"/>
      <c r="M167" s="1"/>
    </row>
    <row r="168" spans="1:13" ht="18.75" customHeight="1" x14ac:dyDescent="0.25">
      <c r="A168" s="45" t="s">
        <v>320</v>
      </c>
      <c r="B168" s="46"/>
      <c r="C168" s="46"/>
      <c r="D168" s="46"/>
      <c r="E168" s="46"/>
      <c r="F168" s="46"/>
      <c r="G168" s="46"/>
      <c r="H168" s="46"/>
      <c r="I168" s="46"/>
      <c r="J168" s="47"/>
      <c r="K168" s="173"/>
      <c r="L168" s="284"/>
      <c r="M168" s="1"/>
    </row>
    <row r="169" spans="1:13" ht="18.75" customHeight="1" x14ac:dyDescent="0.25">
      <c r="A169" s="45" t="s">
        <v>321</v>
      </c>
      <c r="B169" s="46"/>
      <c r="C169" s="46"/>
      <c r="D169" s="46"/>
      <c r="E169" s="46"/>
      <c r="F169" s="46"/>
      <c r="G169" s="46"/>
      <c r="H169" s="46"/>
      <c r="I169" s="46"/>
      <c r="J169" s="47"/>
      <c r="K169" s="173"/>
      <c r="L169" s="284"/>
      <c r="M169" s="1"/>
    </row>
    <row r="170" spans="1:13" ht="18.75" customHeight="1" x14ac:dyDescent="0.25">
      <c r="A170" s="45" t="s">
        <v>322</v>
      </c>
      <c r="B170" s="46"/>
      <c r="C170" s="46"/>
      <c r="D170" s="46"/>
      <c r="E170" s="46"/>
      <c r="F170" s="46"/>
      <c r="G170" s="46"/>
      <c r="H170" s="46"/>
      <c r="I170" s="46"/>
      <c r="J170" s="47"/>
      <c r="K170" s="173"/>
      <c r="L170" s="284"/>
      <c r="M170" s="1"/>
    </row>
    <row r="171" spans="1:13" ht="18.75" customHeight="1" x14ac:dyDescent="0.25">
      <c r="A171" s="45" t="s">
        <v>323</v>
      </c>
      <c r="B171" s="46"/>
      <c r="C171" s="46"/>
      <c r="D171" s="46"/>
      <c r="E171" s="46"/>
      <c r="F171" s="46"/>
      <c r="G171" s="46"/>
      <c r="H171" s="46"/>
      <c r="I171" s="46"/>
      <c r="J171" s="47"/>
      <c r="K171" s="173"/>
      <c r="L171" s="284"/>
      <c r="M171" s="1"/>
    </row>
    <row r="172" spans="1:13" ht="18.75" customHeight="1" x14ac:dyDescent="0.25">
      <c r="A172" s="45" t="s">
        <v>324</v>
      </c>
      <c r="B172" s="46"/>
      <c r="C172" s="46"/>
      <c r="D172" s="46"/>
      <c r="E172" s="46"/>
      <c r="F172" s="46"/>
      <c r="G172" s="46"/>
      <c r="H172" s="46"/>
      <c r="I172" s="46"/>
      <c r="J172" s="47"/>
      <c r="K172" s="173"/>
      <c r="L172" s="284"/>
      <c r="M172" s="1"/>
    </row>
    <row r="173" spans="1:13" ht="18.75" customHeight="1" x14ac:dyDescent="0.25">
      <c r="A173" s="45" t="s">
        <v>325</v>
      </c>
      <c r="B173" s="46"/>
      <c r="C173" s="46"/>
      <c r="D173" s="46"/>
      <c r="E173" s="46"/>
      <c r="F173" s="46"/>
      <c r="G173" s="46"/>
      <c r="H173" s="46"/>
      <c r="I173" s="46"/>
      <c r="J173" s="47"/>
      <c r="K173" s="173"/>
      <c r="L173" s="284"/>
      <c r="M173" s="1"/>
    </row>
    <row r="174" spans="1:13" ht="18.75" customHeight="1" x14ac:dyDescent="0.25">
      <c r="A174" s="45" t="s">
        <v>326</v>
      </c>
      <c r="B174" s="46"/>
      <c r="C174" s="46"/>
      <c r="D174" s="46"/>
      <c r="E174" s="46"/>
      <c r="F174" s="46"/>
      <c r="G174" s="46"/>
      <c r="H174" s="46"/>
      <c r="I174" s="46"/>
      <c r="J174" s="47"/>
      <c r="K174" s="173"/>
      <c r="L174" s="284"/>
      <c r="M174" s="1"/>
    </row>
    <row r="175" spans="1:13" ht="18.75" customHeight="1" x14ac:dyDescent="0.25">
      <c r="A175" s="45" t="s">
        <v>327</v>
      </c>
      <c r="B175" s="46"/>
      <c r="C175" s="46"/>
      <c r="D175" s="46"/>
      <c r="E175" s="46"/>
      <c r="F175" s="46"/>
      <c r="G175" s="46"/>
      <c r="H175" s="46"/>
      <c r="I175" s="46"/>
      <c r="J175" s="47"/>
      <c r="K175" s="173"/>
      <c r="L175" s="284"/>
      <c r="M175" s="1"/>
    </row>
    <row r="176" spans="1:13" ht="18.75" customHeight="1" x14ac:dyDescent="0.25">
      <c r="A176" s="45" t="s">
        <v>328</v>
      </c>
      <c r="B176" s="46"/>
      <c r="C176" s="46"/>
      <c r="D176" s="46"/>
      <c r="E176" s="46"/>
      <c r="F176" s="46"/>
      <c r="G176" s="46"/>
      <c r="H176" s="46"/>
      <c r="I176" s="46"/>
      <c r="J176" s="47"/>
      <c r="K176" s="173"/>
      <c r="L176" s="284"/>
      <c r="M176" s="1"/>
    </row>
    <row r="177" spans="1:13" ht="18.75" customHeight="1" x14ac:dyDescent="0.25">
      <c r="A177" s="45" t="s">
        <v>329</v>
      </c>
      <c r="B177" s="46"/>
      <c r="C177" s="46"/>
      <c r="D177" s="46"/>
      <c r="E177" s="46"/>
      <c r="F177" s="46"/>
      <c r="G177" s="46"/>
      <c r="H177" s="46"/>
      <c r="I177" s="46"/>
      <c r="J177" s="47"/>
      <c r="K177" s="173"/>
      <c r="L177" s="284"/>
      <c r="M177" s="1"/>
    </row>
    <row r="178" spans="1:13" ht="18.75" customHeight="1" x14ac:dyDescent="0.25">
      <c r="A178" s="45" t="s">
        <v>330</v>
      </c>
      <c r="B178" s="46"/>
      <c r="C178" s="46"/>
      <c r="D178" s="46"/>
      <c r="E178" s="46"/>
      <c r="F178" s="46"/>
      <c r="G178" s="46"/>
      <c r="H178" s="46"/>
      <c r="I178" s="46"/>
      <c r="J178" s="47"/>
      <c r="K178" s="173"/>
      <c r="L178" s="284"/>
      <c r="M178" s="1"/>
    </row>
    <row r="179" spans="1:13" ht="18.75" customHeight="1" x14ac:dyDescent="0.25">
      <c r="A179" s="45" t="s">
        <v>331</v>
      </c>
      <c r="B179" s="46"/>
      <c r="C179" s="46"/>
      <c r="D179" s="46"/>
      <c r="E179" s="46"/>
      <c r="F179" s="46"/>
      <c r="G179" s="46"/>
      <c r="H179" s="46"/>
      <c r="I179" s="46"/>
      <c r="J179" s="47"/>
      <c r="K179" s="173"/>
      <c r="L179" s="284"/>
      <c r="M179" s="1"/>
    </row>
    <row r="180" spans="1:13" ht="18.75" customHeight="1" x14ac:dyDescent="0.25">
      <c r="A180" s="45" t="s">
        <v>332</v>
      </c>
      <c r="B180" s="46"/>
      <c r="C180" s="46"/>
      <c r="D180" s="46"/>
      <c r="E180" s="46"/>
      <c r="F180" s="46"/>
      <c r="G180" s="46"/>
      <c r="H180" s="46"/>
      <c r="I180" s="46"/>
      <c r="J180" s="47"/>
      <c r="K180" s="173"/>
      <c r="L180" s="284"/>
      <c r="M180" s="1"/>
    </row>
    <row r="181" spans="1:13" ht="18.75" customHeight="1" x14ac:dyDescent="0.25">
      <c r="A181" s="45" t="s">
        <v>333</v>
      </c>
      <c r="B181" s="46"/>
      <c r="C181" s="46"/>
      <c r="D181" s="46"/>
      <c r="E181" s="46"/>
      <c r="F181" s="46"/>
      <c r="G181" s="46"/>
      <c r="H181" s="46"/>
      <c r="I181" s="46"/>
      <c r="J181" s="47"/>
      <c r="K181" s="173"/>
      <c r="L181" s="284"/>
      <c r="M181" s="1"/>
    </row>
    <row r="182" spans="1:13" ht="18.75" customHeight="1" x14ac:dyDescent="0.25">
      <c r="A182" s="45" t="s">
        <v>334</v>
      </c>
      <c r="B182" s="46"/>
      <c r="C182" s="46"/>
      <c r="D182" s="46"/>
      <c r="E182" s="46"/>
      <c r="F182" s="46"/>
      <c r="G182" s="46"/>
      <c r="H182" s="46"/>
      <c r="I182" s="46"/>
      <c r="J182" s="47"/>
      <c r="K182" s="173"/>
      <c r="L182" s="284"/>
      <c r="M182" s="1"/>
    </row>
    <row r="183" spans="1:13" ht="18.75" customHeight="1" x14ac:dyDescent="0.25">
      <c r="A183" s="45" t="s">
        <v>335</v>
      </c>
      <c r="B183" s="46"/>
      <c r="C183" s="46"/>
      <c r="D183" s="46"/>
      <c r="E183" s="46"/>
      <c r="F183" s="46"/>
      <c r="G183" s="46"/>
      <c r="H183" s="46"/>
      <c r="I183" s="46"/>
      <c r="J183" s="47"/>
      <c r="K183" s="173"/>
      <c r="L183" s="284"/>
      <c r="M183" s="1"/>
    </row>
    <row r="184" spans="1:13" ht="18.75" customHeight="1" x14ac:dyDescent="0.25">
      <c r="A184" s="45" t="s">
        <v>336</v>
      </c>
      <c r="B184" s="46"/>
      <c r="C184" s="46"/>
      <c r="D184" s="46"/>
      <c r="E184" s="46"/>
      <c r="F184" s="46"/>
      <c r="G184" s="46"/>
      <c r="H184" s="46"/>
      <c r="I184" s="46"/>
      <c r="J184" s="47"/>
      <c r="K184" s="173"/>
      <c r="L184" s="284"/>
      <c r="M184" s="1"/>
    </row>
    <row r="185" spans="1:13" ht="18.75" customHeight="1" x14ac:dyDescent="0.25">
      <c r="A185" s="45" t="s">
        <v>337</v>
      </c>
      <c r="B185" s="46"/>
      <c r="C185" s="46"/>
      <c r="D185" s="46"/>
      <c r="E185" s="46"/>
      <c r="F185" s="46"/>
      <c r="G185" s="46"/>
      <c r="H185" s="46"/>
      <c r="I185" s="46"/>
      <c r="J185" s="47"/>
      <c r="K185" s="173"/>
      <c r="L185" s="284"/>
      <c r="M185" s="1"/>
    </row>
    <row r="186" spans="1:13" ht="18.75" customHeight="1" x14ac:dyDescent="0.25">
      <c r="A186" s="45" t="s">
        <v>338</v>
      </c>
      <c r="B186" s="46"/>
      <c r="C186" s="46"/>
      <c r="D186" s="46"/>
      <c r="E186" s="46"/>
      <c r="F186" s="46"/>
      <c r="G186" s="46"/>
      <c r="H186" s="46"/>
      <c r="I186" s="46"/>
      <c r="J186" s="47"/>
      <c r="K186" s="173"/>
      <c r="L186" s="284"/>
      <c r="M186" s="1"/>
    </row>
    <row r="187" spans="1:13" ht="18.75" customHeight="1" x14ac:dyDescent="0.25">
      <c r="A187" s="45" t="s">
        <v>339</v>
      </c>
      <c r="B187" s="46"/>
      <c r="C187" s="46"/>
      <c r="D187" s="46"/>
      <c r="E187" s="46"/>
      <c r="F187" s="46"/>
      <c r="G187" s="46"/>
      <c r="H187" s="46"/>
      <c r="I187" s="46"/>
      <c r="J187" s="47"/>
      <c r="K187" s="173"/>
      <c r="L187" s="284"/>
      <c r="M187" s="1"/>
    </row>
    <row r="188" spans="1:13" ht="18.75" customHeight="1" x14ac:dyDescent="0.25">
      <c r="A188" s="45" t="s">
        <v>340</v>
      </c>
      <c r="B188" s="46"/>
      <c r="C188" s="46"/>
      <c r="D188" s="46"/>
      <c r="E188" s="46"/>
      <c r="F188" s="46"/>
      <c r="G188" s="46"/>
      <c r="H188" s="46"/>
      <c r="I188" s="46"/>
      <c r="J188" s="47"/>
      <c r="K188" s="173"/>
      <c r="L188" s="284"/>
      <c r="M188" s="1"/>
    </row>
    <row r="189" spans="1:13" ht="18.75" customHeight="1" x14ac:dyDescent="0.25">
      <c r="A189" s="45" t="s">
        <v>341</v>
      </c>
      <c r="B189" s="46"/>
      <c r="C189" s="46"/>
      <c r="D189" s="46"/>
      <c r="E189" s="46"/>
      <c r="F189" s="46"/>
      <c r="G189" s="46"/>
      <c r="H189" s="46"/>
      <c r="I189" s="46"/>
      <c r="J189" s="47"/>
      <c r="K189" s="173"/>
      <c r="L189" s="284"/>
      <c r="M189" s="1"/>
    </row>
    <row r="190" spans="1:13" ht="18.75" customHeight="1" x14ac:dyDescent="0.25">
      <c r="A190" s="45" t="s">
        <v>342</v>
      </c>
      <c r="B190" s="46"/>
      <c r="C190" s="46"/>
      <c r="D190" s="46"/>
      <c r="E190" s="46"/>
      <c r="F190" s="46"/>
      <c r="G190" s="46"/>
      <c r="H190" s="46"/>
      <c r="I190" s="46"/>
      <c r="J190" s="47"/>
      <c r="K190" s="173"/>
      <c r="L190" s="284"/>
      <c r="M190" s="1"/>
    </row>
    <row r="191" spans="1:13" ht="18.75" customHeight="1" x14ac:dyDescent="0.25">
      <c r="A191" s="45" t="s">
        <v>343</v>
      </c>
      <c r="B191" s="46"/>
      <c r="C191" s="46"/>
      <c r="D191" s="46"/>
      <c r="E191" s="46"/>
      <c r="F191" s="46"/>
      <c r="G191" s="46"/>
      <c r="H191" s="46"/>
      <c r="I191" s="46"/>
      <c r="J191" s="47"/>
      <c r="K191" s="173"/>
      <c r="L191" s="284"/>
      <c r="M191" s="1"/>
    </row>
    <row r="192" spans="1:13" ht="18.75" customHeight="1" x14ac:dyDescent="0.25">
      <c r="A192" s="45" t="s">
        <v>344</v>
      </c>
      <c r="B192" s="46"/>
      <c r="C192" s="46"/>
      <c r="D192" s="46"/>
      <c r="E192" s="46"/>
      <c r="F192" s="46"/>
      <c r="G192" s="46"/>
      <c r="H192" s="46"/>
      <c r="I192" s="46"/>
      <c r="J192" s="47"/>
      <c r="K192" s="173"/>
      <c r="L192" s="284"/>
      <c r="M192" s="1"/>
    </row>
    <row r="193" spans="1:13" ht="18.75" customHeight="1" x14ac:dyDescent="0.25">
      <c r="A193" s="45" t="s">
        <v>345</v>
      </c>
      <c r="B193" s="46"/>
      <c r="C193" s="46"/>
      <c r="D193" s="46"/>
      <c r="E193" s="46"/>
      <c r="F193" s="46"/>
      <c r="G193" s="46"/>
      <c r="H193" s="46"/>
      <c r="I193" s="46"/>
      <c r="J193" s="47"/>
      <c r="K193" s="173"/>
      <c r="L193" s="284"/>
      <c r="M193" s="1"/>
    </row>
    <row r="194" spans="1:13" ht="18.75" customHeight="1" x14ac:dyDescent="0.25">
      <c r="A194" s="45" t="s">
        <v>346</v>
      </c>
      <c r="B194" s="46"/>
      <c r="C194" s="46"/>
      <c r="D194" s="46"/>
      <c r="E194" s="46"/>
      <c r="F194" s="46"/>
      <c r="G194" s="46"/>
      <c r="H194" s="46"/>
      <c r="I194" s="46"/>
      <c r="J194" s="47"/>
      <c r="K194" s="173"/>
      <c r="L194" s="284"/>
      <c r="M194" s="1"/>
    </row>
    <row r="195" spans="1:13" ht="18.75" customHeight="1" x14ac:dyDescent="0.25">
      <c r="A195" s="45" t="s">
        <v>347</v>
      </c>
      <c r="B195" s="46"/>
      <c r="C195" s="46"/>
      <c r="D195" s="46"/>
      <c r="E195" s="46"/>
      <c r="F195" s="46"/>
      <c r="G195" s="46"/>
      <c r="H195" s="46"/>
      <c r="I195" s="46"/>
      <c r="J195" s="47"/>
      <c r="K195" s="173"/>
      <c r="L195" s="284"/>
      <c r="M195" s="1"/>
    </row>
    <row r="196" spans="1:13" ht="18.75" customHeight="1" x14ac:dyDescent="0.25">
      <c r="A196" s="45" t="s">
        <v>348</v>
      </c>
      <c r="B196" s="46"/>
      <c r="C196" s="46"/>
      <c r="D196" s="46"/>
      <c r="E196" s="46"/>
      <c r="F196" s="46"/>
      <c r="G196" s="46"/>
      <c r="H196" s="46"/>
      <c r="I196" s="46"/>
      <c r="J196" s="47"/>
      <c r="K196" s="173"/>
      <c r="L196" s="284"/>
      <c r="M196" s="1"/>
    </row>
    <row r="197" spans="1:13" ht="18.75" customHeight="1" x14ac:dyDescent="0.25">
      <c r="A197" s="45" t="s">
        <v>349</v>
      </c>
      <c r="B197" s="46"/>
      <c r="C197" s="46"/>
      <c r="D197" s="46"/>
      <c r="E197" s="46"/>
      <c r="F197" s="46"/>
      <c r="G197" s="46"/>
      <c r="H197" s="46"/>
      <c r="I197" s="46"/>
      <c r="J197" s="47"/>
      <c r="K197" s="173"/>
      <c r="L197" s="284"/>
      <c r="M197" s="1"/>
    </row>
    <row r="198" spans="1:13" ht="18.75" customHeight="1" thickBot="1" x14ac:dyDescent="0.3">
      <c r="A198" s="48" t="s">
        <v>350</v>
      </c>
      <c r="B198" s="49"/>
      <c r="C198" s="49"/>
      <c r="D198" s="49"/>
      <c r="E198" s="49"/>
      <c r="F198" s="49"/>
      <c r="G198" s="49"/>
      <c r="H198" s="49"/>
      <c r="I198" s="49"/>
      <c r="J198" s="50"/>
      <c r="K198" s="290"/>
      <c r="L198" s="291"/>
      <c r="M198" s="1"/>
    </row>
    <row r="199" spans="1:13" ht="18.75" customHeight="1" thickBot="1" x14ac:dyDescent="0.3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1"/>
    </row>
    <row r="200" spans="1:13" ht="18.75" customHeight="1" x14ac:dyDescent="0.25">
      <c r="A200" s="314" t="s">
        <v>446</v>
      </c>
      <c r="B200" s="257"/>
      <c r="C200" s="257"/>
      <c r="D200" s="257"/>
      <c r="E200" s="257"/>
      <c r="F200" s="257"/>
      <c r="G200" s="257"/>
      <c r="H200" s="257"/>
      <c r="I200" s="257"/>
      <c r="J200" s="315"/>
      <c r="K200" s="466">
        <f>SUM(K202:L206)</f>
        <v>0</v>
      </c>
      <c r="L200" s="317"/>
      <c r="M200" s="1"/>
    </row>
    <row r="201" spans="1:13" ht="18.75" customHeight="1" thickBot="1" x14ac:dyDescent="0.3">
      <c r="A201" s="259"/>
      <c r="B201" s="260"/>
      <c r="C201" s="260"/>
      <c r="D201" s="260"/>
      <c r="E201" s="260"/>
      <c r="F201" s="260"/>
      <c r="G201" s="260"/>
      <c r="H201" s="260"/>
      <c r="I201" s="260"/>
      <c r="J201" s="313"/>
      <c r="K201" s="253"/>
      <c r="L201" s="318"/>
      <c r="M201" s="1"/>
    </row>
    <row r="202" spans="1:13" ht="18.75" customHeight="1" x14ac:dyDescent="0.25">
      <c r="A202" s="51" t="s">
        <v>309</v>
      </c>
      <c r="B202" s="52"/>
      <c r="C202" s="52"/>
      <c r="D202" s="52"/>
      <c r="E202" s="52"/>
      <c r="F202" s="52"/>
      <c r="G202" s="52"/>
      <c r="H202" s="52"/>
      <c r="I202" s="52"/>
      <c r="J202" s="53"/>
      <c r="K202" s="339"/>
      <c r="L202" s="340"/>
      <c r="M202" s="1"/>
    </row>
    <row r="203" spans="1:13" ht="18.75" customHeight="1" x14ac:dyDescent="0.25">
      <c r="A203" s="54" t="s">
        <v>310</v>
      </c>
      <c r="B203" s="46"/>
      <c r="C203" s="46"/>
      <c r="D203" s="46"/>
      <c r="E203" s="46"/>
      <c r="F203" s="46"/>
      <c r="G203" s="46"/>
      <c r="H203" s="46"/>
      <c r="I203" s="46"/>
      <c r="J203" s="47"/>
      <c r="K203" s="341"/>
      <c r="L203" s="174"/>
      <c r="M203" s="1"/>
    </row>
    <row r="204" spans="1:13" ht="18.75" customHeight="1" x14ac:dyDescent="0.25">
      <c r="A204" s="54" t="s">
        <v>351</v>
      </c>
      <c r="B204" s="46"/>
      <c r="C204" s="46"/>
      <c r="D204" s="46"/>
      <c r="E204" s="46"/>
      <c r="F204" s="46"/>
      <c r="G204" s="46"/>
      <c r="H204" s="46"/>
      <c r="I204" s="46"/>
      <c r="J204" s="47"/>
      <c r="K204" s="341"/>
      <c r="L204" s="174"/>
      <c r="M204" s="1"/>
    </row>
    <row r="205" spans="1:13" ht="18.75" customHeight="1" x14ac:dyDescent="0.25">
      <c r="A205" s="54" t="s">
        <v>352</v>
      </c>
      <c r="B205" s="46"/>
      <c r="C205" s="46"/>
      <c r="D205" s="46"/>
      <c r="E205" s="46"/>
      <c r="F205" s="46"/>
      <c r="G205" s="46"/>
      <c r="H205" s="46"/>
      <c r="I205" s="46"/>
      <c r="J205" s="47"/>
      <c r="K205" s="341"/>
      <c r="L205" s="174"/>
      <c r="M205" s="1"/>
    </row>
    <row r="206" spans="1:13" ht="18.75" customHeight="1" thickBot="1" x14ac:dyDescent="0.3">
      <c r="A206" s="55" t="s">
        <v>353</v>
      </c>
      <c r="B206" s="56"/>
      <c r="C206" s="56"/>
      <c r="D206" s="56"/>
      <c r="E206" s="56"/>
      <c r="F206" s="56"/>
      <c r="G206" s="56"/>
      <c r="H206" s="56"/>
      <c r="I206" s="56"/>
      <c r="J206" s="57"/>
      <c r="K206" s="342"/>
      <c r="L206" s="343"/>
      <c r="M206" s="1"/>
    </row>
    <row r="207" spans="1:13" ht="18.75" customHeight="1" thickBo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</row>
    <row r="208" spans="1:13" ht="18.75" customHeight="1" x14ac:dyDescent="0.25">
      <c r="A208" s="314" t="s">
        <v>447</v>
      </c>
      <c r="B208" s="257"/>
      <c r="C208" s="257"/>
      <c r="D208" s="257"/>
      <c r="E208" s="257"/>
      <c r="F208" s="257"/>
      <c r="G208" s="257"/>
      <c r="H208" s="257"/>
      <c r="I208" s="257"/>
      <c r="J208" s="315"/>
      <c r="K208" s="468">
        <f>SUM(K210:L214)</f>
        <v>0</v>
      </c>
      <c r="L208" s="317"/>
      <c r="M208" s="1"/>
    </row>
    <row r="209" spans="1:13" ht="18.75" customHeight="1" thickBot="1" x14ac:dyDescent="0.3">
      <c r="A209" s="259"/>
      <c r="B209" s="260"/>
      <c r="C209" s="260"/>
      <c r="D209" s="260"/>
      <c r="E209" s="260"/>
      <c r="F209" s="260"/>
      <c r="G209" s="260"/>
      <c r="H209" s="260"/>
      <c r="I209" s="260"/>
      <c r="J209" s="313"/>
      <c r="K209" s="253"/>
      <c r="L209" s="318"/>
      <c r="M209" s="1"/>
    </row>
    <row r="210" spans="1:13" ht="18.75" customHeight="1" x14ac:dyDescent="0.25">
      <c r="A210" s="51" t="s">
        <v>354</v>
      </c>
      <c r="B210" s="52"/>
      <c r="C210" s="52"/>
      <c r="D210" s="52"/>
      <c r="E210" s="52"/>
      <c r="F210" s="52"/>
      <c r="G210" s="52"/>
      <c r="H210" s="52"/>
      <c r="I210" s="52"/>
      <c r="J210" s="53"/>
      <c r="K210" s="282"/>
      <c r="L210" s="340"/>
      <c r="M210" s="1"/>
    </row>
    <row r="211" spans="1:13" ht="18.75" customHeight="1" x14ac:dyDescent="0.25">
      <c r="A211" s="54" t="s">
        <v>355</v>
      </c>
      <c r="B211" s="46"/>
      <c r="C211" s="46"/>
      <c r="D211" s="46"/>
      <c r="E211" s="46"/>
      <c r="F211" s="46"/>
      <c r="G211" s="46"/>
      <c r="H211" s="46"/>
      <c r="I211" s="46"/>
      <c r="J211" s="47"/>
      <c r="K211" s="173"/>
      <c r="L211" s="174"/>
      <c r="M211" s="1"/>
    </row>
    <row r="212" spans="1:13" ht="18.75" customHeight="1" x14ac:dyDescent="0.25">
      <c r="A212" s="54" t="s">
        <v>356</v>
      </c>
      <c r="B212" s="46"/>
      <c r="C212" s="46"/>
      <c r="D212" s="46"/>
      <c r="E212" s="46"/>
      <c r="F212" s="46"/>
      <c r="G212" s="46"/>
      <c r="H212" s="46"/>
      <c r="I212" s="46"/>
      <c r="J212" s="47"/>
      <c r="K212" s="173"/>
      <c r="L212" s="174"/>
      <c r="M212" s="1"/>
    </row>
    <row r="213" spans="1:13" ht="18.75" customHeight="1" x14ac:dyDescent="0.25">
      <c r="A213" s="54" t="s">
        <v>357</v>
      </c>
      <c r="B213" s="46"/>
      <c r="C213" s="46"/>
      <c r="D213" s="46"/>
      <c r="E213" s="46"/>
      <c r="F213" s="46"/>
      <c r="G213" s="46"/>
      <c r="H213" s="46"/>
      <c r="I213" s="46"/>
      <c r="J213" s="47"/>
      <c r="K213" s="173"/>
      <c r="L213" s="174"/>
      <c r="M213" s="1"/>
    </row>
    <row r="214" spans="1:13" ht="18.75" customHeight="1" thickBot="1" x14ac:dyDescent="0.3">
      <c r="A214" s="55" t="s">
        <v>358</v>
      </c>
      <c r="B214" s="56"/>
      <c r="C214" s="56"/>
      <c r="D214" s="56"/>
      <c r="E214" s="56"/>
      <c r="F214" s="56"/>
      <c r="G214" s="56"/>
      <c r="H214" s="56"/>
      <c r="I214" s="56"/>
      <c r="J214" s="57"/>
      <c r="K214" s="467"/>
      <c r="L214" s="343"/>
      <c r="M214" s="1"/>
    </row>
    <row r="215" spans="1:13" ht="18.75" customHeight="1" thickBo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</row>
    <row r="216" spans="1:13" ht="18.75" customHeight="1" x14ac:dyDescent="0.25">
      <c r="A216" s="314" t="s">
        <v>448</v>
      </c>
      <c r="B216" s="257"/>
      <c r="C216" s="257"/>
      <c r="D216" s="257"/>
      <c r="E216" s="257"/>
      <c r="F216" s="257"/>
      <c r="G216" s="257"/>
      <c r="H216" s="257"/>
      <c r="I216" s="257"/>
      <c r="J216" s="315"/>
      <c r="K216" s="466">
        <f>SUM(K218:L253)</f>
        <v>0</v>
      </c>
      <c r="L216" s="317"/>
      <c r="M216" s="1"/>
    </row>
    <row r="217" spans="1:13" ht="18.75" customHeight="1" thickBot="1" x14ac:dyDescent="0.3">
      <c r="A217" s="259"/>
      <c r="B217" s="260"/>
      <c r="C217" s="260"/>
      <c r="D217" s="260"/>
      <c r="E217" s="260"/>
      <c r="F217" s="260"/>
      <c r="G217" s="260"/>
      <c r="H217" s="260"/>
      <c r="I217" s="260"/>
      <c r="J217" s="313"/>
      <c r="K217" s="253"/>
      <c r="L217" s="318"/>
      <c r="M217" s="1"/>
    </row>
    <row r="218" spans="1:13" ht="18.75" customHeight="1" x14ac:dyDescent="0.25">
      <c r="A218" s="51" t="s">
        <v>359</v>
      </c>
      <c r="B218" s="52"/>
      <c r="C218" s="52"/>
      <c r="D218" s="52"/>
      <c r="E218" s="52"/>
      <c r="F218" s="52"/>
      <c r="G218" s="52"/>
      <c r="H218" s="52"/>
      <c r="I218" s="52"/>
      <c r="J218" s="53"/>
      <c r="K218" s="282"/>
      <c r="L218" s="340"/>
      <c r="M218" s="1"/>
    </row>
    <row r="219" spans="1:13" ht="18.75" customHeight="1" x14ac:dyDescent="0.25">
      <c r="A219" s="54" t="s">
        <v>360</v>
      </c>
      <c r="B219" s="46"/>
      <c r="C219" s="46"/>
      <c r="D219" s="46"/>
      <c r="E219" s="46"/>
      <c r="F219" s="46"/>
      <c r="G219" s="46"/>
      <c r="H219" s="46"/>
      <c r="I219" s="46"/>
      <c r="J219" s="47"/>
      <c r="K219" s="173"/>
      <c r="L219" s="174"/>
      <c r="M219" s="1"/>
    </row>
    <row r="220" spans="1:13" ht="18.75" customHeight="1" x14ac:dyDescent="0.25">
      <c r="A220" s="54" t="s">
        <v>361</v>
      </c>
      <c r="B220" s="46"/>
      <c r="C220" s="46"/>
      <c r="D220" s="46"/>
      <c r="E220" s="46"/>
      <c r="F220" s="46"/>
      <c r="G220" s="46"/>
      <c r="H220" s="46"/>
      <c r="I220" s="46"/>
      <c r="J220" s="47"/>
      <c r="K220" s="173"/>
      <c r="L220" s="174"/>
      <c r="M220" s="1"/>
    </row>
    <row r="221" spans="1:13" ht="18.75" customHeight="1" x14ac:dyDescent="0.25">
      <c r="A221" s="54" t="s">
        <v>362</v>
      </c>
      <c r="B221" s="46"/>
      <c r="C221" s="46"/>
      <c r="D221" s="46"/>
      <c r="E221" s="46"/>
      <c r="F221" s="46"/>
      <c r="G221" s="46"/>
      <c r="H221" s="46"/>
      <c r="I221" s="46"/>
      <c r="J221" s="47"/>
      <c r="K221" s="173"/>
      <c r="L221" s="174"/>
      <c r="M221" s="1"/>
    </row>
    <row r="222" spans="1:13" ht="18.75" customHeight="1" x14ac:dyDescent="0.25">
      <c r="A222" s="54" t="s">
        <v>363</v>
      </c>
      <c r="B222" s="46"/>
      <c r="C222" s="46"/>
      <c r="D222" s="46"/>
      <c r="E222" s="46"/>
      <c r="F222" s="46"/>
      <c r="G222" s="46"/>
      <c r="H222" s="46"/>
      <c r="I222" s="46"/>
      <c r="J222" s="47"/>
      <c r="K222" s="173"/>
      <c r="L222" s="174"/>
      <c r="M222" s="1"/>
    </row>
    <row r="223" spans="1:13" ht="18.75" customHeight="1" x14ac:dyDescent="0.25">
      <c r="A223" s="54" t="s">
        <v>364</v>
      </c>
      <c r="B223" s="46"/>
      <c r="C223" s="46"/>
      <c r="D223" s="46"/>
      <c r="E223" s="46"/>
      <c r="F223" s="46"/>
      <c r="G223" s="46"/>
      <c r="H223" s="46"/>
      <c r="I223" s="46"/>
      <c r="J223" s="47"/>
      <c r="K223" s="173"/>
      <c r="L223" s="174"/>
      <c r="M223" s="1"/>
    </row>
    <row r="224" spans="1:13" ht="18.75" customHeight="1" x14ac:dyDescent="0.25">
      <c r="A224" s="54" t="s">
        <v>365</v>
      </c>
      <c r="B224" s="46"/>
      <c r="C224" s="46"/>
      <c r="D224" s="46"/>
      <c r="E224" s="46"/>
      <c r="F224" s="46"/>
      <c r="G224" s="46"/>
      <c r="H224" s="46"/>
      <c r="I224" s="46"/>
      <c r="J224" s="47"/>
      <c r="K224" s="173"/>
      <c r="L224" s="174"/>
      <c r="M224" s="1"/>
    </row>
    <row r="225" spans="1:13" ht="18.75" customHeight="1" x14ac:dyDescent="0.25">
      <c r="A225" s="469" t="s">
        <v>366</v>
      </c>
      <c r="B225" s="304"/>
      <c r="C225" s="304"/>
      <c r="D225" s="304"/>
      <c r="E225" s="304"/>
      <c r="F225" s="304"/>
      <c r="G225" s="304"/>
      <c r="H225" s="304"/>
      <c r="I225" s="304"/>
      <c r="J225" s="305"/>
      <c r="K225" s="173"/>
      <c r="L225" s="174"/>
      <c r="M225" s="1"/>
    </row>
    <row r="226" spans="1:13" ht="18.75" customHeight="1" x14ac:dyDescent="0.25">
      <c r="A226" s="54" t="s">
        <v>367</v>
      </c>
      <c r="B226" s="46"/>
      <c r="C226" s="46"/>
      <c r="D226" s="46"/>
      <c r="E226" s="46"/>
      <c r="F226" s="46"/>
      <c r="G226" s="46"/>
      <c r="H226" s="46"/>
      <c r="I226" s="46"/>
      <c r="J226" s="47"/>
      <c r="K226" s="173"/>
      <c r="L226" s="174"/>
      <c r="M226" s="1"/>
    </row>
    <row r="227" spans="1:13" ht="18.75" customHeight="1" x14ac:dyDescent="0.25">
      <c r="A227" s="54" t="s">
        <v>368</v>
      </c>
      <c r="B227" s="46"/>
      <c r="C227" s="46"/>
      <c r="D227" s="46"/>
      <c r="E227" s="46"/>
      <c r="F227" s="46"/>
      <c r="G227" s="46"/>
      <c r="H227" s="46"/>
      <c r="I227" s="46"/>
      <c r="J227" s="47"/>
      <c r="K227" s="173"/>
      <c r="L227" s="174"/>
      <c r="M227" s="1"/>
    </row>
    <row r="228" spans="1:13" ht="18.75" customHeight="1" x14ac:dyDescent="0.25">
      <c r="A228" s="54" t="s">
        <v>369</v>
      </c>
      <c r="B228" s="46"/>
      <c r="C228" s="46"/>
      <c r="D228" s="46"/>
      <c r="E228" s="46"/>
      <c r="F228" s="46"/>
      <c r="G228" s="46"/>
      <c r="H228" s="46"/>
      <c r="I228" s="46"/>
      <c r="J228" s="47"/>
      <c r="K228" s="173"/>
      <c r="L228" s="174"/>
      <c r="M228" s="1"/>
    </row>
    <row r="229" spans="1:13" ht="18.75" customHeight="1" x14ac:dyDescent="0.25">
      <c r="A229" s="54" t="s">
        <v>370</v>
      </c>
      <c r="B229" s="46"/>
      <c r="C229" s="46"/>
      <c r="D229" s="46"/>
      <c r="E229" s="46"/>
      <c r="F229" s="46"/>
      <c r="G229" s="46"/>
      <c r="H229" s="46"/>
      <c r="I229" s="46"/>
      <c r="J229" s="47"/>
      <c r="K229" s="173"/>
      <c r="L229" s="174"/>
      <c r="M229" s="1"/>
    </row>
    <row r="230" spans="1:13" ht="18.75" customHeight="1" x14ac:dyDescent="0.25">
      <c r="A230" s="54" t="s">
        <v>371</v>
      </c>
      <c r="B230" s="46"/>
      <c r="C230" s="46"/>
      <c r="D230" s="46"/>
      <c r="E230" s="46"/>
      <c r="F230" s="46"/>
      <c r="G230" s="46"/>
      <c r="H230" s="46"/>
      <c r="I230" s="46"/>
      <c r="J230" s="47"/>
      <c r="K230" s="173"/>
      <c r="L230" s="174"/>
      <c r="M230" s="1"/>
    </row>
    <row r="231" spans="1:13" ht="18.75" customHeight="1" x14ac:dyDescent="0.25">
      <c r="A231" s="54" t="s">
        <v>372</v>
      </c>
      <c r="B231" s="46"/>
      <c r="C231" s="46"/>
      <c r="D231" s="46"/>
      <c r="E231" s="46"/>
      <c r="F231" s="46"/>
      <c r="G231" s="46"/>
      <c r="H231" s="46"/>
      <c r="I231" s="46"/>
      <c r="J231" s="47"/>
      <c r="K231" s="173"/>
      <c r="L231" s="174"/>
      <c r="M231" s="1"/>
    </row>
    <row r="232" spans="1:13" ht="18.75" customHeight="1" x14ac:dyDescent="0.25">
      <c r="A232" s="54" t="s">
        <v>373</v>
      </c>
      <c r="B232" s="46"/>
      <c r="C232" s="46"/>
      <c r="D232" s="46"/>
      <c r="E232" s="46"/>
      <c r="F232" s="46"/>
      <c r="G232" s="46"/>
      <c r="H232" s="46"/>
      <c r="I232" s="46"/>
      <c r="J232" s="47"/>
      <c r="K232" s="173"/>
      <c r="L232" s="174"/>
      <c r="M232" s="1"/>
    </row>
    <row r="233" spans="1:13" ht="18.75" customHeight="1" x14ac:dyDescent="0.25">
      <c r="A233" s="54" t="s">
        <v>374</v>
      </c>
      <c r="B233" s="46"/>
      <c r="C233" s="46"/>
      <c r="D233" s="46"/>
      <c r="E233" s="46"/>
      <c r="F233" s="46"/>
      <c r="G233" s="46"/>
      <c r="H233" s="46"/>
      <c r="I233" s="46"/>
      <c r="J233" s="47"/>
      <c r="K233" s="173"/>
      <c r="L233" s="174"/>
      <c r="M233" s="1"/>
    </row>
    <row r="234" spans="1:13" ht="18.75" customHeight="1" x14ac:dyDescent="0.25">
      <c r="A234" s="54" t="s">
        <v>375</v>
      </c>
      <c r="B234" s="46"/>
      <c r="C234" s="46"/>
      <c r="D234" s="46"/>
      <c r="E234" s="46"/>
      <c r="F234" s="46"/>
      <c r="G234" s="46"/>
      <c r="H234" s="46"/>
      <c r="I234" s="46"/>
      <c r="J234" s="47"/>
      <c r="K234" s="173"/>
      <c r="L234" s="174"/>
      <c r="M234" s="1"/>
    </row>
    <row r="235" spans="1:13" ht="18.75" customHeight="1" x14ac:dyDescent="0.25">
      <c r="A235" s="54" t="s">
        <v>376</v>
      </c>
      <c r="B235" s="46"/>
      <c r="C235" s="46"/>
      <c r="D235" s="46"/>
      <c r="E235" s="46"/>
      <c r="F235" s="46"/>
      <c r="G235" s="46"/>
      <c r="H235" s="46"/>
      <c r="I235" s="46"/>
      <c r="J235" s="47"/>
      <c r="K235" s="173"/>
      <c r="L235" s="174"/>
      <c r="M235" s="1"/>
    </row>
    <row r="236" spans="1:13" ht="18.75" customHeight="1" x14ac:dyDescent="0.25">
      <c r="A236" s="54" t="s">
        <v>377</v>
      </c>
      <c r="B236" s="46"/>
      <c r="C236" s="46"/>
      <c r="D236" s="46"/>
      <c r="E236" s="46"/>
      <c r="F236" s="46"/>
      <c r="G236" s="46"/>
      <c r="H236" s="46"/>
      <c r="I236" s="46"/>
      <c r="J236" s="47"/>
      <c r="K236" s="173"/>
      <c r="L236" s="174"/>
      <c r="M236" s="1"/>
    </row>
    <row r="237" spans="1:13" ht="18.75" customHeight="1" x14ac:dyDescent="0.25">
      <c r="A237" s="54" t="s">
        <v>378</v>
      </c>
      <c r="B237" s="46"/>
      <c r="C237" s="46"/>
      <c r="D237" s="46"/>
      <c r="E237" s="46"/>
      <c r="F237" s="46"/>
      <c r="G237" s="46"/>
      <c r="H237" s="46"/>
      <c r="I237" s="46"/>
      <c r="J237" s="47"/>
      <c r="K237" s="173"/>
      <c r="L237" s="174"/>
      <c r="M237" s="1"/>
    </row>
    <row r="238" spans="1:13" ht="18.75" customHeight="1" x14ac:dyDescent="0.25">
      <c r="A238" s="54" t="s">
        <v>379</v>
      </c>
      <c r="B238" s="46"/>
      <c r="C238" s="46"/>
      <c r="D238" s="46"/>
      <c r="E238" s="46"/>
      <c r="F238" s="46"/>
      <c r="G238" s="46"/>
      <c r="H238" s="46"/>
      <c r="I238" s="46"/>
      <c r="J238" s="47"/>
      <c r="K238" s="173"/>
      <c r="L238" s="174"/>
      <c r="M238" s="1"/>
    </row>
    <row r="239" spans="1:13" ht="18.75" customHeight="1" x14ac:dyDescent="0.25">
      <c r="A239" s="54" t="s">
        <v>380</v>
      </c>
      <c r="B239" s="46"/>
      <c r="C239" s="46"/>
      <c r="D239" s="46"/>
      <c r="E239" s="46"/>
      <c r="F239" s="46"/>
      <c r="G239" s="46"/>
      <c r="H239" s="46"/>
      <c r="I239" s="46"/>
      <c r="J239" s="47"/>
      <c r="K239" s="173"/>
      <c r="L239" s="174"/>
      <c r="M239" s="1"/>
    </row>
    <row r="240" spans="1:13" ht="18.75" customHeight="1" x14ac:dyDescent="0.25">
      <c r="A240" s="54" t="s">
        <v>381</v>
      </c>
      <c r="B240" s="46"/>
      <c r="C240" s="46"/>
      <c r="D240" s="46"/>
      <c r="E240" s="46"/>
      <c r="F240" s="46"/>
      <c r="G240" s="46"/>
      <c r="H240" s="46"/>
      <c r="I240" s="46"/>
      <c r="J240" s="47"/>
      <c r="K240" s="173"/>
      <c r="L240" s="174"/>
      <c r="M240" s="1"/>
    </row>
    <row r="241" spans="1:13" ht="18.75" customHeight="1" x14ac:dyDescent="0.25">
      <c r="A241" s="54" t="s">
        <v>382</v>
      </c>
      <c r="B241" s="46"/>
      <c r="C241" s="46"/>
      <c r="D241" s="46"/>
      <c r="E241" s="46"/>
      <c r="F241" s="46"/>
      <c r="G241" s="46"/>
      <c r="H241" s="46"/>
      <c r="I241" s="46"/>
      <c r="J241" s="47"/>
      <c r="K241" s="173"/>
      <c r="L241" s="174"/>
      <c r="M241" s="1"/>
    </row>
    <row r="242" spans="1:13" ht="18.75" customHeight="1" x14ac:dyDescent="0.25">
      <c r="A242" s="54" t="s">
        <v>383</v>
      </c>
      <c r="B242" s="46"/>
      <c r="C242" s="46"/>
      <c r="D242" s="46"/>
      <c r="E242" s="46"/>
      <c r="F242" s="46"/>
      <c r="G242" s="46"/>
      <c r="H242" s="46"/>
      <c r="I242" s="46"/>
      <c r="J242" s="47"/>
      <c r="K242" s="173"/>
      <c r="L242" s="174"/>
      <c r="M242" s="1"/>
    </row>
    <row r="243" spans="1:13" ht="18.75" customHeight="1" x14ac:dyDescent="0.25">
      <c r="A243" s="54" t="s">
        <v>384</v>
      </c>
      <c r="B243" s="46"/>
      <c r="C243" s="46"/>
      <c r="D243" s="46"/>
      <c r="E243" s="46"/>
      <c r="F243" s="46"/>
      <c r="G243" s="46"/>
      <c r="H243" s="46"/>
      <c r="I243" s="46"/>
      <c r="J243" s="47"/>
      <c r="K243" s="173"/>
      <c r="L243" s="174"/>
      <c r="M243" s="1"/>
    </row>
    <row r="244" spans="1:13" ht="18.75" customHeight="1" x14ac:dyDescent="0.25">
      <c r="A244" s="54" t="s">
        <v>385</v>
      </c>
      <c r="B244" s="46"/>
      <c r="C244" s="46"/>
      <c r="D244" s="46"/>
      <c r="E244" s="46"/>
      <c r="F244" s="46"/>
      <c r="G244" s="46"/>
      <c r="H244" s="46"/>
      <c r="I244" s="46"/>
      <c r="J244" s="47"/>
      <c r="K244" s="173"/>
      <c r="L244" s="174"/>
      <c r="M244" s="1"/>
    </row>
    <row r="245" spans="1:13" ht="18.75" customHeight="1" x14ac:dyDescent="0.25">
      <c r="A245" s="54" t="s">
        <v>386</v>
      </c>
      <c r="B245" s="46"/>
      <c r="C245" s="46"/>
      <c r="D245" s="46"/>
      <c r="E245" s="46"/>
      <c r="F245" s="46"/>
      <c r="G245" s="46"/>
      <c r="H245" s="46"/>
      <c r="I245" s="46"/>
      <c r="J245" s="47"/>
      <c r="K245" s="173"/>
      <c r="L245" s="174"/>
      <c r="M245" s="1"/>
    </row>
    <row r="246" spans="1:13" ht="18.75" customHeight="1" x14ac:dyDescent="0.25">
      <c r="A246" s="54" t="s">
        <v>387</v>
      </c>
      <c r="B246" s="46"/>
      <c r="C246" s="46"/>
      <c r="D246" s="46"/>
      <c r="E246" s="46"/>
      <c r="F246" s="46"/>
      <c r="G246" s="46"/>
      <c r="H246" s="46"/>
      <c r="I246" s="46"/>
      <c r="J246" s="47"/>
      <c r="K246" s="173"/>
      <c r="L246" s="174"/>
      <c r="M246" s="1"/>
    </row>
    <row r="247" spans="1:13" ht="18.75" customHeight="1" x14ac:dyDescent="0.25">
      <c r="A247" s="54" t="s">
        <v>388</v>
      </c>
      <c r="B247" s="46"/>
      <c r="C247" s="46"/>
      <c r="D247" s="46"/>
      <c r="E247" s="46"/>
      <c r="F247" s="46"/>
      <c r="G247" s="46"/>
      <c r="H247" s="46"/>
      <c r="I247" s="46"/>
      <c r="J247" s="47"/>
      <c r="K247" s="173"/>
      <c r="L247" s="174"/>
      <c r="M247" s="1"/>
    </row>
    <row r="248" spans="1:13" ht="18.75" customHeight="1" x14ac:dyDescent="0.25">
      <c r="A248" s="54" t="s">
        <v>389</v>
      </c>
      <c r="B248" s="46"/>
      <c r="C248" s="46"/>
      <c r="D248" s="46"/>
      <c r="E248" s="46"/>
      <c r="F248" s="46"/>
      <c r="G248" s="46"/>
      <c r="H248" s="46"/>
      <c r="I248" s="46"/>
      <c r="J248" s="47"/>
      <c r="K248" s="173"/>
      <c r="L248" s="174"/>
      <c r="M248" s="1"/>
    </row>
    <row r="249" spans="1:13" ht="18.75" customHeight="1" x14ac:dyDescent="0.25">
      <c r="A249" s="54" t="s">
        <v>390</v>
      </c>
      <c r="B249" s="46"/>
      <c r="C249" s="46"/>
      <c r="D249" s="46"/>
      <c r="E249" s="46"/>
      <c r="F249" s="46"/>
      <c r="G249" s="46"/>
      <c r="H249" s="46"/>
      <c r="I249" s="46"/>
      <c r="J249" s="47"/>
      <c r="K249" s="173"/>
      <c r="L249" s="174"/>
      <c r="M249" s="1"/>
    </row>
    <row r="250" spans="1:13" ht="18.75" customHeight="1" x14ac:dyDescent="0.25">
      <c r="A250" s="54" t="s">
        <v>391</v>
      </c>
      <c r="B250" s="46"/>
      <c r="C250" s="46"/>
      <c r="D250" s="46"/>
      <c r="E250" s="46"/>
      <c r="F250" s="46"/>
      <c r="G250" s="46"/>
      <c r="H250" s="46"/>
      <c r="I250" s="46"/>
      <c r="J250" s="47"/>
      <c r="K250" s="173"/>
      <c r="L250" s="174"/>
      <c r="M250" s="1"/>
    </row>
    <row r="251" spans="1:13" ht="18.75" customHeight="1" x14ac:dyDescent="0.25">
      <c r="A251" s="54" t="s">
        <v>392</v>
      </c>
      <c r="B251" s="46"/>
      <c r="C251" s="46"/>
      <c r="D251" s="46"/>
      <c r="E251" s="46"/>
      <c r="F251" s="46"/>
      <c r="G251" s="46"/>
      <c r="H251" s="46"/>
      <c r="I251" s="46"/>
      <c r="J251" s="47"/>
      <c r="K251" s="173"/>
      <c r="L251" s="174"/>
      <c r="M251" s="1"/>
    </row>
    <row r="252" spans="1:13" ht="18.75" customHeight="1" x14ac:dyDescent="0.25">
      <c r="A252" s="54" t="s">
        <v>393</v>
      </c>
      <c r="B252" s="46"/>
      <c r="C252" s="46"/>
      <c r="D252" s="46"/>
      <c r="E252" s="46"/>
      <c r="F252" s="46"/>
      <c r="G252" s="46"/>
      <c r="H252" s="46"/>
      <c r="I252" s="46"/>
      <c r="J252" s="47"/>
      <c r="K252" s="173"/>
      <c r="L252" s="174"/>
      <c r="M252" s="1"/>
    </row>
    <row r="253" spans="1:13" ht="18.75" customHeight="1" thickBot="1" x14ac:dyDescent="0.3">
      <c r="A253" s="55" t="s">
        <v>394</v>
      </c>
      <c r="B253" s="56"/>
      <c r="C253" s="56"/>
      <c r="D253" s="56"/>
      <c r="E253" s="56"/>
      <c r="F253" s="56"/>
      <c r="G253" s="56"/>
      <c r="H253" s="56"/>
      <c r="I253" s="56"/>
      <c r="J253" s="57"/>
      <c r="K253" s="467"/>
      <c r="L253" s="343"/>
      <c r="M253" s="1"/>
    </row>
    <row r="254" spans="1:13" ht="18.75" customHeight="1" thickBo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</row>
    <row r="255" spans="1:13" ht="18.75" customHeight="1" x14ac:dyDescent="0.25">
      <c r="A255" s="314" t="s">
        <v>449</v>
      </c>
      <c r="B255" s="257"/>
      <c r="C255" s="257"/>
      <c r="D255" s="257"/>
      <c r="E255" s="257"/>
      <c r="F255" s="257"/>
      <c r="G255" s="257"/>
      <c r="H255" s="257"/>
      <c r="I255" s="257"/>
      <c r="J255" s="315"/>
      <c r="K255" s="316">
        <f>K257</f>
        <v>0</v>
      </c>
      <c r="L255" s="317"/>
      <c r="M255" s="1"/>
    </row>
    <row r="256" spans="1:13" ht="18.75" customHeight="1" thickBot="1" x14ac:dyDescent="0.3">
      <c r="A256" s="259"/>
      <c r="B256" s="260"/>
      <c r="C256" s="260"/>
      <c r="D256" s="260"/>
      <c r="E256" s="260"/>
      <c r="F256" s="260"/>
      <c r="G256" s="260"/>
      <c r="H256" s="260"/>
      <c r="I256" s="260"/>
      <c r="J256" s="313"/>
      <c r="K256" s="253"/>
      <c r="L256" s="318"/>
      <c r="M256" s="1"/>
    </row>
    <row r="257" spans="1:13" ht="18.75" customHeight="1" thickBot="1" x14ac:dyDescent="0.3">
      <c r="A257" s="319" t="s">
        <v>395</v>
      </c>
      <c r="B257" s="320"/>
      <c r="C257" s="320"/>
      <c r="D257" s="320"/>
      <c r="E257" s="320"/>
      <c r="F257" s="320"/>
      <c r="G257" s="320"/>
      <c r="H257" s="320"/>
      <c r="I257" s="320"/>
      <c r="J257" s="321"/>
      <c r="K257" s="322">
        <f>K390</f>
        <v>0</v>
      </c>
      <c r="L257" s="323"/>
      <c r="M257" s="1"/>
    </row>
    <row r="258" spans="1:13" ht="18.75" customHeight="1" thickBo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</row>
    <row r="259" spans="1:13" ht="18.75" customHeight="1" x14ac:dyDescent="0.25">
      <c r="A259" s="314" t="s">
        <v>450</v>
      </c>
      <c r="B259" s="257"/>
      <c r="C259" s="257"/>
      <c r="D259" s="257"/>
      <c r="E259" s="257"/>
      <c r="F259" s="257"/>
      <c r="G259" s="257"/>
      <c r="H259" s="257"/>
      <c r="I259" s="257"/>
      <c r="J259" s="315"/>
      <c r="K259" s="338">
        <f>SUM(K261:L265)</f>
        <v>0</v>
      </c>
      <c r="L259" s="317"/>
      <c r="M259" s="1"/>
    </row>
    <row r="260" spans="1:13" ht="18.75" customHeight="1" thickBot="1" x14ac:dyDescent="0.3">
      <c r="A260" s="259"/>
      <c r="B260" s="260"/>
      <c r="C260" s="260"/>
      <c r="D260" s="260"/>
      <c r="E260" s="260"/>
      <c r="F260" s="260"/>
      <c r="G260" s="260"/>
      <c r="H260" s="260"/>
      <c r="I260" s="260"/>
      <c r="J260" s="313"/>
      <c r="K260" s="253"/>
      <c r="L260" s="318"/>
      <c r="M260" s="1"/>
    </row>
    <row r="261" spans="1:13" ht="18.75" customHeight="1" x14ac:dyDescent="0.25">
      <c r="A261" s="51" t="s">
        <v>396</v>
      </c>
      <c r="B261" s="52"/>
      <c r="C261" s="52"/>
      <c r="D261" s="52"/>
      <c r="E261" s="52"/>
      <c r="F261" s="52"/>
      <c r="G261" s="52"/>
      <c r="H261" s="52"/>
      <c r="I261" s="52"/>
      <c r="J261" s="53"/>
      <c r="K261" s="339"/>
      <c r="L261" s="340"/>
      <c r="M261" s="1"/>
    </row>
    <row r="262" spans="1:13" ht="18.75" customHeight="1" x14ac:dyDescent="0.25">
      <c r="A262" s="54" t="s">
        <v>397</v>
      </c>
      <c r="B262" s="46"/>
      <c r="C262" s="46"/>
      <c r="D262" s="46"/>
      <c r="E262" s="46"/>
      <c r="F262" s="46"/>
      <c r="G262" s="46"/>
      <c r="H262" s="46"/>
      <c r="I262" s="46"/>
      <c r="J262" s="47"/>
      <c r="K262" s="341"/>
      <c r="L262" s="174"/>
      <c r="M262" s="1"/>
    </row>
    <row r="263" spans="1:13" ht="18.75" customHeight="1" x14ac:dyDescent="0.25">
      <c r="A263" s="54" t="s">
        <v>398</v>
      </c>
      <c r="B263" s="46"/>
      <c r="C263" s="46"/>
      <c r="D263" s="46"/>
      <c r="E263" s="46"/>
      <c r="F263" s="46"/>
      <c r="G263" s="46"/>
      <c r="H263" s="46"/>
      <c r="I263" s="46"/>
      <c r="J263" s="47"/>
      <c r="K263" s="341"/>
      <c r="L263" s="174"/>
      <c r="M263" s="1"/>
    </row>
    <row r="264" spans="1:13" ht="18.75" customHeight="1" x14ac:dyDescent="0.25">
      <c r="A264" s="54" t="s">
        <v>399</v>
      </c>
      <c r="B264" s="46"/>
      <c r="C264" s="46"/>
      <c r="D264" s="46"/>
      <c r="E264" s="46"/>
      <c r="F264" s="46"/>
      <c r="G264" s="46"/>
      <c r="H264" s="46"/>
      <c r="I264" s="46"/>
      <c r="J264" s="47"/>
      <c r="K264" s="341"/>
      <c r="L264" s="174"/>
      <c r="M264" s="1"/>
    </row>
    <row r="265" spans="1:13" ht="18.75" customHeight="1" thickBot="1" x14ac:dyDescent="0.3">
      <c r="A265" s="55" t="s">
        <v>400</v>
      </c>
      <c r="B265" s="56"/>
      <c r="C265" s="56"/>
      <c r="D265" s="56"/>
      <c r="E265" s="56"/>
      <c r="F265" s="56"/>
      <c r="G265" s="56"/>
      <c r="H265" s="56"/>
      <c r="I265" s="56"/>
      <c r="J265" s="57"/>
      <c r="K265" s="342"/>
      <c r="L265" s="343"/>
      <c r="M265" s="1"/>
    </row>
    <row r="266" spans="1:13" ht="18.75" customHeight="1" thickBot="1" x14ac:dyDescent="0.3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1"/>
    </row>
    <row r="267" spans="1:13" ht="18.75" customHeight="1" x14ac:dyDescent="0.25">
      <c r="A267" s="309" t="s">
        <v>451</v>
      </c>
      <c r="B267" s="310"/>
      <c r="C267" s="310"/>
      <c r="D267" s="310"/>
      <c r="E267" s="310"/>
      <c r="F267" s="310"/>
      <c r="G267" s="310"/>
      <c r="H267" s="310"/>
      <c r="I267" s="310"/>
      <c r="J267" s="311"/>
      <c r="K267" s="344">
        <f>(+K148+J146+K154+K200+K208+K216)*K269</f>
        <v>0</v>
      </c>
      <c r="L267" s="286"/>
      <c r="M267" s="1"/>
    </row>
    <row r="268" spans="1:13" ht="18.75" customHeight="1" x14ac:dyDescent="0.25">
      <c r="A268" s="330"/>
      <c r="B268" s="328"/>
      <c r="C268" s="328"/>
      <c r="D268" s="328"/>
      <c r="E268" s="328"/>
      <c r="F268" s="328"/>
      <c r="G268" s="328"/>
      <c r="H268" s="328"/>
      <c r="I268" s="328"/>
      <c r="J268" s="329"/>
      <c r="K268" s="334"/>
      <c r="L268" s="333"/>
      <c r="M268" s="1"/>
    </row>
    <row r="269" spans="1:13" ht="18.75" customHeight="1" x14ac:dyDescent="0.25">
      <c r="A269" s="324" t="s">
        <v>401</v>
      </c>
      <c r="B269" s="325"/>
      <c r="C269" s="325"/>
      <c r="D269" s="325"/>
      <c r="E269" s="325"/>
      <c r="F269" s="325"/>
      <c r="G269" s="325"/>
      <c r="H269" s="325"/>
      <c r="I269" s="325"/>
      <c r="J269" s="325"/>
      <c r="K269" s="325">
        <f>IF(((+K148+J146+K154+K200+K208+K216)&gt;200000),8%,5%)</f>
        <v>0.05</v>
      </c>
      <c r="L269" s="326"/>
      <c r="M269" s="1"/>
    </row>
    <row r="270" spans="1:13" ht="18.75" customHeight="1" x14ac:dyDescent="0.25">
      <c r="A270" s="324"/>
      <c r="B270" s="325"/>
      <c r="C270" s="325"/>
      <c r="D270" s="325"/>
      <c r="E270" s="325"/>
      <c r="F270" s="325"/>
      <c r="G270" s="325"/>
      <c r="H270" s="325"/>
      <c r="I270" s="325"/>
      <c r="J270" s="325"/>
      <c r="K270" s="325"/>
      <c r="L270" s="326"/>
      <c r="M270" s="1"/>
    </row>
    <row r="271" spans="1:13" ht="18.75" customHeight="1" x14ac:dyDescent="0.25">
      <c r="A271" s="327" t="s">
        <v>452</v>
      </c>
      <c r="B271" s="328"/>
      <c r="C271" s="328"/>
      <c r="D271" s="328"/>
      <c r="E271" s="328"/>
      <c r="F271" s="328"/>
      <c r="G271" s="328"/>
      <c r="H271" s="328"/>
      <c r="I271" s="328"/>
      <c r="J271" s="329"/>
      <c r="K271" s="332">
        <f>((K259+K259+K255+K216+K208+K200+K154+K148+G146)*K274)</f>
        <v>0</v>
      </c>
      <c r="L271" s="333"/>
      <c r="M271" s="1"/>
    </row>
    <row r="272" spans="1:13" ht="18.75" customHeight="1" x14ac:dyDescent="0.25">
      <c r="A272" s="330"/>
      <c r="B272" s="331"/>
      <c r="C272" s="331"/>
      <c r="D272" s="331"/>
      <c r="E272" s="331"/>
      <c r="F272" s="331"/>
      <c r="G272" s="331"/>
      <c r="H272" s="331"/>
      <c r="I272" s="331"/>
      <c r="J272" s="329"/>
      <c r="K272" s="334"/>
      <c r="L272" s="333"/>
      <c r="M272" s="1"/>
    </row>
    <row r="273" spans="1:13" ht="18.75" customHeight="1" x14ac:dyDescent="0.25">
      <c r="A273" s="330"/>
      <c r="B273" s="328"/>
      <c r="C273" s="328"/>
      <c r="D273" s="328"/>
      <c r="E273" s="328"/>
      <c r="F273" s="328"/>
      <c r="G273" s="328"/>
      <c r="H273" s="328"/>
      <c r="I273" s="328"/>
      <c r="J273" s="329"/>
      <c r="K273" s="334"/>
      <c r="L273" s="333"/>
      <c r="M273" s="1"/>
    </row>
    <row r="274" spans="1:13" ht="18.75" customHeight="1" x14ac:dyDescent="0.25">
      <c r="A274" s="324" t="s">
        <v>416</v>
      </c>
      <c r="B274" s="325"/>
      <c r="C274" s="325"/>
      <c r="D274" s="325"/>
      <c r="E274" s="325"/>
      <c r="F274" s="325"/>
      <c r="G274" s="325"/>
      <c r="H274" s="325"/>
      <c r="I274" s="325"/>
      <c r="J274" s="325"/>
      <c r="K274" s="335">
        <v>0.05</v>
      </c>
      <c r="L274" s="336"/>
      <c r="M274" s="1"/>
    </row>
    <row r="275" spans="1:13" ht="18.75" customHeight="1" x14ac:dyDescent="0.25">
      <c r="A275" s="324"/>
      <c r="B275" s="325"/>
      <c r="C275" s="325"/>
      <c r="D275" s="325"/>
      <c r="E275" s="325"/>
      <c r="F275" s="325"/>
      <c r="G275" s="325"/>
      <c r="H275" s="325"/>
      <c r="I275" s="325"/>
      <c r="J275" s="325"/>
      <c r="K275" s="337"/>
      <c r="L275" s="336"/>
      <c r="M275" s="1"/>
    </row>
    <row r="276" spans="1:13" ht="18.75" customHeight="1" x14ac:dyDescent="0.25">
      <c r="A276" s="470" t="s">
        <v>402</v>
      </c>
      <c r="B276" s="328"/>
      <c r="C276" s="328"/>
      <c r="D276" s="328"/>
      <c r="E276" s="328"/>
      <c r="F276" s="328"/>
      <c r="G276" s="328"/>
      <c r="H276" s="328"/>
      <c r="I276" s="328"/>
      <c r="J276" s="329"/>
      <c r="K276" s="332">
        <f>(SUM(K148,K154,K200,K208,K216,,K255,K259,K267,K271))</f>
        <v>0</v>
      </c>
      <c r="L276" s="333"/>
      <c r="M276" s="1"/>
    </row>
    <row r="277" spans="1:13" ht="18.75" customHeight="1" thickBot="1" x14ac:dyDescent="0.3">
      <c r="A277" s="471"/>
      <c r="B277" s="472"/>
      <c r="C277" s="472"/>
      <c r="D277" s="472"/>
      <c r="E277" s="472"/>
      <c r="F277" s="472"/>
      <c r="G277" s="472"/>
      <c r="H277" s="472"/>
      <c r="I277" s="472"/>
      <c r="J277" s="473"/>
      <c r="K277" s="474"/>
      <c r="L277" s="475"/>
      <c r="M277" s="1"/>
    </row>
    <row r="278" spans="1:13" ht="18.75" customHeight="1" thickBot="1" x14ac:dyDescent="0.3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1"/>
    </row>
    <row r="279" spans="1:13" ht="18.75" customHeight="1" x14ac:dyDescent="0.25">
      <c r="A279" s="195" t="s">
        <v>453</v>
      </c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7"/>
      <c r="M279" s="1"/>
    </row>
    <row r="280" spans="1:13" ht="18.75" customHeight="1" x14ac:dyDescent="0.25">
      <c r="A280" s="198"/>
      <c r="B280" s="199"/>
      <c r="C280" s="199"/>
      <c r="D280" s="199"/>
      <c r="E280" s="199"/>
      <c r="F280" s="199"/>
      <c r="G280" s="199"/>
      <c r="H280" s="199"/>
      <c r="I280" s="199"/>
      <c r="J280" s="199"/>
      <c r="K280" s="199"/>
      <c r="L280" s="200"/>
      <c r="M280" s="1"/>
    </row>
    <row r="281" spans="1:13" ht="18.75" customHeight="1" x14ac:dyDescent="0.25">
      <c r="A281" s="476" t="s">
        <v>260</v>
      </c>
      <c r="B281" s="248"/>
      <c r="C281" s="479" t="s">
        <v>261</v>
      </c>
      <c r="D281" s="480" t="s">
        <v>262</v>
      </c>
      <c r="E281" s="247"/>
      <c r="F281" s="247"/>
      <c r="G281" s="247"/>
      <c r="H281" s="247"/>
      <c r="I281" s="247"/>
      <c r="J281" s="248"/>
      <c r="K281" s="438" t="s">
        <v>263</v>
      </c>
      <c r="L281" s="284"/>
      <c r="M281" s="1"/>
    </row>
    <row r="282" spans="1:13" ht="18.75" customHeight="1" x14ac:dyDescent="0.25">
      <c r="A282" s="477"/>
      <c r="B282" s="457"/>
      <c r="C282" s="440"/>
      <c r="D282" s="334"/>
      <c r="E282" s="481"/>
      <c r="F282" s="481"/>
      <c r="G282" s="481"/>
      <c r="H282" s="481"/>
      <c r="I282" s="481"/>
      <c r="J282" s="457"/>
      <c r="K282" s="482" t="s">
        <v>264</v>
      </c>
      <c r="L282" s="284"/>
      <c r="M282" s="1"/>
    </row>
    <row r="283" spans="1:13" ht="18.75" customHeight="1" x14ac:dyDescent="0.25">
      <c r="A283" s="478"/>
      <c r="B283" s="251"/>
      <c r="C283" s="441"/>
      <c r="D283" s="249"/>
      <c r="E283" s="250"/>
      <c r="F283" s="250"/>
      <c r="G283" s="250"/>
      <c r="H283" s="250"/>
      <c r="I283" s="250"/>
      <c r="J283" s="251"/>
      <c r="K283" s="58" t="s">
        <v>24</v>
      </c>
      <c r="L283" s="59" t="s">
        <v>25</v>
      </c>
      <c r="M283" s="1"/>
    </row>
    <row r="284" spans="1:13" ht="18.75" customHeight="1" x14ac:dyDescent="0.25">
      <c r="A284" s="353"/>
      <c r="B284" s="305"/>
      <c r="C284" s="8"/>
      <c r="D284" s="354" t="s">
        <v>265</v>
      </c>
      <c r="E284" s="304"/>
      <c r="F284" s="304"/>
      <c r="G284" s="304"/>
      <c r="H284" s="304"/>
      <c r="I284" s="304"/>
      <c r="J284" s="305"/>
      <c r="K284" s="9"/>
      <c r="L284" s="10"/>
      <c r="M284" s="1"/>
    </row>
    <row r="285" spans="1:13" ht="18.75" customHeight="1" x14ac:dyDescent="0.25">
      <c r="A285" s="353"/>
      <c r="B285" s="305"/>
      <c r="C285" s="8"/>
      <c r="D285" s="354" t="s">
        <v>265</v>
      </c>
      <c r="E285" s="304"/>
      <c r="F285" s="304"/>
      <c r="G285" s="304"/>
      <c r="H285" s="304"/>
      <c r="I285" s="304"/>
      <c r="J285" s="305"/>
      <c r="K285" s="9"/>
      <c r="L285" s="10"/>
      <c r="M285" s="1"/>
    </row>
    <row r="286" spans="1:13" ht="18.75" customHeight="1" x14ac:dyDescent="0.25">
      <c r="A286" s="353"/>
      <c r="B286" s="305"/>
      <c r="C286" s="8"/>
      <c r="D286" s="354" t="s">
        <v>265</v>
      </c>
      <c r="E286" s="304"/>
      <c r="F286" s="304"/>
      <c r="G286" s="304"/>
      <c r="H286" s="304"/>
      <c r="I286" s="304"/>
      <c r="J286" s="305"/>
      <c r="K286" s="9"/>
      <c r="L286" s="10"/>
      <c r="M286" s="1"/>
    </row>
    <row r="287" spans="1:13" ht="18.75" customHeight="1" x14ac:dyDescent="0.25">
      <c r="A287" s="353"/>
      <c r="B287" s="305"/>
      <c r="C287" s="8"/>
      <c r="D287" s="354" t="s">
        <v>265</v>
      </c>
      <c r="E287" s="304"/>
      <c r="F287" s="304"/>
      <c r="G287" s="304"/>
      <c r="H287" s="304"/>
      <c r="I287" s="304"/>
      <c r="J287" s="305"/>
      <c r="K287" s="9"/>
      <c r="L287" s="10"/>
      <c r="M287" s="1"/>
    </row>
    <row r="288" spans="1:13" ht="18.75" customHeight="1" x14ac:dyDescent="0.25">
      <c r="A288" s="353"/>
      <c r="B288" s="305"/>
      <c r="C288" s="8"/>
      <c r="D288" s="354" t="s">
        <v>265</v>
      </c>
      <c r="E288" s="304"/>
      <c r="F288" s="304"/>
      <c r="G288" s="304"/>
      <c r="H288" s="304"/>
      <c r="I288" s="304"/>
      <c r="J288" s="305"/>
      <c r="K288" s="9"/>
      <c r="L288" s="10"/>
      <c r="M288" s="1"/>
    </row>
    <row r="289" spans="1:13" ht="18.75" customHeight="1" x14ac:dyDescent="0.25">
      <c r="A289" s="353"/>
      <c r="B289" s="305"/>
      <c r="C289" s="8"/>
      <c r="D289" s="354" t="s">
        <v>265</v>
      </c>
      <c r="E289" s="304"/>
      <c r="F289" s="304"/>
      <c r="G289" s="304"/>
      <c r="H289" s="304"/>
      <c r="I289" s="304"/>
      <c r="J289" s="305"/>
      <c r="K289" s="9"/>
      <c r="L289" s="10"/>
      <c r="M289" s="1"/>
    </row>
    <row r="290" spans="1:13" ht="18.75" customHeight="1" x14ac:dyDescent="0.25">
      <c r="A290" s="353"/>
      <c r="B290" s="305"/>
      <c r="C290" s="8"/>
      <c r="D290" s="354" t="s">
        <v>265</v>
      </c>
      <c r="E290" s="304"/>
      <c r="F290" s="304"/>
      <c r="G290" s="304"/>
      <c r="H290" s="304"/>
      <c r="I290" s="304"/>
      <c r="J290" s="305"/>
      <c r="K290" s="9"/>
      <c r="L290" s="10"/>
      <c r="M290" s="1"/>
    </row>
    <row r="291" spans="1:13" ht="18.75" customHeight="1" x14ac:dyDescent="0.25">
      <c r="A291" s="353"/>
      <c r="B291" s="305"/>
      <c r="C291" s="8"/>
      <c r="D291" s="354" t="s">
        <v>265</v>
      </c>
      <c r="E291" s="304"/>
      <c r="F291" s="304"/>
      <c r="G291" s="304"/>
      <c r="H291" s="304"/>
      <c r="I291" s="304"/>
      <c r="J291" s="305"/>
      <c r="K291" s="9"/>
      <c r="L291" s="10"/>
      <c r="M291" s="1"/>
    </row>
    <row r="292" spans="1:13" ht="18.75" customHeight="1" x14ac:dyDescent="0.25">
      <c r="A292" s="353"/>
      <c r="B292" s="305"/>
      <c r="C292" s="8"/>
      <c r="D292" s="354" t="s">
        <v>265</v>
      </c>
      <c r="E292" s="304"/>
      <c r="F292" s="304"/>
      <c r="G292" s="304"/>
      <c r="H292" s="304"/>
      <c r="I292" s="304"/>
      <c r="J292" s="305"/>
      <c r="K292" s="9"/>
      <c r="L292" s="10"/>
      <c r="M292" s="1"/>
    </row>
    <row r="293" spans="1:13" ht="18.75" customHeight="1" x14ac:dyDescent="0.25">
      <c r="A293" s="353"/>
      <c r="B293" s="305"/>
      <c r="C293" s="8"/>
      <c r="D293" s="354" t="s">
        <v>265</v>
      </c>
      <c r="E293" s="304"/>
      <c r="F293" s="304"/>
      <c r="G293" s="304"/>
      <c r="H293" s="304"/>
      <c r="I293" s="304"/>
      <c r="J293" s="305"/>
      <c r="K293" s="9"/>
      <c r="L293" s="10"/>
      <c r="M293" s="1"/>
    </row>
    <row r="294" spans="1:13" ht="18" customHeight="1" x14ac:dyDescent="0.25">
      <c r="A294" s="353"/>
      <c r="B294" s="305"/>
      <c r="C294" s="8"/>
      <c r="D294" s="354" t="s">
        <v>265</v>
      </c>
      <c r="E294" s="304"/>
      <c r="F294" s="304"/>
      <c r="G294" s="304"/>
      <c r="H294" s="304"/>
      <c r="I294" s="304"/>
      <c r="J294" s="305"/>
      <c r="K294" s="9"/>
      <c r="L294" s="10"/>
      <c r="M294" s="1"/>
    </row>
    <row r="295" spans="1:13" ht="18.75" customHeight="1" x14ac:dyDescent="0.25">
      <c r="A295" s="353"/>
      <c r="B295" s="305"/>
      <c r="C295" s="8"/>
      <c r="D295" s="354" t="s">
        <v>265</v>
      </c>
      <c r="E295" s="304"/>
      <c r="F295" s="304"/>
      <c r="G295" s="304"/>
      <c r="H295" s="304"/>
      <c r="I295" s="304"/>
      <c r="J295" s="305"/>
      <c r="K295" s="9"/>
      <c r="L295" s="10"/>
      <c r="M295" s="1"/>
    </row>
    <row r="296" spans="1:13" ht="18.75" customHeight="1" thickBot="1" x14ac:dyDescent="0.3">
      <c r="A296" s="483"/>
      <c r="B296" s="308"/>
      <c r="C296" s="11"/>
      <c r="D296" s="355" t="s">
        <v>265</v>
      </c>
      <c r="E296" s="307"/>
      <c r="F296" s="307"/>
      <c r="G296" s="307"/>
      <c r="H296" s="307"/>
      <c r="I296" s="307"/>
      <c r="J296" s="308"/>
      <c r="K296" s="12"/>
      <c r="L296" s="13"/>
      <c r="M296" s="1"/>
    </row>
    <row r="297" spans="1:13" ht="17.25" customHeight="1" thickBot="1" x14ac:dyDescent="0.3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1"/>
    </row>
    <row r="298" spans="1:13" ht="18.75" customHeight="1" x14ac:dyDescent="0.25">
      <c r="A298" s="484" t="s">
        <v>454</v>
      </c>
      <c r="B298" s="485"/>
      <c r="C298" s="485"/>
      <c r="D298" s="485"/>
      <c r="E298" s="485"/>
      <c r="F298" s="485"/>
      <c r="G298" s="485"/>
      <c r="H298" s="485"/>
      <c r="I298" s="485"/>
      <c r="J298" s="485"/>
      <c r="K298" s="485"/>
      <c r="L298" s="486"/>
      <c r="M298" s="1"/>
    </row>
    <row r="299" spans="1:13" ht="18.75" customHeight="1" x14ac:dyDescent="0.25">
      <c r="A299" s="487"/>
      <c r="B299" s="488"/>
      <c r="C299" s="488"/>
      <c r="D299" s="488"/>
      <c r="E299" s="488"/>
      <c r="F299" s="488"/>
      <c r="G299" s="488"/>
      <c r="H299" s="488"/>
      <c r="I299" s="488"/>
      <c r="J299" s="488"/>
      <c r="K299" s="488"/>
      <c r="L299" s="489"/>
      <c r="M299" s="1"/>
    </row>
    <row r="300" spans="1:13" ht="18" customHeight="1" x14ac:dyDescent="0.25">
      <c r="A300" s="490" t="s">
        <v>266</v>
      </c>
      <c r="B300" s="304"/>
      <c r="C300" s="304"/>
      <c r="D300" s="304"/>
      <c r="E300" s="304"/>
      <c r="F300" s="304"/>
      <c r="G300" s="304"/>
      <c r="H300" s="304"/>
      <c r="I300" s="304"/>
      <c r="J300" s="304"/>
      <c r="K300" s="304"/>
      <c r="L300" s="284"/>
      <c r="M300" s="1"/>
    </row>
    <row r="301" spans="1:13" ht="18" customHeight="1" x14ac:dyDescent="0.25">
      <c r="A301" s="40" t="s">
        <v>267</v>
      </c>
      <c r="B301" s="354" t="s">
        <v>268</v>
      </c>
      <c r="C301" s="304"/>
      <c r="D301" s="304"/>
      <c r="E301" s="304"/>
      <c r="F301" s="304"/>
      <c r="G301" s="304"/>
      <c r="H301" s="304"/>
      <c r="I301" s="304"/>
      <c r="J301" s="304"/>
      <c r="K301" s="304"/>
      <c r="L301" s="284"/>
      <c r="M301" s="1"/>
    </row>
    <row r="302" spans="1:13" ht="18.75" customHeight="1" x14ac:dyDescent="0.25">
      <c r="A302" s="40" t="s">
        <v>267</v>
      </c>
      <c r="B302" s="354" t="s">
        <v>268</v>
      </c>
      <c r="C302" s="304"/>
      <c r="D302" s="304"/>
      <c r="E302" s="304"/>
      <c r="F302" s="304"/>
      <c r="G302" s="304"/>
      <c r="H302" s="304"/>
      <c r="I302" s="304"/>
      <c r="J302" s="304"/>
      <c r="K302" s="304"/>
      <c r="L302" s="284"/>
      <c r="M302" s="1"/>
    </row>
    <row r="303" spans="1:13" ht="18.75" customHeight="1" x14ac:dyDescent="0.25">
      <c r="A303" s="40" t="s">
        <v>267</v>
      </c>
      <c r="B303" s="354" t="s">
        <v>268</v>
      </c>
      <c r="C303" s="304"/>
      <c r="D303" s="304"/>
      <c r="E303" s="304"/>
      <c r="F303" s="304"/>
      <c r="G303" s="304"/>
      <c r="H303" s="304"/>
      <c r="I303" s="304"/>
      <c r="J303" s="304"/>
      <c r="K303" s="304"/>
      <c r="L303" s="284"/>
      <c r="M303" s="1"/>
    </row>
    <row r="304" spans="1:13" ht="24" customHeight="1" x14ac:dyDescent="0.25">
      <c r="A304" s="40" t="s">
        <v>267</v>
      </c>
      <c r="B304" s="354" t="s">
        <v>268</v>
      </c>
      <c r="C304" s="304"/>
      <c r="D304" s="304"/>
      <c r="E304" s="304"/>
      <c r="F304" s="304"/>
      <c r="G304" s="304"/>
      <c r="H304" s="304"/>
      <c r="I304" s="304"/>
      <c r="J304" s="304"/>
      <c r="K304" s="304"/>
      <c r="L304" s="284"/>
      <c r="M304" s="1"/>
    </row>
    <row r="305" spans="1:13" ht="18.75" customHeight="1" x14ac:dyDescent="0.25">
      <c r="A305" s="40" t="s">
        <v>267</v>
      </c>
      <c r="B305" s="354" t="s">
        <v>268</v>
      </c>
      <c r="C305" s="304"/>
      <c r="D305" s="304"/>
      <c r="E305" s="304"/>
      <c r="F305" s="304"/>
      <c r="G305" s="304"/>
      <c r="H305" s="304"/>
      <c r="I305" s="304"/>
      <c r="J305" s="304"/>
      <c r="K305" s="304"/>
      <c r="L305" s="284"/>
      <c r="M305" s="1"/>
    </row>
    <row r="306" spans="1:13" ht="18.75" customHeight="1" x14ac:dyDescent="0.25">
      <c r="A306" s="40" t="s">
        <v>267</v>
      </c>
      <c r="B306" s="354" t="s">
        <v>268</v>
      </c>
      <c r="C306" s="304"/>
      <c r="D306" s="304"/>
      <c r="E306" s="304"/>
      <c r="F306" s="304"/>
      <c r="G306" s="304"/>
      <c r="H306" s="304"/>
      <c r="I306" s="304"/>
      <c r="J306" s="304"/>
      <c r="K306" s="304"/>
      <c r="L306" s="284"/>
      <c r="M306" s="1"/>
    </row>
    <row r="307" spans="1:13" ht="60.75" customHeight="1" x14ac:dyDescent="0.25">
      <c r="A307" s="40" t="s">
        <v>267</v>
      </c>
      <c r="B307" s="354" t="s">
        <v>268</v>
      </c>
      <c r="C307" s="304"/>
      <c r="D307" s="304"/>
      <c r="E307" s="304"/>
      <c r="F307" s="304"/>
      <c r="G307" s="304"/>
      <c r="H307" s="304"/>
      <c r="I307" s="304"/>
      <c r="J307" s="304"/>
      <c r="K307" s="304"/>
      <c r="L307" s="284"/>
      <c r="M307" s="1"/>
    </row>
    <row r="308" spans="1:13" ht="18.75" customHeight="1" x14ac:dyDescent="0.25">
      <c r="A308" s="40" t="s">
        <v>267</v>
      </c>
      <c r="B308" s="354" t="s">
        <v>268</v>
      </c>
      <c r="C308" s="304"/>
      <c r="D308" s="304"/>
      <c r="E308" s="304"/>
      <c r="F308" s="304"/>
      <c r="G308" s="304"/>
      <c r="H308" s="304"/>
      <c r="I308" s="304"/>
      <c r="J308" s="304"/>
      <c r="K308" s="304"/>
      <c r="L308" s="284"/>
      <c r="M308" s="1"/>
    </row>
    <row r="309" spans="1:13" ht="18.75" customHeight="1" x14ac:dyDescent="0.25">
      <c r="A309" s="40" t="s">
        <v>267</v>
      </c>
      <c r="B309" s="354" t="s">
        <v>268</v>
      </c>
      <c r="C309" s="304"/>
      <c r="D309" s="304"/>
      <c r="E309" s="304"/>
      <c r="F309" s="304"/>
      <c r="G309" s="304"/>
      <c r="H309" s="304"/>
      <c r="I309" s="304"/>
      <c r="J309" s="304"/>
      <c r="K309" s="304"/>
      <c r="L309" s="284"/>
      <c r="M309" s="1"/>
    </row>
    <row r="310" spans="1:13" ht="18.75" customHeight="1" x14ac:dyDescent="0.25">
      <c r="A310" s="40" t="s">
        <v>267</v>
      </c>
      <c r="B310" s="354" t="s">
        <v>268</v>
      </c>
      <c r="C310" s="304"/>
      <c r="D310" s="304"/>
      <c r="E310" s="304"/>
      <c r="F310" s="304"/>
      <c r="G310" s="304"/>
      <c r="H310" s="304"/>
      <c r="I310" s="304"/>
      <c r="J310" s="304"/>
      <c r="K310" s="304"/>
      <c r="L310" s="284"/>
      <c r="M310" s="1"/>
    </row>
    <row r="311" spans="1:13" ht="18.75" customHeight="1" x14ac:dyDescent="0.25">
      <c r="A311" s="40" t="s">
        <v>267</v>
      </c>
      <c r="B311" s="354" t="s">
        <v>268</v>
      </c>
      <c r="C311" s="304"/>
      <c r="D311" s="304"/>
      <c r="E311" s="304"/>
      <c r="F311" s="304"/>
      <c r="G311" s="304"/>
      <c r="H311" s="304"/>
      <c r="I311" s="304"/>
      <c r="J311" s="304"/>
      <c r="K311" s="304"/>
      <c r="L311" s="284"/>
      <c r="M311" s="1"/>
    </row>
    <row r="312" spans="1:13" ht="18.75" customHeight="1" x14ac:dyDescent="0.25">
      <c r="A312" s="40" t="s">
        <v>267</v>
      </c>
      <c r="B312" s="354" t="s">
        <v>268</v>
      </c>
      <c r="C312" s="304"/>
      <c r="D312" s="304"/>
      <c r="E312" s="304"/>
      <c r="F312" s="304"/>
      <c r="G312" s="304"/>
      <c r="H312" s="304"/>
      <c r="I312" s="304"/>
      <c r="J312" s="304"/>
      <c r="K312" s="304"/>
      <c r="L312" s="284"/>
      <c r="M312" s="1"/>
    </row>
    <row r="313" spans="1:13" ht="18.75" customHeight="1" x14ac:dyDescent="0.25">
      <c r="A313" s="40" t="s">
        <v>267</v>
      </c>
      <c r="B313" s="354" t="s">
        <v>268</v>
      </c>
      <c r="C313" s="304"/>
      <c r="D313" s="304"/>
      <c r="E313" s="304"/>
      <c r="F313" s="304"/>
      <c r="G313" s="304"/>
      <c r="H313" s="304"/>
      <c r="I313" s="304"/>
      <c r="J313" s="304"/>
      <c r="K313" s="304"/>
      <c r="L313" s="284"/>
      <c r="M313" s="1"/>
    </row>
    <row r="314" spans="1:13" ht="18.75" customHeight="1" thickBot="1" x14ac:dyDescent="0.3">
      <c r="A314" s="60" t="s">
        <v>267</v>
      </c>
      <c r="B314" s="355" t="s">
        <v>268</v>
      </c>
      <c r="C314" s="307"/>
      <c r="D314" s="307"/>
      <c r="E314" s="307"/>
      <c r="F314" s="307"/>
      <c r="G314" s="307"/>
      <c r="H314" s="307"/>
      <c r="I314" s="307"/>
      <c r="J314" s="307"/>
      <c r="K314" s="307"/>
      <c r="L314" s="291"/>
      <c r="M314" s="1"/>
    </row>
    <row r="315" spans="1:13" ht="18.75" customHeight="1" thickBot="1" x14ac:dyDescent="0.3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1"/>
    </row>
    <row r="316" spans="1:13" ht="18.75" customHeight="1" thickBot="1" x14ac:dyDescent="0.3">
      <c r="A316" s="356" t="s">
        <v>269</v>
      </c>
      <c r="B316" s="357"/>
      <c r="C316" s="357"/>
      <c r="D316" s="357"/>
      <c r="E316" s="357"/>
      <c r="F316" s="357"/>
      <c r="G316" s="357"/>
      <c r="H316" s="357"/>
      <c r="I316" s="357"/>
      <c r="J316" s="357"/>
      <c r="K316" s="357"/>
      <c r="L316" s="358"/>
      <c r="M316" s="1"/>
    </row>
    <row r="317" spans="1:13" ht="18.75" customHeight="1" thickBot="1" x14ac:dyDescent="0.3">
      <c r="A317" s="359" t="s">
        <v>270</v>
      </c>
      <c r="B317" s="360"/>
      <c r="C317" s="360"/>
      <c r="D317" s="360"/>
      <c r="E317" s="360"/>
      <c r="F317" s="360"/>
      <c r="G317" s="360"/>
      <c r="H317" s="360"/>
      <c r="I317" s="360"/>
      <c r="J317" s="360"/>
      <c r="K317" s="360"/>
      <c r="L317" s="361"/>
      <c r="M317" s="1"/>
    </row>
    <row r="318" spans="1:13" ht="18.75" customHeight="1" x14ac:dyDescent="0.25">
      <c r="A318" s="362" t="s">
        <v>455</v>
      </c>
      <c r="B318" s="363"/>
      <c r="C318" s="363"/>
      <c r="D318" s="363"/>
      <c r="E318" s="363"/>
      <c r="F318" s="363"/>
      <c r="G318" s="363"/>
      <c r="H318" s="363"/>
      <c r="I318" s="363"/>
      <c r="J318" s="363"/>
      <c r="K318" s="363"/>
      <c r="L318" s="364"/>
      <c r="M318" s="1"/>
    </row>
    <row r="319" spans="1:13" ht="18.75" customHeight="1" thickBot="1" x14ac:dyDescent="0.3">
      <c r="A319" s="365"/>
      <c r="B319" s="366"/>
      <c r="C319" s="366"/>
      <c r="D319" s="366"/>
      <c r="E319" s="366"/>
      <c r="F319" s="366"/>
      <c r="G319" s="366"/>
      <c r="H319" s="366"/>
      <c r="I319" s="366"/>
      <c r="J319" s="366"/>
      <c r="K319" s="366"/>
      <c r="L319" s="367"/>
      <c r="M319" s="1"/>
    </row>
    <row r="320" spans="1:13" ht="18.75" customHeight="1" thickTop="1" thickBot="1" x14ac:dyDescent="0.3">
      <c r="A320" s="61">
        <f ca="1">A320:L352</f>
        <v>0</v>
      </c>
      <c r="B320" s="368" t="s">
        <v>414</v>
      </c>
      <c r="C320" s="369"/>
      <c r="D320" s="369"/>
      <c r="E320" s="370"/>
      <c r="F320" s="62"/>
      <c r="G320" s="371" t="s">
        <v>271</v>
      </c>
      <c r="H320" s="372"/>
      <c r="I320" s="372"/>
      <c r="J320" s="372"/>
      <c r="K320" s="373"/>
      <c r="L320" s="63"/>
      <c r="M320" s="1"/>
    </row>
    <row r="321" spans="1:13" ht="18.75" customHeight="1" thickTop="1" thickBot="1" x14ac:dyDescent="0.3">
      <c r="A321" s="64"/>
      <c r="B321" s="18" t="s">
        <v>272</v>
      </c>
      <c r="C321" s="18" t="s">
        <v>23</v>
      </c>
      <c r="D321" s="18" t="s">
        <v>272</v>
      </c>
      <c r="E321" s="19" t="s">
        <v>23</v>
      </c>
      <c r="F321" s="65"/>
      <c r="G321" s="20" t="s">
        <v>273</v>
      </c>
      <c r="H321" s="374" t="s">
        <v>274</v>
      </c>
      <c r="I321" s="375"/>
      <c r="J321" s="374" t="s">
        <v>23</v>
      </c>
      <c r="K321" s="376"/>
      <c r="L321" s="66"/>
      <c r="M321" s="1"/>
    </row>
    <row r="322" spans="1:13" ht="18.75" customHeight="1" thickTop="1" thickBot="1" x14ac:dyDescent="0.3">
      <c r="A322" s="64"/>
      <c r="B322" s="21">
        <v>1</v>
      </c>
      <c r="C322" s="67"/>
      <c r="D322" s="21">
        <v>31</v>
      </c>
      <c r="E322" s="68"/>
      <c r="F322" s="65"/>
      <c r="G322" s="345"/>
      <c r="H322" s="346"/>
      <c r="I322" s="346"/>
      <c r="J322" s="346"/>
      <c r="K322" s="347"/>
      <c r="L322" s="66"/>
      <c r="M322" s="1"/>
    </row>
    <row r="323" spans="1:13" ht="18.75" customHeight="1" thickBot="1" x14ac:dyDescent="0.3">
      <c r="A323" s="64"/>
      <c r="B323" s="21">
        <v>2</v>
      </c>
      <c r="C323" s="67"/>
      <c r="D323" s="21">
        <v>32</v>
      </c>
      <c r="E323" s="68"/>
      <c r="F323" s="65"/>
      <c r="G323" s="348"/>
      <c r="H323" s="349"/>
      <c r="I323" s="349"/>
      <c r="J323" s="349"/>
      <c r="K323" s="350"/>
      <c r="L323" s="66"/>
      <c r="M323" s="1"/>
    </row>
    <row r="324" spans="1:13" ht="19.5" customHeight="1" thickBot="1" x14ac:dyDescent="0.3">
      <c r="A324" s="64"/>
      <c r="B324" s="21">
        <v>3</v>
      </c>
      <c r="C324" s="67"/>
      <c r="D324" s="21">
        <v>33</v>
      </c>
      <c r="E324" s="68"/>
      <c r="F324" s="65"/>
      <c r="G324" s="351" t="s">
        <v>275</v>
      </c>
      <c r="H324" s="378" t="s">
        <v>276</v>
      </c>
      <c r="I324" s="379"/>
      <c r="J324" s="380"/>
      <c r="K324" s="381"/>
      <c r="L324" s="66"/>
      <c r="M324" s="1"/>
    </row>
    <row r="325" spans="1:13" ht="18.75" customHeight="1" thickBot="1" x14ac:dyDescent="0.3">
      <c r="A325" s="64"/>
      <c r="B325" s="21">
        <v>4</v>
      </c>
      <c r="C325" s="67"/>
      <c r="D325" s="21">
        <v>34</v>
      </c>
      <c r="E325" s="68"/>
      <c r="F325" s="65"/>
      <c r="G325" s="352"/>
      <c r="H325" s="382" t="s">
        <v>277</v>
      </c>
      <c r="I325" s="383"/>
      <c r="J325" s="384"/>
      <c r="K325" s="385"/>
      <c r="L325" s="66"/>
      <c r="M325" s="1"/>
    </row>
    <row r="326" spans="1:13" ht="18.75" customHeight="1" thickTop="1" thickBot="1" x14ac:dyDescent="0.3">
      <c r="A326" s="64"/>
      <c r="B326" s="21">
        <v>5</v>
      </c>
      <c r="C326" s="67"/>
      <c r="D326" s="21">
        <v>35</v>
      </c>
      <c r="E326" s="68"/>
      <c r="F326" s="65"/>
      <c r="G326" s="345"/>
      <c r="H326" s="346"/>
      <c r="I326" s="346"/>
      <c r="J326" s="346"/>
      <c r="K326" s="347"/>
      <c r="L326" s="66"/>
      <c r="M326" s="1"/>
    </row>
    <row r="327" spans="1:13" ht="18.75" customHeight="1" thickBot="1" x14ac:dyDescent="0.3">
      <c r="A327" s="64"/>
      <c r="B327" s="21">
        <v>6</v>
      </c>
      <c r="C327" s="67"/>
      <c r="D327" s="21">
        <v>36</v>
      </c>
      <c r="E327" s="68"/>
      <c r="F327" s="65"/>
      <c r="G327" s="348"/>
      <c r="H327" s="349"/>
      <c r="I327" s="349"/>
      <c r="J327" s="349"/>
      <c r="K327" s="350"/>
      <c r="L327" s="66"/>
      <c r="M327" s="1"/>
    </row>
    <row r="328" spans="1:13" ht="18.75" customHeight="1" thickBot="1" x14ac:dyDescent="0.3">
      <c r="A328" s="64"/>
      <c r="B328" s="21">
        <v>7</v>
      </c>
      <c r="C328" s="67"/>
      <c r="D328" s="21">
        <v>37</v>
      </c>
      <c r="E328" s="68"/>
      <c r="F328" s="65"/>
      <c r="G328" s="351" t="s">
        <v>278</v>
      </c>
      <c r="H328" s="378" t="s">
        <v>276</v>
      </c>
      <c r="I328" s="379"/>
      <c r="J328" s="380"/>
      <c r="K328" s="381"/>
      <c r="L328" s="66"/>
      <c r="M328" s="1"/>
    </row>
    <row r="329" spans="1:13" ht="18.75" customHeight="1" thickBot="1" x14ac:dyDescent="0.3">
      <c r="A329" s="64"/>
      <c r="B329" s="21">
        <v>8</v>
      </c>
      <c r="C329" s="67"/>
      <c r="D329" s="21">
        <v>38</v>
      </c>
      <c r="E329" s="68"/>
      <c r="F329" s="65"/>
      <c r="G329" s="352"/>
      <c r="H329" s="382" t="s">
        <v>277</v>
      </c>
      <c r="I329" s="383"/>
      <c r="J329" s="384"/>
      <c r="K329" s="385"/>
      <c r="L329" s="66"/>
      <c r="M329" s="1"/>
    </row>
    <row r="330" spans="1:13" ht="18.75" customHeight="1" thickTop="1" thickBot="1" x14ac:dyDescent="0.3">
      <c r="A330" s="64"/>
      <c r="B330" s="21">
        <v>9</v>
      </c>
      <c r="C330" s="67"/>
      <c r="D330" s="21">
        <v>39</v>
      </c>
      <c r="E330" s="68"/>
      <c r="F330" s="65"/>
      <c r="G330" s="345"/>
      <c r="H330" s="346"/>
      <c r="I330" s="346"/>
      <c r="J330" s="346"/>
      <c r="K330" s="347"/>
      <c r="L330" s="66"/>
      <c r="M330" s="1"/>
    </row>
    <row r="331" spans="1:13" ht="18.75" customHeight="1" thickBot="1" x14ac:dyDescent="0.3">
      <c r="A331" s="64"/>
      <c r="B331" s="21">
        <v>10</v>
      </c>
      <c r="C331" s="67"/>
      <c r="D331" s="21">
        <v>40</v>
      </c>
      <c r="E331" s="68"/>
      <c r="F331" s="65"/>
      <c r="G331" s="348"/>
      <c r="H331" s="349"/>
      <c r="I331" s="349"/>
      <c r="J331" s="349"/>
      <c r="K331" s="350"/>
      <c r="L331" s="66"/>
      <c r="M331" s="1"/>
    </row>
    <row r="332" spans="1:13" ht="18.75" customHeight="1" thickBot="1" x14ac:dyDescent="0.3">
      <c r="A332" s="64"/>
      <c r="B332" s="21">
        <v>11</v>
      </c>
      <c r="C332" s="67"/>
      <c r="D332" s="21">
        <v>41</v>
      </c>
      <c r="E332" s="68"/>
      <c r="F332" s="65"/>
      <c r="G332" s="351" t="s">
        <v>279</v>
      </c>
      <c r="H332" s="378" t="s">
        <v>276</v>
      </c>
      <c r="I332" s="379"/>
      <c r="J332" s="380"/>
      <c r="K332" s="381"/>
      <c r="L332" s="66"/>
      <c r="M332" s="1"/>
    </row>
    <row r="333" spans="1:13" ht="18.75" customHeight="1" thickBot="1" x14ac:dyDescent="0.3">
      <c r="A333" s="64"/>
      <c r="B333" s="21">
        <v>12</v>
      </c>
      <c r="C333" s="67"/>
      <c r="D333" s="21">
        <v>42</v>
      </c>
      <c r="E333" s="68"/>
      <c r="F333" s="65"/>
      <c r="G333" s="352"/>
      <c r="H333" s="382" t="s">
        <v>277</v>
      </c>
      <c r="I333" s="383"/>
      <c r="J333" s="384"/>
      <c r="K333" s="385"/>
      <c r="L333" s="66"/>
      <c r="M333" s="1"/>
    </row>
    <row r="334" spans="1:13" ht="18.75" customHeight="1" thickTop="1" thickBot="1" x14ac:dyDescent="0.3">
      <c r="A334" s="64"/>
      <c r="B334" s="21">
        <v>13</v>
      </c>
      <c r="C334" s="67"/>
      <c r="D334" s="21">
        <v>43</v>
      </c>
      <c r="E334" s="68"/>
      <c r="F334" s="65"/>
      <c r="G334" s="345"/>
      <c r="H334" s="346"/>
      <c r="I334" s="346"/>
      <c r="J334" s="346"/>
      <c r="K334" s="347"/>
      <c r="L334" s="66"/>
      <c r="M334" s="1"/>
    </row>
    <row r="335" spans="1:13" ht="18.75" customHeight="1" thickBot="1" x14ac:dyDescent="0.3">
      <c r="A335" s="64"/>
      <c r="B335" s="21">
        <v>14</v>
      </c>
      <c r="C335" s="67"/>
      <c r="D335" s="21">
        <v>44</v>
      </c>
      <c r="E335" s="68"/>
      <c r="F335" s="65"/>
      <c r="G335" s="348"/>
      <c r="H335" s="349"/>
      <c r="I335" s="349"/>
      <c r="J335" s="349"/>
      <c r="K335" s="350"/>
      <c r="L335" s="66"/>
      <c r="M335" s="1"/>
    </row>
    <row r="336" spans="1:13" ht="18.75" customHeight="1" thickBot="1" x14ac:dyDescent="0.3">
      <c r="A336" s="64"/>
      <c r="B336" s="21">
        <v>15</v>
      </c>
      <c r="C336" s="67"/>
      <c r="D336" s="21">
        <v>45</v>
      </c>
      <c r="E336" s="68"/>
      <c r="F336" s="65"/>
      <c r="G336" s="351" t="s">
        <v>280</v>
      </c>
      <c r="H336" s="378" t="s">
        <v>276</v>
      </c>
      <c r="I336" s="379"/>
      <c r="J336" s="380"/>
      <c r="K336" s="381"/>
      <c r="L336" s="66"/>
      <c r="M336" s="1"/>
    </row>
    <row r="337" spans="1:13" ht="18.75" customHeight="1" thickBot="1" x14ac:dyDescent="0.3">
      <c r="A337" s="64"/>
      <c r="B337" s="21">
        <v>16</v>
      </c>
      <c r="C337" s="67"/>
      <c r="D337" s="21">
        <v>46</v>
      </c>
      <c r="E337" s="68"/>
      <c r="F337" s="65"/>
      <c r="G337" s="352"/>
      <c r="H337" s="382" t="s">
        <v>277</v>
      </c>
      <c r="I337" s="383"/>
      <c r="J337" s="384"/>
      <c r="K337" s="385"/>
      <c r="L337" s="66"/>
      <c r="M337" s="1"/>
    </row>
    <row r="338" spans="1:13" ht="18.75" customHeight="1" thickTop="1" thickBot="1" x14ac:dyDescent="0.3">
      <c r="A338" s="64"/>
      <c r="B338" s="21">
        <v>17</v>
      </c>
      <c r="C338" s="67"/>
      <c r="D338" s="21">
        <v>47</v>
      </c>
      <c r="E338" s="68"/>
      <c r="F338" s="69"/>
      <c r="G338" s="386"/>
      <c r="H338" s="346"/>
      <c r="I338" s="346"/>
      <c r="J338" s="346"/>
      <c r="K338" s="387"/>
      <c r="L338" s="66"/>
      <c r="M338" s="1"/>
    </row>
    <row r="339" spans="1:13" ht="18.75" customHeight="1" thickBot="1" x14ac:dyDescent="0.3">
      <c r="A339" s="64"/>
      <c r="B339" s="21">
        <v>18</v>
      </c>
      <c r="C339" s="67"/>
      <c r="D339" s="21">
        <v>48</v>
      </c>
      <c r="E339" s="68"/>
      <c r="F339" s="69"/>
      <c r="G339" s="388"/>
      <c r="H339" s="349"/>
      <c r="I339" s="349"/>
      <c r="J339" s="349"/>
      <c r="K339" s="389"/>
      <c r="L339" s="66"/>
      <c r="M339" s="1"/>
    </row>
    <row r="340" spans="1:13" ht="18.75" customHeight="1" thickBot="1" x14ac:dyDescent="0.3">
      <c r="A340" s="64"/>
      <c r="B340" s="21">
        <v>19</v>
      </c>
      <c r="C340" s="67"/>
      <c r="D340" s="21">
        <v>49</v>
      </c>
      <c r="E340" s="68"/>
      <c r="F340" s="65"/>
      <c r="G340" s="351" t="s">
        <v>281</v>
      </c>
      <c r="H340" s="378" t="s">
        <v>276</v>
      </c>
      <c r="I340" s="379"/>
      <c r="J340" s="380"/>
      <c r="K340" s="381"/>
      <c r="L340" s="66"/>
      <c r="M340" s="1"/>
    </row>
    <row r="341" spans="1:13" ht="18.75" customHeight="1" thickBot="1" x14ac:dyDescent="0.3">
      <c r="A341" s="64"/>
      <c r="B341" s="21">
        <v>20</v>
      </c>
      <c r="C341" s="67"/>
      <c r="D341" s="21">
        <v>50</v>
      </c>
      <c r="E341" s="68"/>
      <c r="F341" s="65"/>
      <c r="G341" s="352"/>
      <c r="H341" s="382" t="s">
        <v>277</v>
      </c>
      <c r="I341" s="383"/>
      <c r="J341" s="384"/>
      <c r="K341" s="385"/>
      <c r="L341" s="66"/>
      <c r="M341" s="1"/>
    </row>
    <row r="342" spans="1:13" ht="18.75" customHeight="1" thickTop="1" thickBot="1" x14ac:dyDescent="0.3">
      <c r="A342" s="64"/>
      <c r="B342" s="21">
        <v>21</v>
      </c>
      <c r="C342" s="67"/>
      <c r="D342" s="21">
        <v>51</v>
      </c>
      <c r="E342" s="68"/>
      <c r="F342" s="65"/>
      <c r="G342" s="390" t="s">
        <v>282</v>
      </c>
      <c r="H342" s="391"/>
      <c r="I342" s="392"/>
      <c r="J342" s="393">
        <f>SUM(J324,J325,J328,J329,J332,J333,J336,J337,J340,J341)</f>
        <v>0</v>
      </c>
      <c r="K342" s="394"/>
      <c r="L342" s="66"/>
      <c r="M342" s="1"/>
    </row>
    <row r="343" spans="1:13" ht="18.75" customHeight="1" thickBot="1" x14ac:dyDescent="0.3">
      <c r="A343" s="64"/>
      <c r="B343" s="21">
        <v>22</v>
      </c>
      <c r="C343" s="67"/>
      <c r="D343" s="21">
        <v>52</v>
      </c>
      <c r="E343" s="68"/>
      <c r="F343" s="70"/>
      <c r="G343" s="71"/>
      <c r="H343" s="71"/>
      <c r="I343" s="71"/>
      <c r="J343" s="71"/>
      <c r="K343" s="72"/>
      <c r="L343" s="15"/>
      <c r="M343" s="1"/>
    </row>
    <row r="344" spans="1:13" ht="18.75" customHeight="1" thickTop="1" thickBot="1" x14ac:dyDescent="0.3">
      <c r="A344" s="64"/>
      <c r="B344" s="21">
        <v>23</v>
      </c>
      <c r="C344" s="67"/>
      <c r="D344" s="21">
        <v>53</v>
      </c>
      <c r="E344" s="68"/>
      <c r="F344" s="65"/>
      <c r="G344" s="395" t="s">
        <v>283</v>
      </c>
      <c r="H344" s="396"/>
      <c r="I344" s="396"/>
      <c r="J344" s="397"/>
      <c r="K344" s="70"/>
      <c r="L344" s="15"/>
      <c r="M344" s="1"/>
    </row>
    <row r="345" spans="1:13" ht="18.75" customHeight="1" thickTop="1" thickBot="1" x14ac:dyDescent="0.3">
      <c r="A345" s="64"/>
      <c r="B345" s="21">
        <v>24</v>
      </c>
      <c r="C345" s="67"/>
      <c r="D345" s="21">
        <v>54</v>
      </c>
      <c r="E345" s="68"/>
      <c r="F345" s="65"/>
      <c r="G345" s="491" t="s">
        <v>273</v>
      </c>
      <c r="H345" s="492"/>
      <c r="I345" s="493" t="s">
        <v>23</v>
      </c>
      <c r="J345" s="494"/>
      <c r="K345" s="70"/>
      <c r="L345" s="15"/>
      <c r="M345" s="1"/>
    </row>
    <row r="346" spans="1:13" ht="18.75" customHeight="1" thickBot="1" x14ac:dyDescent="0.3">
      <c r="A346" s="64"/>
      <c r="B346" s="21">
        <v>25</v>
      </c>
      <c r="C346" s="67"/>
      <c r="D346" s="21">
        <v>55</v>
      </c>
      <c r="E346" s="68"/>
      <c r="F346" s="65"/>
      <c r="G346" s="398" t="s">
        <v>284</v>
      </c>
      <c r="H346" s="399"/>
      <c r="I346" s="400"/>
      <c r="J346" s="401"/>
      <c r="K346" s="70"/>
      <c r="L346" s="15"/>
      <c r="M346" s="1"/>
    </row>
    <row r="347" spans="1:13" ht="18.75" customHeight="1" thickBot="1" x14ac:dyDescent="0.3">
      <c r="A347" s="64"/>
      <c r="B347" s="21">
        <v>26</v>
      </c>
      <c r="C347" s="67"/>
      <c r="D347" s="21">
        <v>56</v>
      </c>
      <c r="E347" s="68"/>
      <c r="F347" s="65"/>
      <c r="G347" s="398" t="s">
        <v>285</v>
      </c>
      <c r="H347" s="399"/>
      <c r="I347" s="400"/>
      <c r="J347" s="401"/>
      <c r="K347" s="70"/>
      <c r="L347" s="15"/>
      <c r="M347" s="1"/>
    </row>
    <row r="348" spans="1:13" ht="18.75" customHeight="1" thickBot="1" x14ac:dyDescent="0.3">
      <c r="A348" s="64"/>
      <c r="B348" s="21">
        <v>27</v>
      </c>
      <c r="C348" s="67"/>
      <c r="D348" s="21">
        <v>57</v>
      </c>
      <c r="E348" s="68"/>
      <c r="F348" s="65"/>
      <c r="G348" s="398" t="s">
        <v>286</v>
      </c>
      <c r="H348" s="399"/>
      <c r="I348" s="400"/>
      <c r="J348" s="401"/>
      <c r="K348" s="70"/>
      <c r="L348" s="15"/>
      <c r="M348" s="1"/>
    </row>
    <row r="349" spans="1:13" ht="18.75" customHeight="1" thickBot="1" x14ac:dyDescent="0.3">
      <c r="A349" s="64"/>
      <c r="B349" s="21">
        <v>28</v>
      </c>
      <c r="C349" s="67"/>
      <c r="D349" s="21">
        <v>58</v>
      </c>
      <c r="E349" s="68"/>
      <c r="F349" s="65"/>
      <c r="G349" s="398" t="s">
        <v>287</v>
      </c>
      <c r="H349" s="399"/>
      <c r="I349" s="400"/>
      <c r="J349" s="401"/>
      <c r="K349" s="70"/>
      <c r="L349" s="15"/>
      <c r="M349" s="1"/>
    </row>
    <row r="350" spans="1:13" ht="18.75" customHeight="1" thickBot="1" x14ac:dyDescent="0.3">
      <c r="A350" s="64"/>
      <c r="B350" s="21">
        <v>29</v>
      </c>
      <c r="C350" s="67"/>
      <c r="D350" s="21">
        <v>59</v>
      </c>
      <c r="E350" s="68"/>
      <c r="F350" s="65"/>
      <c r="G350" s="398" t="s">
        <v>288</v>
      </c>
      <c r="H350" s="399"/>
      <c r="I350" s="400"/>
      <c r="J350" s="401"/>
      <c r="K350" s="70"/>
      <c r="L350" s="15"/>
      <c r="M350" s="1"/>
    </row>
    <row r="351" spans="1:13" ht="18.75" customHeight="1" thickBot="1" x14ac:dyDescent="0.3">
      <c r="A351" s="64"/>
      <c r="B351" s="21">
        <v>30</v>
      </c>
      <c r="C351" s="67"/>
      <c r="D351" s="21">
        <v>60</v>
      </c>
      <c r="E351" s="68"/>
      <c r="F351" s="65"/>
      <c r="G351" s="402" t="s">
        <v>282</v>
      </c>
      <c r="H351" s="403"/>
      <c r="I351" s="404">
        <f>SUM(I346,I347,I348,I349,I350)</f>
        <v>0</v>
      </c>
      <c r="J351" s="405"/>
      <c r="K351" s="70"/>
      <c r="L351" s="15"/>
      <c r="M351" s="1"/>
    </row>
    <row r="352" spans="1:13" ht="18.75" customHeight="1" thickBot="1" x14ac:dyDescent="0.3">
      <c r="A352" s="73"/>
      <c r="B352" s="495" t="s">
        <v>282</v>
      </c>
      <c r="C352" s="496"/>
      <c r="D352" s="497"/>
      <c r="E352" s="22" t="s">
        <v>415</v>
      </c>
      <c r="F352" s="71"/>
      <c r="G352" s="71"/>
      <c r="H352" s="71"/>
      <c r="I352" s="71"/>
      <c r="J352" s="71"/>
      <c r="K352" s="71"/>
      <c r="L352" s="16"/>
      <c r="M352" s="1"/>
    </row>
    <row r="353" spans="1:13" ht="18.75" customHeight="1" thickTop="1" thickBot="1" x14ac:dyDescent="0.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1"/>
    </row>
    <row r="354" spans="1:13" ht="18.75" customHeight="1" x14ac:dyDescent="0.25">
      <c r="A354" s="498" t="s">
        <v>407</v>
      </c>
      <c r="B354" s="310"/>
      <c r="C354" s="310"/>
      <c r="D354" s="310"/>
      <c r="E354" s="310"/>
      <c r="F354" s="310"/>
      <c r="G354" s="310"/>
      <c r="H354" s="310"/>
      <c r="I354" s="310"/>
      <c r="J354" s="310"/>
      <c r="K354" s="310"/>
      <c r="L354" s="499"/>
      <c r="M354" s="1"/>
    </row>
    <row r="355" spans="1:13" ht="18.75" customHeight="1" thickBot="1" x14ac:dyDescent="0.3">
      <c r="A355" s="312"/>
      <c r="B355" s="260"/>
      <c r="C355" s="260"/>
      <c r="D355" s="260"/>
      <c r="E355" s="260"/>
      <c r="F355" s="260"/>
      <c r="G355" s="260"/>
      <c r="H355" s="260"/>
      <c r="I355" s="260"/>
      <c r="J355" s="260"/>
      <c r="K355" s="260"/>
      <c r="L355" s="500"/>
      <c r="M355" s="1"/>
    </row>
    <row r="356" spans="1:13" ht="18.75" customHeight="1" x14ac:dyDescent="0.25">
      <c r="A356" s="501" t="s">
        <v>299</v>
      </c>
      <c r="B356" s="502"/>
      <c r="C356" s="502"/>
      <c r="D356" s="502"/>
      <c r="E356" s="502"/>
      <c r="F356" s="502"/>
      <c r="G356" s="503"/>
      <c r="H356" s="74" t="s">
        <v>408</v>
      </c>
      <c r="I356" s="504" t="s">
        <v>409</v>
      </c>
      <c r="J356" s="503"/>
      <c r="K356" s="505" t="s">
        <v>410</v>
      </c>
      <c r="L356" s="283"/>
      <c r="M356" s="1"/>
    </row>
    <row r="357" spans="1:13" ht="18.75" customHeight="1" x14ac:dyDescent="0.25">
      <c r="A357" s="353" t="s">
        <v>411</v>
      </c>
      <c r="B357" s="304"/>
      <c r="C357" s="304"/>
      <c r="D357" s="304"/>
      <c r="E357" s="304"/>
      <c r="F357" s="304"/>
      <c r="G357" s="305"/>
      <c r="H357" s="75"/>
      <c r="I357" s="341"/>
      <c r="J357" s="305"/>
      <c r="K357" s="377">
        <f t="shared" ref="K357:K389" si="1">H357*I357</f>
        <v>0</v>
      </c>
      <c r="L357" s="284"/>
      <c r="M357" s="1"/>
    </row>
    <row r="358" spans="1:13" ht="18.75" customHeight="1" x14ac:dyDescent="0.25">
      <c r="A358" s="353" t="s">
        <v>411</v>
      </c>
      <c r="B358" s="304"/>
      <c r="C358" s="304"/>
      <c r="D358" s="304"/>
      <c r="E358" s="304"/>
      <c r="F358" s="304"/>
      <c r="G358" s="305"/>
      <c r="H358" s="75"/>
      <c r="I358" s="341"/>
      <c r="J358" s="305"/>
      <c r="K358" s="377">
        <f t="shared" si="1"/>
        <v>0</v>
      </c>
      <c r="L358" s="284"/>
      <c r="M358" s="1"/>
    </row>
    <row r="359" spans="1:13" ht="18.75" customHeight="1" x14ac:dyDescent="0.25">
      <c r="A359" s="353" t="s">
        <v>411</v>
      </c>
      <c r="B359" s="304"/>
      <c r="C359" s="304"/>
      <c r="D359" s="304"/>
      <c r="E359" s="304"/>
      <c r="F359" s="304"/>
      <c r="G359" s="305"/>
      <c r="H359" s="75"/>
      <c r="I359" s="341"/>
      <c r="J359" s="305"/>
      <c r="K359" s="377">
        <f t="shared" si="1"/>
        <v>0</v>
      </c>
      <c r="L359" s="284"/>
      <c r="M359" s="1"/>
    </row>
    <row r="360" spans="1:13" ht="18.75" customHeight="1" x14ac:dyDescent="0.25">
      <c r="A360" s="353" t="s">
        <v>411</v>
      </c>
      <c r="B360" s="304"/>
      <c r="C360" s="304"/>
      <c r="D360" s="304"/>
      <c r="E360" s="304"/>
      <c r="F360" s="304"/>
      <c r="G360" s="305"/>
      <c r="H360" s="75"/>
      <c r="I360" s="341"/>
      <c r="J360" s="305"/>
      <c r="K360" s="377">
        <f t="shared" si="1"/>
        <v>0</v>
      </c>
      <c r="L360" s="284"/>
      <c r="M360" s="1"/>
    </row>
    <row r="361" spans="1:13" ht="18.75" customHeight="1" x14ac:dyDescent="0.25">
      <c r="A361" s="353" t="s">
        <v>411</v>
      </c>
      <c r="B361" s="304"/>
      <c r="C361" s="304"/>
      <c r="D361" s="304"/>
      <c r="E361" s="304"/>
      <c r="F361" s="304"/>
      <c r="G361" s="305"/>
      <c r="H361" s="75"/>
      <c r="I361" s="341"/>
      <c r="J361" s="305"/>
      <c r="K361" s="377">
        <f t="shared" si="1"/>
        <v>0</v>
      </c>
      <c r="L361" s="284"/>
      <c r="M361" s="1"/>
    </row>
    <row r="362" spans="1:13" ht="18" customHeight="1" x14ac:dyDescent="0.25">
      <c r="A362" s="353" t="s">
        <v>411</v>
      </c>
      <c r="B362" s="304"/>
      <c r="C362" s="304"/>
      <c r="D362" s="304"/>
      <c r="E362" s="304"/>
      <c r="F362" s="304"/>
      <c r="G362" s="305"/>
      <c r="H362" s="75"/>
      <c r="I362" s="341"/>
      <c r="J362" s="305"/>
      <c r="K362" s="377">
        <f t="shared" si="1"/>
        <v>0</v>
      </c>
      <c r="L362" s="284"/>
      <c r="M362" s="1"/>
    </row>
    <row r="363" spans="1:13" ht="18.75" customHeight="1" x14ac:dyDescent="0.25">
      <c r="A363" s="353" t="s">
        <v>411</v>
      </c>
      <c r="B363" s="304"/>
      <c r="C363" s="304"/>
      <c r="D363" s="304"/>
      <c r="E363" s="304"/>
      <c r="F363" s="304"/>
      <c r="G363" s="305"/>
      <c r="H363" s="75"/>
      <c r="I363" s="341"/>
      <c r="J363" s="305"/>
      <c r="K363" s="377">
        <f t="shared" si="1"/>
        <v>0</v>
      </c>
      <c r="L363" s="284"/>
      <c r="M363" s="1"/>
    </row>
    <row r="364" spans="1:13" ht="18.75" customHeight="1" x14ac:dyDescent="0.25">
      <c r="A364" s="353" t="s">
        <v>411</v>
      </c>
      <c r="B364" s="304"/>
      <c r="C364" s="304"/>
      <c r="D364" s="304"/>
      <c r="E364" s="304"/>
      <c r="F364" s="304"/>
      <c r="G364" s="305"/>
      <c r="H364" s="75"/>
      <c r="I364" s="341"/>
      <c r="J364" s="305"/>
      <c r="K364" s="377">
        <f t="shared" si="1"/>
        <v>0</v>
      </c>
      <c r="L364" s="284"/>
      <c r="M364" s="1"/>
    </row>
    <row r="365" spans="1:13" ht="18" customHeight="1" x14ac:dyDescent="0.25">
      <c r="A365" s="353" t="s">
        <v>411</v>
      </c>
      <c r="B365" s="304"/>
      <c r="C365" s="304"/>
      <c r="D365" s="304"/>
      <c r="E365" s="304"/>
      <c r="F365" s="304"/>
      <c r="G365" s="305"/>
      <c r="H365" s="75"/>
      <c r="I365" s="341"/>
      <c r="J365" s="305"/>
      <c r="K365" s="377">
        <f t="shared" si="1"/>
        <v>0</v>
      </c>
      <c r="L365" s="284"/>
      <c r="M365" s="1"/>
    </row>
    <row r="366" spans="1:13" ht="18" customHeight="1" x14ac:dyDescent="0.25">
      <c r="A366" s="353" t="s">
        <v>411</v>
      </c>
      <c r="B366" s="304"/>
      <c r="C366" s="304"/>
      <c r="D366" s="304"/>
      <c r="E366" s="304"/>
      <c r="F366" s="304"/>
      <c r="G366" s="305"/>
      <c r="H366" s="75"/>
      <c r="I366" s="341"/>
      <c r="J366" s="305"/>
      <c r="K366" s="377">
        <f t="shared" si="1"/>
        <v>0</v>
      </c>
      <c r="L366" s="284"/>
      <c r="M366" s="1"/>
    </row>
    <row r="367" spans="1:13" ht="18.75" customHeight="1" x14ac:dyDescent="0.25">
      <c r="A367" s="353" t="s">
        <v>411</v>
      </c>
      <c r="B367" s="304"/>
      <c r="C367" s="304"/>
      <c r="D367" s="304"/>
      <c r="E367" s="304"/>
      <c r="F367" s="304"/>
      <c r="G367" s="305"/>
      <c r="H367" s="75"/>
      <c r="I367" s="341"/>
      <c r="J367" s="305"/>
      <c r="K367" s="377">
        <f t="shared" si="1"/>
        <v>0</v>
      </c>
      <c r="L367" s="284"/>
      <c r="M367" s="1"/>
    </row>
    <row r="368" spans="1:13" ht="18.75" customHeight="1" x14ac:dyDescent="0.25">
      <c r="A368" s="353" t="s">
        <v>411</v>
      </c>
      <c r="B368" s="304"/>
      <c r="C368" s="304"/>
      <c r="D368" s="304"/>
      <c r="E368" s="304"/>
      <c r="F368" s="304"/>
      <c r="G368" s="305"/>
      <c r="H368" s="75"/>
      <c r="I368" s="341"/>
      <c r="J368" s="305"/>
      <c r="K368" s="377">
        <f t="shared" si="1"/>
        <v>0</v>
      </c>
      <c r="L368" s="284"/>
      <c r="M368" s="1"/>
    </row>
    <row r="369" spans="1:13" ht="18.75" customHeight="1" x14ac:dyDescent="0.25">
      <c r="A369" s="353" t="s">
        <v>411</v>
      </c>
      <c r="B369" s="304"/>
      <c r="C369" s="304"/>
      <c r="D369" s="304"/>
      <c r="E369" s="304"/>
      <c r="F369" s="304"/>
      <c r="G369" s="305"/>
      <c r="H369" s="75"/>
      <c r="I369" s="341"/>
      <c r="J369" s="305"/>
      <c r="K369" s="377">
        <f t="shared" si="1"/>
        <v>0</v>
      </c>
      <c r="L369" s="284"/>
      <c r="M369" s="1"/>
    </row>
    <row r="370" spans="1:13" ht="18.75" customHeight="1" x14ac:dyDescent="0.25">
      <c r="A370" s="353" t="s">
        <v>411</v>
      </c>
      <c r="B370" s="304"/>
      <c r="C370" s="304"/>
      <c r="D370" s="304"/>
      <c r="E370" s="304"/>
      <c r="F370" s="304"/>
      <c r="G370" s="305"/>
      <c r="H370" s="75"/>
      <c r="I370" s="341"/>
      <c r="J370" s="305"/>
      <c r="K370" s="377">
        <f t="shared" si="1"/>
        <v>0</v>
      </c>
      <c r="L370" s="284"/>
      <c r="M370" s="1"/>
    </row>
    <row r="371" spans="1:13" ht="18.75" customHeight="1" x14ac:dyDescent="0.25">
      <c r="A371" s="353" t="s">
        <v>411</v>
      </c>
      <c r="B371" s="304"/>
      <c r="C371" s="304"/>
      <c r="D371" s="304"/>
      <c r="E371" s="304"/>
      <c r="F371" s="304"/>
      <c r="G371" s="305"/>
      <c r="H371" s="75"/>
      <c r="I371" s="341"/>
      <c r="J371" s="305"/>
      <c r="K371" s="377">
        <f t="shared" si="1"/>
        <v>0</v>
      </c>
      <c r="L371" s="284"/>
      <c r="M371" s="1"/>
    </row>
    <row r="372" spans="1:13" ht="18.75" customHeight="1" x14ac:dyDescent="0.25">
      <c r="A372" s="353" t="s">
        <v>411</v>
      </c>
      <c r="B372" s="304"/>
      <c r="C372" s="304"/>
      <c r="D372" s="304"/>
      <c r="E372" s="304"/>
      <c r="F372" s="304"/>
      <c r="G372" s="305"/>
      <c r="H372" s="75"/>
      <c r="I372" s="341"/>
      <c r="J372" s="305"/>
      <c r="K372" s="377">
        <f t="shared" si="1"/>
        <v>0</v>
      </c>
      <c r="L372" s="284"/>
      <c r="M372" s="1"/>
    </row>
    <row r="373" spans="1:13" ht="18.75" customHeight="1" x14ac:dyDescent="0.25">
      <c r="A373" s="353" t="s">
        <v>411</v>
      </c>
      <c r="B373" s="304"/>
      <c r="C373" s="304"/>
      <c r="D373" s="304"/>
      <c r="E373" s="304"/>
      <c r="F373" s="304"/>
      <c r="G373" s="305"/>
      <c r="H373" s="75"/>
      <c r="I373" s="341"/>
      <c r="J373" s="305"/>
      <c r="K373" s="377">
        <f t="shared" si="1"/>
        <v>0</v>
      </c>
      <c r="L373" s="284"/>
      <c r="M373" s="1"/>
    </row>
    <row r="374" spans="1:13" ht="18.75" customHeight="1" x14ac:dyDescent="0.25">
      <c r="A374" s="353" t="s">
        <v>411</v>
      </c>
      <c r="B374" s="304"/>
      <c r="C374" s="304"/>
      <c r="D374" s="304"/>
      <c r="E374" s="304"/>
      <c r="F374" s="304"/>
      <c r="G374" s="305"/>
      <c r="H374" s="75"/>
      <c r="I374" s="341"/>
      <c r="J374" s="305"/>
      <c r="K374" s="377">
        <f t="shared" si="1"/>
        <v>0</v>
      </c>
      <c r="L374" s="284"/>
      <c r="M374" s="1"/>
    </row>
    <row r="375" spans="1:13" ht="18.75" customHeight="1" x14ac:dyDescent="0.25">
      <c r="A375" s="353" t="s">
        <v>411</v>
      </c>
      <c r="B375" s="304"/>
      <c r="C375" s="304"/>
      <c r="D375" s="304"/>
      <c r="E375" s="304"/>
      <c r="F375" s="304"/>
      <c r="G375" s="305"/>
      <c r="H375" s="75"/>
      <c r="I375" s="341"/>
      <c r="J375" s="305"/>
      <c r="K375" s="377">
        <f t="shared" si="1"/>
        <v>0</v>
      </c>
      <c r="L375" s="284"/>
      <c r="M375" s="1"/>
    </row>
    <row r="376" spans="1:13" ht="18.75" customHeight="1" x14ac:dyDescent="0.25">
      <c r="A376" s="353" t="s">
        <v>411</v>
      </c>
      <c r="B376" s="304"/>
      <c r="C376" s="304"/>
      <c r="D376" s="304"/>
      <c r="E376" s="304"/>
      <c r="F376" s="304"/>
      <c r="G376" s="305"/>
      <c r="H376" s="75"/>
      <c r="I376" s="341"/>
      <c r="J376" s="305"/>
      <c r="K376" s="377">
        <f t="shared" si="1"/>
        <v>0</v>
      </c>
      <c r="L376" s="284"/>
      <c r="M376" s="1"/>
    </row>
    <row r="377" spans="1:13" ht="18.75" customHeight="1" x14ac:dyDescent="0.25">
      <c r="A377" s="353" t="s">
        <v>411</v>
      </c>
      <c r="B377" s="304"/>
      <c r="C377" s="304"/>
      <c r="D377" s="304"/>
      <c r="E377" s="304"/>
      <c r="F377" s="304"/>
      <c r="G377" s="305"/>
      <c r="H377" s="75"/>
      <c r="I377" s="341"/>
      <c r="J377" s="305"/>
      <c r="K377" s="377">
        <f t="shared" si="1"/>
        <v>0</v>
      </c>
      <c r="L377" s="284"/>
      <c r="M377" s="1"/>
    </row>
    <row r="378" spans="1:13" ht="18.75" customHeight="1" x14ac:dyDescent="0.25">
      <c r="A378" s="353" t="s">
        <v>411</v>
      </c>
      <c r="B378" s="304"/>
      <c r="C378" s="304"/>
      <c r="D378" s="304"/>
      <c r="E378" s="304"/>
      <c r="F378" s="304"/>
      <c r="G378" s="305"/>
      <c r="H378" s="75"/>
      <c r="I378" s="341"/>
      <c r="J378" s="305"/>
      <c r="K378" s="377">
        <f t="shared" si="1"/>
        <v>0</v>
      </c>
      <c r="L378" s="284"/>
      <c r="M378" s="1"/>
    </row>
    <row r="379" spans="1:13" ht="18.75" customHeight="1" x14ac:dyDescent="0.25">
      <c r="A379" s="353" t="s">
        <v>411</v>
      </c>
      <c r="B379" s="304"/>
      <c r="C379" s="304"/>
      <c r="D379" s="304"/>
      <c r="E379" s="304"/>
      <c r="F379" s="304"/>
      <c r="G379" s="305"/>
      <c r="H379" s="75"/>
      <c r="I379" s="341"/>
      <c r="J379" s="305"/>
      <c r="K379" s="377">
        <f t="shared" si="1"/>
        <v>0</v>
      </c>
      <c r="L379" s="284"/>
      <c r="M379" s="1"/>
    </row>
    <row r="380" spans="1:13" ht="18.75" customHeight="1" x14ac:dyDescent="0.25">
      <c r="A380" s="353" t="s">
        <v>411</v>
      </c>
      <c r="B380" s="304"/>
      <c r="C380" s="304"/>
      <c r="D380" s="304"/>
      <c r="E380" s="304"/>
      <c r="F380" s="304"/>
      <c r="G380" s="305"/>
      <c r="H380" s="75"/>
      <c r="I380" s="341"/>
      <c r="J380" s="305"/>
      <c r="K380" s="377">
        <f t="shared" si="1"/>
        <v>0</v>
      </c>
      <c r="L380" s="284"/>
      <c r="M380" s="1"/>
    </row>
    <row r="381" spans="1:13" ht="18.75" customHeight="1" x14ac:dyDescent="0.25">
      <c r="A381" s="353" t="s">
        <v>411</v>
      </c>
      <c r="B381" s="304"/>
      <c r="C381" s="304"/>
      <c r="D381" s="304"/>
      <c r="E381" s="304"/>
      <c r="F381" s="304"/>
      <c r="G381" s="305"/>
      <c r="H381" s="75"/>
      <c r="I381" s="341"/>
      <c r="J381" s="305"/>
      <c r="K381" s="377">
        <f t="shared" si="1"/>
        <v>0</v>
      </c>
      <c r="L381" s="284"/>
      <c r="M381" s="1"/>
    </row>
    <row r="382" spans="1:13" ht="18.75" customHeight="1" x14ac:dyDescent="0.25">
      <c r="A382" s="353" t="s">
        <v>411</v>
      </c>
      <c r="B382" s="304"/>
      <c r="C382" s="304"/>
      <c r="D382" s="304"/>
      <c r="E382" s="304"/>
      <c r="F382" s="304"/>
      <c r="G382" s="305"/>
      <c r="H382" s="75"/>
      <c r="I382" s="341"/>
      <c r="J382" s="305"/>
      <c r="K382" s="377">
        <f t="shared" si="1"/>
        <v>0</v>
      </c>
      <c r="L382" s="284"/>
      <c r="M382" s="1"/>
    </row>
    <row r="383" spans="1:13" ht="18.75" customHeight="1" x14ac:dyDescent="0.25">
      <c r="A383" s="353" t="s">
        <v>411</v>
      </c>
      <c r="B383" s="304"/>
      <c r="C383" s="304"/>
      <c r="D383" s="304"/>
      <c r="E383" s="304"/>
      <c r="F383" s="304"/>
      <c r="G383" s="305"/>
      <c r="H383" s="75"/>
      <c r="I383" s="341"/>
      <c r="J383" s="305"/>
      <c r="K383" s="377">
        <f t="shared" si="1"/>
        <v>0</v>
      </c>
      <c r="L383" s="284"/>
      <c r="M383" s="1"/>
    </row>
    <row r="384" spans="1:13" ht="18.75" customHeight="1" x14ac:dyDescent="0.25">
      <c r="A384" s="353" t="s">
        <v>411</v>
      </c>
      <c r="B384" s="304"/>
      <c r="C384" s="304"/>
      <c r="D384" s="304"/>
      <c r="E384" s="304"/>
      <c r="F384" s="304"/>
      <c r="G384" s="305"/>
      <c r="H384" s="75"/>
      <c r="I384" s="341"/>
      <c r="J384" s="305"/>
      <c r="K384" s="377">
        <f t="shared" si="1"/>
        <v>0</v>
      </c>
      <c r="L384" s="284"/>
      <c r="M384" s="1"/>
    </row>
    <row r="385" spans="1:13" ht="18.75" customHeight="1" x14ac:dyDescent="0.25">
      <c r="A385" s="353" t="s">
        <v>411</v>
      </c>
      <c r="B385" s="304"/>
      <c r="C385" s="304"/>
      <c r="D385" s="304"/>
      <c r="E385" s="304"/>
      <c r="F385" s="304"/>
      <c r="G385" s="305"/>
      <c r="H385" s="75"/>
      <c r="I385" s="341"/>
      <c r="J385" s="305"/>
      <c r="K385" s="377">
        <f t="shared" si="1"/>
        <v>0</v>
      </c>
      <c r="L385" s="284"/>
      <c r="M385" s="1"/>
    </row>
    <row r="386" spans="1:13" ht="18.75" customHeight="1" x14ac:dyDescent="0.25">
      <c r="A386" s="353" t="s">
        <v>411</v>
      </c>
      <c r="B386" s="304"/>
      <c r="C386" s="304"/>
      <c r="D386" s="304"/>
      <c r="E386" s="304"/>
      <c r="F386" s="304"/>
      <c r="G386" s="305"/>
      <c r="H386" s="75"/>
      <c r="I386" s="341"/>
      <c r="J386" s="305"/>
      <c r="K386" s="377">
        <f t="shared" si="1"/>
        <v>0</v>
      </c>
      <c r="L386" s="284"/>
      <c r="M386" s="1"/>
    </row>
    <row r="387" spans="1:13" ht="18.75" customHeight="1" x14ac:dyDescent="0.25">
      <c r="A387" s="353" t="s">
        <v>411</v>
      </c>
      <c r="B387" s="304"/>
      <c r="C387" s="304"/>
      <c r="D387" s="304"/>
      <c r="E387" s="304"/>
      <c r="F387" s="304"/>
      <c r="G387" s="305"/>
      <c r="H387" s="75"/>
      <c r="I387" s="341"/>
      <c r="J387" s="305"/>
      <c r="K387" s="377">
        <f t="shared" si="1"/>
        <v>0</v>
      </c>
      <c r="L387" s="284"/>
      <c r="M387" s="1"/>
    </row>
    <row r="388" spans="1:13" ht="18.75" customHeight="1" x14ac:dyDescent="0.25">
      <c r="A388" s="353" t="s">
        <v>411</v>
      </c>
      <c r="B388" s="304"/>
      <c r="C388" s="304"/>
      <c r="D388" s="304"/>
      <c r="E388" s="304"/>
      <c r="F388" s="304"/>
      <c r="G388" s="305"/>
      <c r="H388" s="75"/>
      <c r="I388" s="341"/>
      <c r="J388" s="305"/>
      <c r="K388" s="377">
        <f t="shared" si="1"/>
        <v>0</v>
      </c>
      <c r="L388" s="284"/>
      <c r="M388" s="1"/>
    </row>
    <row r="389" spans="1:13" ht="18.75" customHeight="1" thickBot="1" x14ac:dyDescent="0.3">
      <c r="A389" s="506" t="s">
        <v>411</v>
      </c>
      <c r="B389" s="507"/>
      <c r="C389" s="507"/>
      <c r="D389" s="507"/>
      <c r="E389" s="507"/>
      <c r="F389" s="507"/>
      <c r="G389" s="508"/>
      <c r="H389" s="76"/>
      <c r="I389" s="342"/>
      <c r="J389" s="508"/>
      <c r="K389" s="406">
        <f t="shared" si="1"/>
        <v>0</v>
      </c>
      <c r="L389" s="407"/>
      <c r="M389" s="1"/>
    </row>
    <row r="390" spans="1:13" ht="18.75" customHeight="1" thickBot="1" x14ac:dyDescent="0.3">
      <c r="A390" s="409" t="s">
        <v>282</v>
      </c>
      <c r="B390" s="307"/>
      <c r="C390" s="307"/>
      <c r="D390" s="307"/>
      <c r="E390" s="307"/>
      <c r="F390" s="307"/>
      <c r="G390" s="308"/>
      <c r="H390" s="77"/>
      <c r="I390" s="410"/>
      <c r="J390" s="308"/>
      <c r="K390" s="408">
        <f>SUM(K357:L389)</f>
        <v>0</v>
      </c>
      <c r="L390" s="291"/>
      <c r="M390" s="1"/>
    </row>
    <row r="391" spans="1:13" ht="18.75" customHeight="1" thickBot="1" x14ac:dyDescent="0.3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1"/>
    </row>
    <row r="392" spans="1:13" ht="18.75" customHeight="1" x14ac:dyDescent="0.25">
      <c r="A392" s="498" t="s">
        <v>456</v>
      </c>
      <c r="B392" s="310"/>
      <c r="C392" s="310"/>
      <c r="D392" s="310"/>
      <c r="E392" s="310"/>
      <c r="F392" s="310"/>
      <c r="G392" s="310"/>
      <c r="H392" s="310"/>
      <c r="I392" s="310"/>
      <c r="J392" s="310"/>
      <c r="K392" s="310"/>
      <c r="L392" s="499"/>
      <c r="M392" s="1"/>
    </row>
    <row r="393" spans="1:13" ht="18.75" customHeight="1" thickBot="1" x14ac:dyDescent="0.3">
      <c r="A393" s="312"/>
      <c r="B393" s="260"/>
      <c r="C393" s="260"/>
      <c r="D393" s="260"/>
      <c r="E393" s="260"/>
      <c r="F393" s="260"/>
      <c r="G393" s="260"/>
      <c r="H393" s="260"/>
      <c r="I393" s="260"/>
      <c r="J393" s="260"/>
      <c r="K393" s="260"/>
      <c r="L393" s="500"/>
      <c r="M393" s="1"/>
    </row>
    <row r="394" spans="1:13" ht="18.75" customHeight="1" x14ac:dyDescent="0.25">
      <c r="A394" s="195" t="s">
        <v>457</v>
      </c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7"/>
      <c r="M394" s="1"/>
    </row>
    <row r="395" spans="1:13" ht="18.75" customHeight="1" x14ac:dyDescent="0.25">
      <c r="A395" s="509"/>
      <c r="B395" s="510"/>
      <c r="C395" s="510"/>
      <c r="D395" s="510"/>
      <c r="E395" s="510"/>
      <c r="F395" s="510"/>
      <c r="G395" s="510"/>
      <c r="H395" s="510"/>
      <c r="I395" s="510"/>
      <c r="J395" s="510"/>
      <c r="K395" s="510"/>
      <c r="L395" s="511"/>
      <c r="M395" s="1"/>
    </row>
    <row r="396" spans="1:13" ht="18.75" customHeight="1" x14ac:dyDescent="0.25">
      <c r="A396" s="512" t="s">
        <v>259</v>
      </c>
      <c r="B396" s="513"/>
      <c r="C396" s="232"/>
      <c r="D396" s="231" t="s">
        <v>258</v>
      </c>
      <c r="E396" s="232"/>
      <c r="F396" s="231" t="s">
        <v>257</v>
      </c>
      <c r="G396" s="513"/>
      <c r="H396" s="232"/>
      <c r="I396" s="231" t="s">
        <v>256</v>
      </c>
      <c r="J396" s="513"/>
      <c r="K396" s="232"/>
      <c r="L396" s="78" t="s">
        <v>255</v>
      </c>
      <c r="M396" s="1"/>
    </row>
    <row r="397" spans="1:13" ht="18.75" customHeight="1" x14ac:dyDescent="0.25">
      <c r="A397" s="411"/>
      <c r="B397" s="412"/>
      <c r="C397" s="413"/>
      <c r="D397" s="414"/>
      <c r="E397" s="413"/>
      <c r="F397" s="414"/>
      <c r="G397" s="412"/>
      <c r="H397" s="413"/>
      <c r="I397" s="414"/>
      <c r="J397" s="412"/>
      <c r="K397" s="413"/>
      <c r="L397" s="6"/>
      <c r="M397" s="1"/>
    </row>
    <row r="398" spans="1:13" ht="18.75" customHeight="1" x14ac:dyDescent="0.25">
      <c r="A398" s="411"/>
      <c r="B398" s="412"/>
      <c r="C398" s="413"/>
      <c r="D398" s="412"/>
      <c r="E398" s="413"/>
      <c r="F398" s="414"/>
      <c r="G398" s="412"/>
      <c r="H398" s="413"/>
      <c r="I398" s="414"/>
      <c r="J398" s="412"/>
      <c r="K398" s="413"/>
      <c r="L398" s="6"/>
      <c r="M398" s="1"/>
    </row>
    <row r="399" spans="1:13" ht="18.75" customHeight="1" x14ac:dyDescent="0.25">
      <c r="A399" s="411"/>
      <c r="B399" s="412"/>
      <c r="C399" s="413"/>
      <c r="D399" s="412"/>
      <c r="E399" s="413"/>
      <c r="F399" s="414"/>
      <c r="G399" s="412"/>
      <c r="H399" s="413"/>
      <c r="I399" s="414"/>
      <c r="J399" s="412"/>
      <c r="K399" s="413"/>
      <c r="L399" s="6"/>
      <c r="M399" s="1"/>
    </row>
    <row r="400" spans="1:13" ht="18.75" customHeight="1" x14ac:dyDescent="0.25">
      <c r="A400" s="411"/>
      <c r="B400" s="412"/>
      <c r="C400" s="413"/>
      <c r="D400" s="412"/>
      <c r="E400" s="413"/>
      <c r="F400" s="414"/>
      <c r="G400" s="412"/>
      <c r="H400" s="413"/>
      <c r="I400" s="414"/>
      <c r="J400" s="412"/>
      <c r="K400" s="413"/>
      <c r="L400" s="6"/>
      <c r="M400" s="1"/>
    </row>
    <row r="401" spans="1:13" ht="18.75" customHeight="1" x14ac:dyDescent="0.25">
      <c r="A401" s="411"/>
      <c r="B401" s="412"/>
      <c r="C401" s="413"/>
      <c r="D401" s="412"/>
      <c r="E401" s="413"/>
      <c r="F401" s="414"/>
      <c r="G401" s="412"/>
      <c r="H401" s="413"/>
      <c r="I401" s="414"/>
      <c r="J401" s="412"/>
      <c r="K401" s="413"/>
      <c r="L401" s="6"/>
      <c r="M401" s="1"/>
    </row>
    <row r="402" spans="1:13" ht="18.75" customHeight="1" x14ac:dyDescent="0.25">
      <c r="A402" s="411"/>
      <c r="B402" s="412"/>
      <c r="C402" s="413"/>
      <c r="D402" s="412"/>
      <c r="E402" s="413"/>
      <c r="F402" s="414"/>
      <c r="G402" s="412"/>
      <c r="H402" s="413"/>
      <c r="I402" s="414"/>
      <c r="J402" s="412"/>
      <c r="K402" s="413"/>
      <c r="L402" s="6"/>
      <c r="M402" s="1"/>
    </row>
    <row r="403" spans="1:13" ht="18" customHeight="1" x14ac:dyDescent="0.25">
      <c r="A403" s="411"/>
      <c r="B403" s="412"/>
      <c r="C403" s="413"/>
      <c r="D403" s="412"/>
      <c r="E403" s="413"/>
      <c r="F403" s="414"/>
      <c r="G403" s="412"/>
      <c r="H403" s="413"/>
      <c r="I403" s="414"/>
      <c r="J403" s="412"/>
      <c r="K403" s="413"/>
      <c r="L403" s="6"/>
      <c r="M403" s="1"/>
    </row>
    <row r="404" spans="1:13" ht="36" customHeight="1" x14ac:dyDescent="0.25">
      <c r="A404" s="411"/>
      <c r="B404" s="412"/>
      <c r="C404" s="413"/>
      <c r="D404" s="412"/>
      <c r="E404" s="413"/>
      <c r="F404" s="414"/>
      <c r="G404" s="412"/>
      <c r="H404" s="413"/>
      <c r="I404" s="414"/>
      <c r="J404" s="412"/>
      <c r="K404" s="413"/>
      <c r="L404" s="6"/>
      <c r="M404" s="1"/>
    </row>
    <row r="405" spans="1:13" ht="18.75" customHeight="1" x14ac:dyDescent="0.25">
      <c r="A405" s="411"/>
      <c r="B405" s="412"/>
      <c r="C405" s="413"/>
      <c r="D405" s="412"/>
      <c r="E405" s="413"/>
      <c r="F405" s="414"/>
      <c r="G405" s="412"/>
      <c r="H405" s="413"/>
      <c r="I405" s="414"/>
      <c r="J405" s="412"/>
      <c r="K405" s="413"/>
      <c r="L405" s="6"/>
      <c r="M405" s="1"/>
    </row>
    <row r="406" spans="1:13" ht="18" customHeight="1" x14ac:dyDescent="0.25">
      <c r="A406" s="411"/>
      <c r="B406" s="412"/>
      <c r="C406" s="413"/>
      <c r="D406" s="412"/>
      <c r="E406" s="413"/>
      <c r="F406" s="414"/>
      <c r="G406" s="412"/>
      <c r="H406" s="413"/>
      <c r="I406" s="414"/>
      <c r="J406" s="412"/>
      <c r="K406" s="413"/>
      <c r="L406" s="6"/>
      <c r="M406" s="1"/>
    </row>
    <row r="407" spans="1:13" ht="18.75" customHeight="1" x14ac:dyDescent="0.25">
      <c r="A407" s="411"/>
      <c r="B407" s="412"/>
      <c r="C407" s="413"/>
      <c r="D407" s="412"/>
      <c r="E407" s="413"/>
      <c r="F407" s="414"/>
      <c r="G407" s="412"/>
      <c r="H407" s="413"/>
      <c r="I407" s="414"/>
      <c r="J407" s="412"/>
      <c r="K407" s="413"/>
      <c r="L407" s="6"/>
      <c r="M407" s="1"/>
    </row>
    <row r="408" spans="1:13" ht="18" customHeight="1" x14ac:dyDescent="0.25">
      <c r="A408" s="411"/>
      <c r="B408" s="412"/>
      <c r="C408" s="413"/>
      <c r="D408" s="412"/>
      <c r="E408" s="413"/>
      <c r="F408" s="414"/>
      <c r="G408" s="412"/>
      <c r="H408" s="413"/>
      <c r="I408" s="414"/>
      <c r="J408" s="412"/>
      <c r="K408" s="413"/>
      <c r="L408" s="6"/>
      <c r="M408" s="1"/>
    </row>
    <row r="409" spans="1:13" ht="18.75" customHeight="1" x14ac:dyDescent="0.25">
      <c r="A409" s="411"/>
      <c r="B409" s="412"/>
      <c r="C409" s="413"/>
      <c r="D409" s="412"/>
      <c r="E409" s="413"/>
      <c r="F409" s="414"/>
      <c r="G409" s="412"/>
      <c r="H409" s="413"/>
      <c r="I409" s="414"/>
      <c r="J409" s="412"/>
      <c r="K409" s="413"/>
      <c r="L409" s="6"/>
      <c r="M409" s="1"/>
    </row>
    <row r="410" spans="1:13" ht="18" customHeight="1" x14ac:dyDescent="0.25">
      <c r="A410" s="411"/>
      <c r="B410" s="412"/>
      <c r="C410" s="413"/>
      <c r="D410" s="412"/>
      <c r="E410" s="413"/>
      <c r="F410" s="414"/>
      <c r="G410" s="412"/>
      <c r="H410" s="413"/>
      <c r="I410" s="414"/>
      <c r="J410" s="412"/>
      <c r="K410" s="413"/>
      <c r="L410" s="6"/>
      <c r="M410" s="1"/>
    </row>
    <row r="411" spans="1:13" ht="18.75" customHeight="1" thickBot="1" x14ac:dyDescent="0.3">
      <c r="A411" s="415"/>
      <c r="B411" s="416"/>
      <c r="C411" s="417"/>
      <c r="D411" s="416"/>
      <c r="E411" s="417"/>
      <c r="F411" s="418"/>
      <c r="G411" s="416"/>
      <c r="H411" s="417"/>
      <c r="I411" s="418"/>
      <c r="J411" s="416"/>
      <c r="K411" s="417"/>
      <c r="L411" s="7"/>
      <c r="M411" s="1"/>
    </row>
    <row r="412" spans="1:13" ht="18.75" customHeight="1" x14ac:dyDescent="0.25">
      <c r="A412" s="419" t="s">
        <v>367</v>
      </c>
      <c r="B412" s="420"/>
      <c r="C412" s="420"/>
      <c r="D412" s="420"/>
      <c r="E412" s="420"/>
      <c r="F412" s="420"/>
      <c r="G412" s="420"/>
      <c r="H412" s="420"/>
      <c r="I412" s="420"/>
      <c r="J412" s="421"/>
      <c r="K412" s="422"/>
      <c r="L412" s="423"/>
      <c r="M412" s="1"/>
    </row>
    <row r="413" spans="1:13" ht="18.75" customHeight="1" x14ac:dyDescent="0.25">
      <c r="A413" s="135" t="s">
        <v>368</v>
      </c>
      <c r="B413" s="136"/>
      <c r="C413" s="136"/>
      <c r="D413" s="136"/>
      <c r="E413" s="136"/>
      <c r="F413" s="136"/>
      <c r="G413" s="136"/>
      <c r="H413" s="136"/>
      <c r="I413" s="136"/>
      <c r="J413" s="167"/>
      <c r="K413" s="169"/>
      <c r="L413" s="170"/>
      <c r="M413" s="1"/>
    </row>
    <row r="414" spans="1:13" ht="18.75" customHeight="1" x14ac:dyDescent="0.25">
      <c r="A414" s="135" t="s">
        <v>369</v>
      </c>
      <c r="B414" s="136"/>
      <c r="C414" s="136"/>
      <c r="D414" s="136"/>
      <c r="E414" s="136"/>
      <c r="F414" s="136"/>
      <c r="G414" s="136"/>
      <c r="H414" s="136"/>
      <c r="I414" s="136"/>
      <c r="J414" s="167"/>
      <c r="K414" s="169"/>
      <c r="L414" s="170"/>
      <c r="M414" s="1"/>
    </row>
    <row r="415" spans="1:13" ht="18.75" customHeight="1" x14ac:dyDescent="0.25">
      <c r="A415" s="135" t="s">
        <v>370</v>
      </c>
      <c r="B415" s="136"/>
      <c r="C415" s="136"/>
      <c r="D415" s="136"/>
      <c r="E415" s="136"/>
      <c r="F415" s="136"/>
      <c r="G415" s="136"/>
      <c r="H415" s="136"/>
      <c r="I415" s="136"/>
      <c r="J415" s="167"/>
      <c r="K415" s="169"/>
      <c r="L415" s="170"/>
      <c r="M415" s="1"/>
    </row>
    <row r="416" spans="1:13" ht="18.75" customHeight="1" x14ac:dyDescent="0.25">
      <c r="A416" s="135" t="s">
        <v>371</v>
      </c>
      <c r="B416" s="136"/>
      <c r="C416" s="136"/>
      <c r="D416" s="136"/>
      <c r="E416" s="136"/>
      <c r="F416" s="136"/>
      <c r="G416" s="136"/>
      <c r="H416" s="136"/>
      <c r="I416" s="136"/>
      <c r="J416" s="167"/>
      <c r="K416" s="169"/>
      <c r="L416" s="170"/>
      <c r="M416" s="1"/>
    </row>
    <row r="417" spans="1:13" ht="18.75" customHeight="1" x14ac:dyDescent="0.25">
      <c r="A417" s="135" t="s">
        <v>372</v>
      </c>
      <c r="B417" s="136"/>
      <c r="C417" s="136"/>
      <c r="D417" s="136"/>
      <c r="E417" s="136"/>
      <c r="F417" s="136"/>
      <c r="G417" s="136"/>
      <c r="H417" s="136"/>
      <c r="I417" s="136"/>
      <c r="J417" s="167"/>
      <c r="K417" s="169"/>
      <c r="L417" s="170"/>
      <c r="M417" s="1"/>
    </row>
    <row r="418" spans="1:13" ht="18.75" customHeight="1" x14ac:dyDescent="0.25">
      <c r="A418" s="135" t="s">
        <v>373</v>
      </c>
      <c r="B418" s="136"/>
      <c r="C418" s="136"/>
      <c r="D418" s="136"/>
      <c r="E418" s="136"/>
      <c r="F418" s="136"/>
      <c r="G418" s="136"/>
      <c r="H418" s="136"/>
      <c r="I418" s="136"/>
      <c r="J418" s="167"/>
      <c r="K418" s="169"/>
      <c r="L418" s="170"/>
      <c r="M418" s="1"/>
    </row>
    <row r="419" spans="1:13" ht="18.75" customHeight="1" x14ac:dyDescent="0.25">
      <c r="A419" s="135" t="s">
        <v>374</v>
      </c>
      <c r="B419" s="136"/>
      <c r="C419" s="136"/>
      <c r="D419" s="136"/>
      <c r="E419" s="136"/>
      <c r="F419" s="136"/>
      <c r="G419" s="136"/>
      <c r="H419" s="136"/>
      <c r="I419" s="136"/>
      <c r="J419" s="167"/>
      <c r="K419" s="169"/>
      <c r="L419" s="170"/>
      <c r="M419" s="1"/>
    </row>
    <row r="420" spans="1:13" ht="18.75" customHeight="1" x14ac:dyDescent="0.25">
      <c r="A420" s="135" t="s">
        <v>375</v>
      </c>
      <c r="B420" s="136"/>
      <c r="C420" s="136"/>
      <c r="D420" s="136"/>
      <c r="E420" s="136"/>
      <c r="F420" s="136"/>
      <c r="G420" s="136"/>
      <c r="H420" s="136"/>
      <c r="I420" s="136"/>
      <c r="J420" s="167"/>
      <c r="K420" s="169"/>
      <c r="L420" s="170"/>
      <c r="M420" s="1"/>
    </row>
    <row r="421" spans="1:13" ht="18.75" customHeight="1" x14ac:dyDescent="0.25">
      <c r="A421" s="135" t="s">
        <v>376</v>
      </c>
      <c r="B421" s="136"/>
      <c r="C421" s="136"/>
      <c r="D421" s="136"/>
      <c r="E421" s="136"/>
      <c r="F421" s="136"/>
      <c r="G421" s="136"/>
      <c r="H421" s="136"/>
      <c r="I421" s="136"/>
      <c r="J421" s="167"/>
      <c r="K421" s="169"/>
      <c r="L421" s="170"/>
      <c r="M421" s="1"/>
    </row>
    <row r="422" spans="1:13" ht="18.75" customHeight="1" x14ac:dyDescent="0.25">
      <c r="A422" s="135" t="s">
        <v>377</v>
      </c>
      <c r="B422" s="136"/>
      <c r="C422" s="136"/>
      <c r="D422" s="136"/>
      <c r="E422" s="136"/>
      <c r="F422" s="136"/>
      <c r="G422" s="136"/>
      <c r="H422" s="136"/>
      <c r="I422" s="136"/>
      <c r="J422" s="167"/>
      <c r="K422" s="169"/>
      <c r="L422" s="170"/>
      <c r="M422" s="1"/>
    </row>
    <row r="423" spans="1:13" ht="18.75" customHeight="1" x14ac:dyDescent="0.25">
      <c r="A423" s="135" t="s">
        <v>378</v>
      </c>
      <c r="B423" s="136"/>
      <c r="C423" s="136"/>
      <c r="D423" s="136"/>
      <c r="E423" s="136"/>
      <c r="F423" s="136"/>
      <c r="G423" s="136"/>
      <c r="H423" s="136"/>
      <c r="I423" s="136"/>
      <c r="J423" s="167"/>
      <c r="K423" s="169"/>
      <c r="L423" s="170"/>
      <c r="M423" s="1"/>
    </row>
    <row r="424" spans="1:13" ht="18.75" customHeight="1" x14ac:dyDescent="0.25">
      <c r="A424" s="135" t="s">
        <v>379</v>
      </c>
      <c r="B424" s="136"/>
      <c r="C424" s="136"/>
      <c r="D424" s="136"/>
      <c r="E424" s="136"/>
      <c r="F424" s="136"/>
      <c r="G424" s="136"/>
      <c r="H424" s="136"/>
      <c r="I424" s="136"/>
      <c r="J424" s="167"/>
      <c r="K424" s="169"/>
      <c r="L424" s="170"/>
      <c r="M424" s="1"/>
    </row>
    <row r="425" spans="1:13" ht="18.75" customHeight="1" x14ac:dyDescent="0.25">
      <c r="A425" s="135" t="s">
        <v>380</v>
      </c>
      <c r="B425" s="136"/>
      <c r="C425" s="136"/>
      <c r="D425" s="136"/>
      <c r="E425" s="136"/>
      <c r="F425" s="136"/>
      <c r="G425" s="136"/>
      <c r="H425" s="136"/>
      <c r="I425" s="136"/>
      <c r="J425" s="167"/>
      <c r="K425" s="169"/>
      <c r="L425" s="170"/>
      <c r="M425" s="1"/>
    </row>
    <row r="426" spans="1:13" ht="18.75" customHeight="1" x14ac:dyDescent="0.25">
      <c r="A426" s="135" t="s">
        <v>381</v>
      </c>
      <c r="B426" s="136"/>
      <c r="C426" s="136"/>
      <c r="D426" s="136"/>
      <c r="E426" s="136"/>
      <c r="F426" s="136"/>
      <c r="G426" s="136"/>
      <c r="H426" s="136"/>
      <c r="I426" s="136"/>
      <c r="J426" s="167"/>
      <c r="K426" s="169"/>
      <c r="L426" s="170"/>
      <c r="M426" s="1"/>
    </row>
    <row r="427" spans="1:13" ht="18.75" customHeight="1" x14ac:dyDescent="0.25">
      <c r="A427" s="135" t="s">
        <v>382</v>
      </c>
      <c r="B427" s="136"/>
      <c r="C427" s="136"/>
      <c r="D427" s="136"/>
      <c r="E427" s="136"/>
      <c r="F427" s="136"/>
      <c r="G427" s="136"/>
      <c r="H427" s="136"/>
      <c r="I427" s="136"/>
      <c r="J427" s="167"/>
      <c r="K427" s="169"/>
      <c r="L427" s="170"/>
      <c r="M427" s="1"/>
    </row>
    <row r="428" spans="1:13" ht="18.75" customHeight="1" x14ac:dyDescent="0.25">
      <c r="A428" s="135" t="s">
        <v>383</v>
      </c>
      <c r="B428" s="136"/>
      <c r="C428" s="136"/>
      <c r="D428" s="136"/>
      <c r="E428" s="136"/>
      <c r="F428" s="136"/>
      <c r="G428" s="136"/>
      <c r="H428" s="136"/>
      <c r="I428" s="136"/>
      <c r="J428" s="167"/>
      <c r="K428" s="169"/>
      <c r="L428" s="170"/>
      <c r="M428" s="1"/>
    </row>
    <row r="429" spans="1:13" ht="18.75" customHeight="1" x14ac:dyDescent="0.25">
      <c r="A429" s="135" t="s">
        <v>384</v>
      </c>
      <c r="B429" s="136"/>
      <c r="C429" s="136"/>
      <c r="D429" s="136"/>
      <c r="E429" s="136"/>
      <c r="F429" s="136"/>
      <c r="G429" s="136"/>
      <c r="H429" s="136"/>
      <c r="I429" s="136"/>
      <c r="J429" s="167"/>
      <c r="K429" s="169"/>
      <c r="L429" s="170"/>
      <c r="M429" s="1"/>
    </row>
    <row r="430" spans="1:13" ht="18.75" customHeight="1" x14ac:dyDescent="0.25">
      <c r="A430" s="135" t="s">
        <v>385</v>
      </c>
      <c r="B430" s="136"/>
      <c r="C430" s="136"/>
      <c r="D430" s="136"/>
      <c r="E430" s="136"/>
      <c r="F430" s="136"/>
      <c r="G430" s="136"/>
      <c r="H430" s="136"/>
      <c r="I430" s="136"/>
      <c r="J430" s="167"/>
      <c r="K430" s="169"/>
      <c r="L430" s="170"/>
      <c r="M430" s="1"/>
    </row>
    <row r="431" spans="1:13" ht="18.75" customHeight="1" x14ac:dyDescent="0.25">
      <c r="A431" s="135" t="s">
        <v>386</v>
      </c>
      <c r="B431" s="136"/>
      <c r="C431" s="136"/>
      <c r="D431" s="136"/>
      <c r="E431" s="136"/>
      <c r="F431" s="136"/>
      <c r="G431" s="136"/>
      <c r="H431" s="136"/>
      <c r="I431" s="136"/>
      <c r="J431" s="167"/>
      <c r="K431" s="169"/>
      <c r="L431" s="170"/>
      <c r="M431" s="1"/>
    </row>
    <row r="432" spans="1:13" ht="18.75" customHeight="1" x14ac:dyDescent="0.25">
      <c r="A432" s="135" t="s">
        <v>387</v>
      </c>
      <c r="B432" s="136"/>
      <c r="C432" s="136"/>
      <c r="D432" s="136"/>
      <c r="E432" s="136"/>
      <c r="F432" s="136"/>
      <c r="G432" s="136"/>
      <c r="H432" s="136"/>
      <c r="I432" s="136"/>
      <c r="J432" s="167"/>
      <c r="K432" s="169"/>
      <c r="L432" s="170"/>
      <c r="M432" s="1"/>
    </row>
    <row r="433" spans="1:13" ht="18.75" customHeight="1" x14ac:dyDescent="0.25">
      <c r="A433" s="135" t="s">
        <v>388</v>
      </c>
      <c r="B433" s="136"/>
      <c r="C433" s="136"/>
      <c r="D433" s="136"/>
      <c r="E433" s="136"/>
      <c r="F433" s="136"/>
      <c r="G433" s="136"/>
      <c r="H433" s="136"/>
      <c r="I433" s="136"/>
      <c r="J433" s="167"/>
      <c r="K433" s="169"/>
      <c r="L433" s="170"/>
      <c r="M433" s="1"/>
    </row>
    <row r="434" spans="1:13" ht="18.75" customHeight="1" x14ac:dyDescent="0.25">
      <c r="A434" s="135" t="s">
        <v>389</v>
      </c>
      <c r="B434" s="136"/>
      <c r="C434" s="136"/>
      <c r="D434" s="136"/>
      <c r="E434" s="136"/>
      <c r="F434" s="136"/>
      <c r="G434" s="136"/>
      <c r="H434" s="136"/>
      <c r="I434" s="136"/>
      <c r="J434" s="167"/>
      <c r="K434" s="169"/>
      <c r="L434" s="170"/>
      <c r="M434" s="1"/>
    </row>
    <row r="435" spans="1:13" ht="18.75" customHeight="1" x14ac:dyDescent="0.25">
      <c r="A435" s="135" t="s">
        <v>390</v>
      </c>
      <c r="B435" s="136"/>
      <c r="C435" s="136"/>
      <c r="D435" s="136"/>
      <c r="E435" s="136"/>
      <c r="F435" s="136"/>
      <c r="G435" s="136"/>
      <c r="H435" s="136"/>
      <c r="I435" s="136"/>
      <c r="J435" s="167"/>
      <c r="K435" s="169"/>
      <c r="L435" s="170"/>
      <c r="M435" s="1"/>
    </row>
    <row r="436" spans="1:13" ht="18.75" customHeight="1" x14ac:dyDescent="0.25">
      <c r="A436" s="135" t="s">
        <v>391</v>
      </c>
      <c r="B436" s="136"/>
      <c r="C436" s="136"/>
      <c r="D436" s="136"/>
      <c r="E436" s="136"/>
      <c r="F436" s="136"/>
      <c r="G436" s="136"/>
      <c r="H436" s="136"/>
      <c r="I436" s="136"/>
      <c r="J436" s="167"/>
      <c r="K436" s="169"/>
      <c r="L436" s="170"/>
      <c r="M436" s="1"/>
    </row>
    <row r="437" spans="1:13" ht="18.75" customHeight="1" x14ac:dyDescent="0.25">
      <c r="A437" s="135" t="s">
        <v>392</v>
      </c>
      <c r="B437" s="136"/>
      <c r="C437" s="136"/>
      <c r="D437" s="136"/>
      <c r="E437" s="136"/>
      <c r="F437" s="136"/>
      <c r="G437" s="136"/>
      <c r="H437" s="136"/>
      <c r="I437" s="136"/>
      <c r="J437" s="167"/>
      <c r="K437" s="169"/>
      <c r="L437" s="170"/>
      <c r="M437" s="1"/>
    </row>
    <row r="438" spans="1:13" ht="18.75" customHeight="1" x14ac:dyDescent="0.25">
      <c r="A438" s="135" t="s">
        <v>393</v>
      </c>
      <c r="B438" s="136"/>
      <c r="C438" s="136"/>
      <c r="D438" s="136"/>
      <c r="E438" s="136"/>
      <c r="F438" s="136"/>
      <c r="G438" s="136"/>
      <c r="H438" s="136"/>
      <c r="I438" s="136"/>
      <c r="J438" s="167"/>
      <c r="K438" s="169"/>
      <c r="L438" s="170"/>
      <c r="M438" s="1"/>
    </row>
    <row r="439" spans="1:13" ht="18.75" customHeight="1" thickBot="1" x14ac:dyDescent="0.3">
      <c r="A439" s="137" t="s">
        <v>394</v>
      </c>
      <c r="B439" s="138"/>
      <c r="C439" s="138"/>
      <c r="D439" s="138"/>
      <c r="E439" s="138"/>
      <c r="F439" s="138"/>
      <c r="G439" s="138"/>
      <c r="H439" s="138"/>
      <c r="I439" s="138"/>
      <c r="J439" s="168"/>
      <c r="K439" s="171"/>
      <c r="L439" s="172"/>
      <c r="M439" s="1"/>
    </row>
    <row r="440" spans="1:13" ht="18.75" customHeight="1" thickBot="1" x14ac:dyDescent="0.3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"/>
    </row>
    <row r="441" spans="1:13" ht="18.75" customHeight="1" x14ac:dyDescent="0.25">
      <c r="A441" s="147" t="s">
        <v>403</v>
      </c>
      <c r="B441" s="148"/>
      <c r="C441" s="148"/>
      <c r="D441" s="148"/>
      <c r="E441" s="148"/>
      <c r="F441" s="148"/>
      <c r="G441" s="148"/>
      <c r="H441" s="148"/>
      <c r="I441" s="148"/>
      <c r="J441" s="149"/>
      <c r="K441" s="141">
        <f>K443</f>
        <v>0</v>
      </c>
      <c r="L441" s="142"/>
      <c r="M441" s="1"/>
    </row>
    <row r="442" spans="1:13" ht="18.75" customHeight="1" thickBot="1" x14ac:dyDescent="0.3">
      <c r="A442" s="150"/>
      <c r="B442" s="151"/>
      <c r="C442" s="151"/>
      <c r="D442" s="151"/>
      <c r="E442" s="151"/>
      <c r="F442" s="151"/>
      <c r="G442" s="151"/>
      <c r="H442" s="151"/>
      <c r="I442" s="151"/>
      <c r="J442" s="152"/>
      <c r="K442" s="143"/>
      <c r="L442" s="144"/>
      <c r="M442" s="1"/>
    </row>
    <row r="443" spans="1:13" ht="18.75" customHeight="1" thickBot="1" x14ac:dyDescent="0.3">
      <c r="A443" s="153" t="s">
        <v>395</v>
      </c>
      <c r="B443" s="154"/>
      <c r="C443" s="154"/>
      <c r="D443" s="154"/>
      <c r="E443" s="154"/>
      <c r="F443" s="154"/>
      <c r="G443" s="154"/>
      <c r="H443" s="154"/>
      <c r="I443" s="154"/>
      <c r="J443" s="155"/>
      <c r="K443" s="145">
        <f>K501</f>
        <v>0</v>
      </c>
      <c r="L443" s="146"/>
      <c r="M443" s="1"/>
    </row>
    <row r="444" spans="1:13" ht="18.75" customHeight="1" thickBot="1" x14ac:dyDescent="0.3">
      <c r="A444" s="156"/>
      <c r="B444" s="156"/>
      <c r="C444" s="156"/>
      <c r="D444" s="156"/>
      <c r="E444" s="156"/>
      <c r="F444" s="156"/>
      <c r="G444" s="156"/>
      <c r="H444" s="156"/>
      <c r="I444" s="156"/>
      <c r="J444" s="156"/>
      <c r="K444" s="156"/>
      <c r="L444" s="156"/>
      <c r="M444" s="1"/>
    </row>
    <row r="445" spans="1:13" ht="18.75" customHeight="1" x14ac:dyDescent="0.25">
      <c r="A445" s="157" t="s">
        <v>404</v>
      </c>
      <c r="B445" s="158"/>
      <c r="C445" s="158"/>
      <c r="D445" s="158"/>
      <c r="E445" s="158"/>
      <c r="F445" s="158"/>
      <c r="G445" s="158"/>
      <c r="H445" s="158"/>
      <c r="I445" s="158"/>
      <c r="J445" s="159"/>
      <c r="K445" s="163">
        <f>SUM(K447:L451)</f>
        <v>0</v>
      </c>
      <c r="L445" s="164"/>
      <c r="M445" s="1"/>
    </row>
    <row r="446" spans="1:13" ht="18.75" customHeight="1" thickBot="1" x14ac:dyDescent="0.3">
      <c r="A446" s="160"/>
      <c r="B446" s="151"/>
      <c r="C446" s="151"/>
      <c r="D446" s="151"/>
      <c r="E446" s="151"/>
      <c r="F446" s="151"/>
      <c r="G446" s="151"/>
      <c r="H446" s="151"/>
      <c r="I446" s="151"/>
      <c r="J446" s="152"/>
      <c r="K446" s="165"/>
      <c r="L446" s="166"/>
      <c r="M446" s="1"/>
    </row>
    <row r="447" spans="1:13" ht="18.75" customHeight="1" x14ac:dyDescent="0.25">
      <c r="A447" s="161" t="s">
        <v>396</v>
      </c>
      <c r="B447" s="162"/>
      <c r="C447" s="162"/>
      <c r="D447" s="162"/>
      <c r="E447" s="162"/>
      <c r="F447" s="162"/>
      <c r="G447" s="162"/>
      <c r="H447" s="162"/>
      <c r="I447" s="162"/>
      <c r="J447" s="162"/>
      <c r="K447" s="84"/>
      <c r="L447" s="85"/>
      <c r="M447" s="1"/>
    </row>
    <row r="448" spans="1:13" ht="18.75" customHeight="1" x14ac:dyDescent="0.25">
      <c r="A448" s="135" t="s">
        <v>397</v>
      </c>
      <c r="B448" s="136"/>
      <c r="C448" s="136"/>
      <c r="D448" s="136"/>
      <c r="E448" s="136"/>
      <c r="F448" s="136"/>
      <c r="G448" s="136"/>
      <c r="H448" s="136"/>
      <c r="I448" s="136"/>
      <c r="J448" s="136"/>
      <c r="K448" s="84"/>
      <c r="L448" s="85"/>
      <c r="M448" s="1"/>
    </row>
    <row r="449" spans="1:13" ht="18.75" customHeight="1" x14ac:dyDescent="0.25">
      <c r="A449" s="135" t="s">
        <v>398</v>
      </c>
      <c r="B449" s="136"/>
      <c r="C449" s="136"/>
      <c r="D449" s="136"/>
      <c r="E449" s="136"/>
      <c r="F449" s="136"/>
      <c r="G449" s="136"/>
      <c r="H449" s="136"/>
      <c r="I449" s="136"/>
      <c r="J449" s="136"/>
      <c r="K449" s="84"/>
      <c r="L449" s="85"/>
      <c r="M449" s="1"/>
    </row>
    <row r="450" spans="1:13" ht="18.75" customHeight="1" x14ac:dyDescent="0.25">
      <c r="A450" s="135" t="s">
        <v>399</v>
      </c>
      <c r="B450" s="136"/>
      <c r="C450" s="136"/>
      <c r="D450" s="136"/>
      <c r="E450" s="136"/>
      <c r="F450" s="136"/>
      <c r="G450" s="136"/>
      <c r="H450" s="136"/>
      <c r="I450" s="136"/>
      <c r="J450" s="136"/>
      <c r="K450" s="84"/>
      <c r="L450" s="85"/>
      <c r="M450" s="1"/>
    </row>
    <row r="451" spans="1:13" ht="18.75" customHeight="1" thickBot="1" x14ac:dyDescent="0.3">
      <c r="A451" s="137" t="s">
        <v>400</v>
      </c>
      <c r="B451" s="138"/>
      <c r="C451" s="138"/>
      <c r="D451" s="138"/>
      <c r="E451" s="138"/>
      <c r="F451" s="138"/>
      <c r="G451" s="138"/>
      <c r="H451" s="138"/>
      <c r="I451" s="138"/>
      <c r="J451" s="138"/>
      <c r="K451" s="86"/>
      <c r="L451" s="87"/>
      <c r="M451" s="1"/>
    </row>
    <row r="452" spans="1:13" ht="18.75" customHeight="1" thickBot="1" x14ac:dyDescent="0.3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"/>
    </row>
    <row r="453" spans="1:13" ht="18.75" customHeight="1" x14ac:dyDescent="0.25">
      <c r="A453" s="147" t="s">
        <v>405</v>
      </c>
      <c r="B453" s="148"/>
      <c r="C453" s="148"/>
      <c r="D453" s="148"/>
      <c r="E453" s="148"/>
      <c r="F453" s="148"/>
      <c r="G453" s="148"/>
      <c r="H453" s="148"/>
      <c r="I453" s="148"/>
      <c r="J453" s="149"/>
      <c r="K453" s="139">
        <f>(+K334+J146+K340+K386+K394+K402)*K455</f>
        <v>0</v>
      </c>
      <c r="L453" s="140"/>
      <c r="M453" s="1"/>
    </row>
    <row r="454" spans="1:13" ht="18.75" customHeight="1" x14ac:dyDescent="0.25">
      <c r="A454" s="118"/>
      <c r="B454" s="119"/>
      <c r="C454" s="119"/>
      <c r="D454" s="119"/>
      <c r="E454" s="119"/>
      <c r="F454" s="119"/>
      <c r="G454" s="119"/>
      <c r="H454" s="119"/>
      <c r="I454" s="119"/>
      <c r="J454" s="120"/>
      <c r="K454" s="103"/>
      <c r="L454" s="104"/>
      <c r="M454" s="1"/>
    </row>
    <row r="455" spans="1:13" ht="18.75" customHeight="1" x14ac:dyDescent="0.25">
      <c r="A455" s="105" t="s">
        <v>401</v>
      </c>
      <c r="B455" s="106"/>
      <c r="C455" s="106"/>
      <c r="D455" s="106"/>
      <c r="E455" s="106"/>
      <c r="F455" s="106"/>
      <c r="G455" s="106"/>
      <c r="H455" s="106"/>
      <c r="I455" s="106"/>
      <c r="J455" s="107"/>
      <c r="K455" s="105">
        <f>IF(((+K334+J146+K340+K386+K394+K402)&gt;200000),0.08,0.05)</f>
        <v>0.05</v>
      </c>
      <c r="L455" s="107"/>
      <c r="M455" s="1"/>
    </row>
    <row r="456" spans="1:13" ht="18.75" customHeight="1" x14ac:dyDescent="0.25">
      <c r="A456" s="108"/>
      <c r="B456" s="109"/>
      <c r="C456" s="109"/>
      <c r="D456" s="109"/>
      <c r="E456" s="109"/>
      <c r="F456" s="109"/>
      <c r="G456" s="109"/>
      <c r="H456" s="109"/>
      <c r="I456" s="109"/>
      <c r="J456" s="110"/>
      <c r="K456" s="108"/>
      <c r="L456" s="110"/>
      <c r="M456" s="1"/>
    </row>
    <row r="457" spans="1:13" ht="18.75" customHeight="1" x14ac:dyDescent="0.25">
      <c r="A457" s="90" t="s">
        <v>406</v>
      </c>
      <c r="B457" s="91"/>
      <c r="C457" s="91"/>
      <c r="D457" s="91"/>
      <c r="E457" s="91"/>
      <c r="F457" s="91"/>
      <c r="G457" s="91"/>
      <c r="H457" s="91"/>
      <c r="I457" s="91"/>
      <c r="J457" s="92"/>
      <c r="K457" s="99">
        <f>(((K445+K445+K441+K402+K394+K386+K340+K334+J146)/0.9)*0.1)</f>
        <v>0</v>
      </c>
      <c r="L457" s="100"/>
      <c r="M457" s="1"/>
    </row>
    <row r="458" spans="1:13" ht="18.75" customHeight="1" x14ac:dyDescent="0.25">
      <c r="A458" s="93"/>
      <c r="B458" s="94"/>
      <c r="C458" s="94"/>
      <c r="D458" s="94"/>
      <c r="E458" s="94"/>
      <c r="F458" s="94"/>
      <c r="G458" s="94"/>
      <c r="H458" s="94"/>
      <c r="I458" s="94"/>
      <c r="J458" s="95"/>
      <c r="K458" s="101"/>
      <c r="L458" s="102"/>
      <c r="M458" s="1"/>
    </row>
    <row r="459" spans="1:13" ht="18.75" customHeight="1" x14ac:dyDescent="0.25">
      <c r="A459" s="96"/>
      <c r="B459" s="97"/>
      <c r="C459" s="97"/>
      <c r="D459" s="97"/>
      <c r="E459" s="97"/>
      <c r="F459" s="97"/>
      <c r="G459" s="97"/>
      <c r="H459" s="97"/>
      <c r="I459" s="97"/>
      <c r="J459" s="98"/>
      <c r="K459" s="103"/>
      <c r="L459" s="104"/>
      <c r="M459" s="1"/>
    </row>
    <row r="460" spans="1:13" ht="18.75" customHeight="1" x14ac:dyDescent="0.25">
      <c r="A460" s="105" t="s">
        <v>416</v>
      </c>
      <c r="B460" s="106"/>
      <c r="C460" s="106"/>
      <c r="D460" s="106"/>
      <c r="E460" s="106"/>
      <c r="F460" s="106"/>
      <c r="G460" s="106"/>
      <c r="H460" s="106"/>
      <c r="I460" s="106"/>
      <c r="J460" s="107"/>
      <c r="K460" s="111">
        <v>0.1</v>
      </c>
      <c r="L460" s="112"/>
      <c r="M460" s="1"/>
    </row>
    <row r="461" spans="1:13" ht="18.75" customHeight="1" x14ac:dyDescent="0.25">
      <c r="A461" s="108"/>
      <c r="B461" s="109"/>
      <c r="C461" s="109"/>
      <c r="D461" s="109"/>
      <c r="E461" s="109"/>
      <c r="F461" s="109"/>
      <c r="G461" s="109"/>
      <c r="H461" s="109"/>
      <c r="I461" s="109"/>
      <c r="J461" s="110"/>
      <c r="K461" s="113"/>
      <c r="L461" s="114"/>
      <c r="M461" s="1"/>
    </row>
    <row r="462" spans="1:13" ht="18.75" customHeight="1" x14ac:dyDescent="0.25">
      <c r="A462" s="115" t="s">
        <v>402</v>
      </c>
      <c r="B462" s="116"/>
      <c r="C462" s="116"/>
      <c r="D462" s="116"/>
      <c r="E462" s="116"/>
      <c r="F462" s="116"/>
      <c r="G462" s="116"/>
      <c r="H462" s="116"/>
      <c r="I462" s="116"/>
      <c r="J462" s="117"/>
      <c r="K462" s="99">
        <f>(SUM(K334,K340,K386,K394,K402,,K441,K445,K453,K457))</f>
        <v>0</v>
      </c>
      <c r="L462" s="100"/>
      <c r="M462" s="1"/>
    </row>
    <row r="463" spans="1:13" ht="18.75" customHeight="1" x14ac:dyDescent="0.25">
      <c r="A463" s="118"/>
      <c r="B463" s="119"/>
      <c r="C463" s="119"/>
      <c r="D463" s="119"/>
      <c r="E463" s="119"/>
      <c r="F463" s="119"/>
      <c r="G463" s="119"/>
      <c r="H463" s="119"/>
      <c r="I463" s="119"/>
      <c r="J463" s="120"/>
      <c r="K463" s="103"/>
      <c r="L463" s="104"/>
      <c r="M463" s="1"/>
    </row>
    <row r="464" spans="1:13" ht="18.75" customHeight="1" thickBot="1" x14ac:dyDescent="0.3">
      <c r="A464" s="121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3"/>
      <c r="M464" s="1"/>
    </row>
    <row r="465" spans="1:13" ht="18.75" customHeight="1" x14ac:dyDescent="0.25">
      <c r="A465" s="124" t="s">
        <v>407</v>
      </c>
      <c r="B465" s="125"/>
      <c r="C465" s="125"/>
      <c r="D465" s="125"/>
      <c r="E465" s="125"/>
      <c r="F465" s="125"/>
      <c r="G465" s="125"/>
      <c r="H465" s="125"/>
      <c r="I465" s="125"/>
      <c r="J465" s="125"/>
      <c r="K465" s="125"/>
      <c r="L465" s="126"/>
      <c r="M465" s="1"/>
    </row>
    <row r="466" spans="1:13" ht="18.75" customHeight="1" x14ac:dyDescent="0.25">
      <c r="A466" s="127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9"/>
      <c r="M466" s="1"/>
    </row>
    <row r="467" spans="1:13" ht="18.75" customHeight="1" x14ac:dyDescent="0.25">
      <c r="A467" s="130" t="s">
        <v>299</v>
      </c>
      <c r="B467" s="131"/>
      <c r="C467" s="131"/>
      <c r="D467" s="131"/>
      <c r="E467" s="131"/>
      <c r="F467" s="131"/>
      <c r="G467" s="131"/>
      <c r="H467" s="80" t="s">
        <v>408</v>
      </c>
      <c r="I467" s="132" t="s">
        <v>409</v>
      </c>
      <c r="J467" s="132"/>
      <c r="K467" s="133" t="s">
        <v>410</v>
      </c>
      <c r="L467" s="134"/>
      <c r="M467" s="1"/>
    </row>
    <row r="468" spans="1:13" ht="18.75" customHeight="1" x14ac:dyDescent="0.25">
      <c r="A468" s="88" t="s">
        <v>411</v>
      </c>
      <c r="B468" s="89"/>
      <c r="C468" s="89"/>
      <c r="D468" s="89"/>
      <c r="E468" s="89"/>
      <c r="F468" s="89"/>
      <c r="G468" s="89"/>
      <c r="H468" s="79"/>
      <c r="I468" s="81"/>
      <c r="J468" s="81"/>
      <c r="K468" s="424">
        <f t="shared" ref="K468" si="2">H468*I468</f>
        <v>0</v>
      </c>
      <c r="L468" s="425"/>
      <c r="M468" s="1"/>
    </row>
    <row r="469" spans="1:13" ht="18.75" customHeight="1" x14ac:dyDescent="0.25">
      <c r="A469" s="88" t="s">
        <v>411</v>
      </c>
      <c r="B469" s="89"/>
      <c r="C469" s="89"/>
      <c r="D469" s="89"/>
      <c r="E469" s="89"/>
      <c r="F469" s="89"/>
      <c r="G469" s="89"/>
      <c r="H469" s="79"/>
      <c r="I469" s="81"/>
      <c r="J469" s="81"/>
      <c r="K469" s="424">
        <f t="shared" ref="K469:K500" si="3">H469*I469</f>
        <v>0</v>
      </c>
      <c r="L469" s="425"/>
      <c r="M469" s="1"/>
    </row>
    <row r="470" spans="1:13" ht="18.75" customHeight="1" x14ac:dyDescent="0.25">
      <c r="A470" s="88" t="s">
        <v>411</v>
      </c>
      <c r="B470" s="89"/>
      <c r="C470" s="89"/>
      <c r="D470" s="89"/>
      <c r="E470" s="89"/>
      <c r="F470" s="89"/>
      <c r="G470" s="89"/>
      <c r="H470" s="79"/>
      <c r="I470" s="81"/>
      <c r="J470" s="81"/>
      <c r="K470" s="424">
        <f t="shared" si="3"/>
        <v>0</v>
      </c>
      <c r="L470" s="425"/>
      <c r="M470" s="1"/>
    </row>
    <row r="471" spans="1:13" ht="18.75" customHeight="1" x14ac:dyDescent="0.25">
      <c r="A471" s="88" t="s">
        <v>411</v>
      </c>
      <c r="B471" s="89"/>
      <c r="C471" s="89"/>
      <c r="D471" s="89"/>
      <c r="E471" s="89"/>
      <c r="F471" s="89"/>
      <c r="G471" s="89"/>
      <c r="H471" s="79"/>
      <c r="I471" s="81"/>
      <c r="J471" s="81"/>
      <c r="K471" s="424">
        <f t="shared" si="3"/>
        <v>0</v>
      </c>
      <c r="L471" s="425"/>
      <c r="M471" s="1"/>
    </row>
    <row r="472" spans="1:13" ht="18.75" customHeight="1" x14ac:dyDescent="0.25">
      <c r="A472" s="88" t="s">
        <v>411</v>
      </c>
      <c r="B472" s="89"/>
      <c r="C472" s="89"/>
      <c r="D472" s="89"/>
      <c r="E472" s="89"/>
      <c r="F472" s="89"/>
      <c r="G472" s="89"/>
      <c r="H472" s="79"/>
      <c r="I472" s="81"/>
      <c r="J472" s="81"/>
      <c r="K472" s="424">
        <f t="shared" si="3"/>
        <v>0</v>
      </c>
      <c r="L472" s="425"/>
      <c r="M472" s="1"/>
    </row>
    <row r="473" spans="1:13" ht="18.75" customHeight="1" x14ac:dyDescent="0.25">
      <c r="A473" s="88" t="s">
        <v>411</v>
      </c>
      <c r="B473" s="89"/>
      <c r="C473" s="89"/>
      <c r="D473" s="89"/>
      <c r="E473" s="89"/>
      <c r="F473" s="89"/>
      <c r="G473" s="89"/>
      <c r="H473" s="79"/>
      <c r="I473" s="81"/>
      <c r="J473" s="81"/>
      <c r="K473" s="424">
        <f t="shared" si="3"/>
        <v>0</v>
      </c>
      <c r="L473" s="425"/>
      <c r="M473" s="1"/>
    </row>
    <row r="474" spans="1:13" ht="18.75" customHeight="1" x14ac:dyDescent="0.25">
      <c r="A474" s="88" t="s">
        <v>411</v>
      </c>
      <c r="B474" s="89"/>
      <c r="C474" s="89"/>
      <c r="D474" s="89"/>
      <c r="E474" s="89"/>
      <c r="F474" s="89"/>
      <c r="G474" s="89"/>
      <c r="H474" s="79"/>
      <c r="I474" s="81"/>
      <c r="J474" s="81"/>
      <c r="K474" s="424">
        <f t="shared" si="3"/>
        <v>0</v>
      </c>
      <c r="L474" s="425"/>
      <c r="M474" s="1"/>
    </row>
    <row r="475" spans="1:13" ht="18.75" customHeight="1" x14ac:dyDescent="0.25">
      <c r="A475" s="88" t="s">
        <v>411</v>
      </c>
      <c r="B475" s="89"/>
      <c r="C475" s="89"/>
      <c r="D475" s="89"/>
      <c r="E475" s="89"/>
      <c r="F475" s="89"/>
      <c r="G475" s="89"/>
      <c r="H475" s="79"/>
      <c r="I475" s="81"/>
      <c r="J475" s="81"/>
      <c r="K475" s="424">
        <f t="shared" si="3"/>
        <v>0</v>
      </c>
      <c r="L475" s="425"/>
      <c r="M475" s="1"/>
    </row>
    <row r="476" spans="1:13" ht="18.75" customHeight="1" x14ac:dyDescent="0.25">
      <c r="A476" s="88" t="s">
        <v>411</v>
      </c>
      <c r="B476" s="89"/>
      <c r="C476" s="89"/>
      <c r="D476" s="89"/>
      <c r="E476" s="89"/>
      <c r="F476" s="89"/>
      <c r="G476" s="89"/>
      <c r="H476" s="79"/>
      <c r="I476" s="81"/>
      <c r="J476" s="81"/>
      <c r="K476" s="424">
        <f t="shared" si="3"/>
        <v>0</v>
      </c>
      <c r="L476" s="425"/>
      <c r="M476" s="1"/>
    </row>
    <row r="477" spans="1:13" ht="18.75" customHeight="1" x14ac:dyDescent="0.25">
      <c r="A477" s="88" t="s">
        <v>411</v>
      </c>
      <c r="B477" s="89"/>
      <c r="C477" s="89"/>
      <c r="D477" s="89"/>
      <c r="E477" s="89"/>
      <c r="F477" s="89"/>
      <c r="G477" s="89"/>
      <c r="H477" s="79"/>
      <c r="I477" s="81"/>
      <c r="J477" s="81"/>
      <c r="K477" s="424">
        <f t="shared" si="3"/>
        <v>0</v>
      </c>
      <c r="L477" s="425"/>
      <c r="M477" s="1"/>
    </row>
    <row r="478" spans="1:13" ht="18.75" customHeight="1" x14ac:dyDescent="0.25">
      <c r="A478" s="88" t="s">
        <v>411</v>
      </c>
      <c r="B478" s="89"/>
      <c r="C478" s="89"/>
      <c r="D478" s="89"/>
      <c r="E478" s="89"/>
      <c r="F478" s="89"/>
      <c r="G478" s="89"/>
      <c r="H478" s="79"/>
      <c r="I478" s="81"/>
      <c r="J478" s="81"/>
      <c r="K478" s="424">
        <f t="shared" si="3"/>
        <v>0</v>
      </c>
      <c r="L478" s="425"/>
      <c r="M478" s="1"/>
    </row>
    <row r="479" spans="1:13" ht="18.75" customHeight="1" x14ac:dyDescent="0.25">
      <c r="A479" s="88" t="s">
        <v>411</v>
      </c>
      <c r="B479" s="89"/>
      <c r="C479" s="89"/>
      <c r="D479" s="89"/>
      <c r="E479" s="89"/>
      <c r="F479" s="89"/>
      <c r="G479" s="89"/>
      <c r="H479" s="79"/>
      <c r="I479" s="81"/>
      <c r="J479" s="81"/>
      <c r="K479" s="424">
        <f t="shared" si="3"/>
        <v>0</v>
      </c>
      <c r="L479" s="425"/>
      <c r="M479" s="1"/>
    </row>
    <row r="480" spans="1:13" ht="18.75" customHeight="1" x14ac:dyDescent="0.25">
      <c r="A480" s="88" t="s">
        <v>411</v>
      </c>
      <c r="B480" s="89"/>
      <c r="C480" s="89"/>
      <c r="D480" s="89"/>
      <c r="E480" s="89"/>
      <c r="F480" s="89"/>
      <c r="G480" s="89"/>
      <c r="H480" s="79"/>
      <c r="I480" s="81"/>
      <c r="J480" s="81"/>
      <c r="K480" s="424">
        <f t="shared" si="3"/>
        <v>0</v>
      </c>
      <c r="L480" s="425"/>
      <c r="M480" s="1"/>
    </row>
    <row r="481" spans="1:15" ht="18.75" customHeight="1" x14ac:dyDescent="0.25">
      <c r="A481" s="88" t="s">
        <v>411</v>
      </c>
      <c r="B481" s="89"/>
      <c r="C481" s="89"/>
      <c r="D481" s="89"/>
      <c r="E481" s="89"/>
      <c r="F481" s="89"/>
      <c r="G481" s="89"/>
      <c r="H481" s="79"/>
      <c r="I481" s="81"/>
      <c r="J481" s="81"/>
      <c r="K481" s="424">
        <f t="shared" si="3"/>
        <v>0</v>
      </c>
      <c r="L481" s="425"/>
      <c r="M481" s="1"/>
    </row>
    <row r="482" spans="1:15" ht="18.75" customHeight="1" x14ac:dyDescent="0.25">
      <c r="A482" s="88" t="s">
        <v>411</v>
      </c>
      <c r="B482" s="89"/>
      <c r="C482" s="89"/>
      <c r="D482" s="89"/>
      <c r="E482" s="89"/>
      <c r="F482" s="89"/>
      <c r="G482" s="89"/>
      <c r="H482" s="79"/>
      <c r="I482" s="81"/>
      <c r="J482" s="81"/>
      <c r="K482" s="424">
        <f t="shared" si="3"/>
        <v>0</v>
      </c>
      <c r="L482" s="425"/>
      <c r="M482" s="1"/>
    </row>
    <row r="483" spans="1:15" ht="18.75" customHeight="1" x14ac:dyDescent="0.25">
      <c r="A483" s="88" t="s">
        <v>411</v>
      </c>
      <c r="B483" s="89"/>
      <c r="C483" s="89"/>
      <c r="D483" s="89"/>
      <c r="E483" s="89"/>
      <c r="F483" s="89"/>
      <c r="G483" s="89"/>
      <c r="H483" s="79"/>
      <c r="I483" s="81"/>
      <c r="J483" s="81"/>
      <c r="K483" s="424">
        <f t="shared" si="3"/>
        <v>0</v>
      </c>
      <c r="L483" s="425"/>
      <c r="M483" s="1"/>
    </row>
    <row r="484" spans="1:15" ht="18.75" customHeight="1" x14ac:dyDescent="0.25">
      <c r="A484" s="88" t="s">
        <v>411</v>
      </c>
      <c r="B484" s="89"/>
      <c r="C484" s="89"/>
      <c r="D484" s="89"/>
      <c r="E484" s="89"/>
      <c r="F484" s="89"/>
      <c r="G484" s="89"/>
      <c r="H484" s="79"/>
      <c r="I484" s="81"/>
      <c r="J484" s="81"/>
      <c r="K484" s="424">
        <f t="shared" si="3"/>
        <v>0</v>
      </c>
      <c r="L484" s="425"/>
      <c r="M484" s="1"/>
    </row>
    <row r="485" spans="1:15" ht="18.75" customHeight="1" x14ac:dyDescent="0.25">
      <c r="A485" s="88" t="s">
        <v>411</v>
      </c>
      <c r="B485" s="89"/>
      <c r="C485" s="89"/>
      <c r="D485" s="89"/>
      <c r="E485" s="89"/>
      <c r="F485" s="89"/>
      <c r="G485" s="89"/>
      <c r="H485" s="79"/>
      <c r="I485" s="81"/>
      <c r="J485" s="81"/>
      <c r="K485" s="424">
        <f t="shared" si="3"/>
        <v>0</v>
      </c>
      <c r="L485" s="425"/>
      <c r="M485" s="1"/>
    </row>
    <row r="486" spans="1:15" ht="18.75" customHeight="1" x14ac:dyDescent="0.25">
      <c r="A486" s="88" t="s">
        <v>411</v>
      </c>
      <c r="B486" s="89"/>
      <c r="C486" s="89"/>
      <c r="D486" s="89"/>
      <c r="E486" s="89"/>
      <c r="F486" s="89"/>
      <c r="G486" s="89"/>
      <c r="H486" s="79"/>
      <c r="I486" s="81"/>
      <c r="J486" s="81"/>
      <c r="K486" s="424">
        <f t="shared" si="3"/>
        <v>0</v>
      </c>
      <c r="L486" s="425"/>
      <c r="M486" s="1"/>
    </row>
    <row r="487" spans="1:15" ht="18.75" customHeight="1" x14ac:dyDescent="0.25">
      <c r="A487" s="88" t="s">
        <v>411</v>
      </c>
      <c r="B487" s="89"/>
      <c r="C487" s="89"/>
      <c r="D487" s="89"/>
      <c r="E487" s="89"/>
      <c r="F487" s="89"/>
      <c r="G487" s="89"/>
      <c r="H487" s="79"/>
      <c r="I487" s="81"/>
      <c r="J487" s="81"/>
      <c r="K487" s="424">
        <f t="shared" si="3"/>
        <v>0</v>
      </c>
      <c r="L487" s="425"/>
      <c r="M487" s="1"/>
    </row>
    <row r="488" spans="1:15" ht="18.75" customHeight="1" x14ac:dyDescent="0.25">
      <c r="A488" s="88" t="s">
        <v>411</v>
      </c>
      <c r="B488" s="89"/>
      <c r="C488" s="89"/>
      <c r="D488" s="89"/>
      <c r="E488" s="89"/>
      <c r="F488" s="89"/>
      <c r="G488" s="89"/>
      <c r="H488" s="79"/>
      <c r="I488" s="81"/>
      <c r="J488" s="81"/>
      <c r="K488" s="424">
        <f t="shared" si="3"/>
        <v>0</v>
      </c>
      <c r="L488" s="425"/>
      <c r="M488" s="1"/>
    </row>
    <row r="489" spans="1:15" ht="18.75" customHeight="1" x14ac:dyDescent="0.25">
      <c r="A489" s="88" t="s">
        <v>411</v>
      </c>
      <c r="B489" s="89"/>
      <c r="C489" s="89"/>
      <c r="D489" s="89"/>
      <c r="E489" s="89"/>
      <c r="F489" s="89"/>
      <c r="G489" s="89"/>
      <c r="H489" s="79"/>
      <c r="I489" s="81"/>
      <c r="J489" s="81"/>
      <c r="K489" s="424">
        <f t="shared" si="3"/>
        <v>0</v>
      </c>
      <c r="L489" s="425"/>
      <c r="M489" s="1"/>
    </row>
    <row r="490" spans="1:15" ht="18.75" customHeight="1" x14ac:dyDescent="0.25">
      <c r="A490" s="88" t="s">
        <v>411</v>
      </c>
      <c r="B490" s="89"/>
      <c r="C490" s="89"/>
      <c r="D490" s="89"/>
      <c r="E490" s="89"/>
      <c r="F490" s="89"/>
      <c r="G490" s="89"/>
      <c r="H490" s="79"/>
      <c r="I490" s="81"/>
      <c r="J490" s="81"/>
      <c r="K490" s="424">
        <f t="shared" si="3"/>
        <v>0</v>
      </c>
      <c r="L490" s="425"/>
      <c r="M490" s="1"/>
    </row>
    <row r="491" spans="1:15" ht="18.75" customHeight="1" x14ac:dyDescent="0.25">
      <c r="A491" s="88" t="s">
        <v>411</v>
      </c>
      <c r="B491" s="89"/>
      <c r="C491" s="89"/>
      <c r="D491" s="89"/>
      <c r="E491" s="89"/>
      <c r="F491" s="89"/>
      <c r="G491" s="89"/>
      <c r="H491" s="79"/>
      <c r="I491" s="81"/>
      <c r="J491" s="81"/>
      <c r="K491" s="424">
        <f t="shared" si="3"/>
        <v>0</v>
      </c>
      <c r="L491" s="425"/>
      <c r="M491" s="1"/>
    </row>
    <row r="492" spans="1:15" ht="18.75" customHeight="1" x14ac:dyDescent="0.25">
      <c r="A492" s="88" t="s">
        <v>411</v>
      </c>
      <c r="B492" s="89"/>
      <c r="C492" s="89"/>
      <c r="D492" s="89"/>
      <c r="E492" s="89"/>
      <c r="F492" s="89"/>
      <c r="G492" s="89"/>
      <c r="H492" s="79"/>
      <c r="I492" s="81"/>
      <c r="J492" s="81"/>
      <c r="K492" s="424">
        <f t="shared" si="3"/>
        <v>0</v>
      </c>
      <c r="L492" s="425"/>
      <c r="M492" s="1"/>
    </row>
    <row r="493" spans="1:15" ht="18.75" customHeight="1" x14ac:dyDescent="0.25">
      <c r="A493" s="88" t="s">
        <v>411</v>
      </c>
      <c r="B493" s="89"/>
      <c r="C493" s="89"/>
      <c r="D493" s="89"/>
      <c r="E493" s="89"/>
      <c r="F493" s="89"/>
      <c r="G493" s="89"/>
      <c r="H493" s="79"/>
      <c r="I493" s="81"/>
      <c r="J493" s="81"/>
      <c r="K493" s="424">
        <f t="shared" si="3"/>
        <v>0</v>
      </c>
      <c r="L493" s="425"/>
      <c r="M493" s="1"/>
    </row>
    <row r="494" spans="1:15" ht="18.75" customHeight="1" x14ac:dyDescent="0.25">
      <c r="A494" s="88" t="s">
        <v>411</v>
      </c>
      <c r="B494" s="89"/>
      <c r="C494" s="89"/>
      <c r="D494" s="89"/>
      <c r="E494" s="89"/>
      <c r="F494" s="89"/>
      <c r="G494" s="89"/>
      <c r="H494" s="79"/>
      <c r="I494" s="81"/>
      <c r="J494" s="81"/>
      <c r="K494" s="424">
        <f t="shared" si="3"/>
        <v>0</v>
      </c>
      <c r="L494" s="425"/>
      <c r="M494" s="1"/>
      <c r="N494" s="1"/>
      <c r="O494" s="1"/>
    </row>
    <row r="495" spans="1:15" ht="18.75" customHeight="1" x14ac:dyDescent="0.25">
      <c r="A495" s="88" t="s">
        <v>411</v>
      </c>
      <c r="B495" s="89"/>
      <c r="C495" s="89"/>
      <c r="D495" s="89"/>
      <c r="E495" s="89"/>
      <c r="F495" s="89"/>
      <c r="G495" s="89"/>
      <c r="H495" s="79"/>
      <c r="I495" s="81"/>
      <c r="J495" s="81"/>
      <c r="K495" s="424">
        <f t="shared" si="3"/>
        <v>0</v>
      </c>
      <c r="L495" s="425"/>
      <c r="M495" s="1"/>
      <c r="N495" s="1"/>
      <c r="O495" s="1"/>
    </row>
    <row r="496" spans="1:15" ht="18.75" customHeight="1" x14ac:dyDescent="0.25">
      <c r="A496" s="88" t="s">
        <v>411</v>
      </c>
      <c r="B496" s="89"/>
      <c r="C496" s="89"/>
      <c r="D496" s="89"/>
      <c r="E496" s="89"/>
      <c r="F496" s="89"/>
      <c r="G496" s="89"/>
      <c r="H496" s="79"/>
      <c r="I496" s="81"/>
      <c r="J496" s="81"/>
      <c r="K496" s="424">
        <f t="shared" si="3"/>
        <v>0</v>
      </c>
      <c r="L496" s="425"/>
      <c r="M496" s="1"/>
      <c r="N496" s="1"/>
      <c r="O496" s="1"/>
    </row>
    <row r="497" spans="1:15" ht="18.75" customHeight="1" x14ac:dyDescent="0.25">
      <c r="A497" s="88" t="s">
        <v>411</v>
      </c>
      <c r="B497" s="89"/>
      <c r="C497" s="89"/>
      <c r="D497" s="89"/>
      <c r="E497" s="89"/>
      <c r="F497" s="89"/>
      <c r="G497" s="89"/>
      <c r="H497" s="79"/>
      <c r="I497" s="81"/>
      <c r="J497" s="81"/>
      <c r="K497" s="424">
        <f t="shared" si="3"/>
        <v>0</v>
      </c>
      <c r="L497" s="425"/>
      <c r="M497" s="1"/>
      <c r="N497" s="1"/>
      <c r="O497" s="1"/>
    </row>
    <row r="498" spans="1:15" ht="18.75" customHeight="1" x14ac:dyDescent="0.25">
      <c r="A498" s="88" t="s">
        <v>411</v>
      </c>
      <c r="B498" s="89"/>
      <c r="C498" s="89"/>
      <c r="D498" s="89"/>
      <c r="E498" s="89"/>
      <c r="F498" s="89"/>
      <c r="G498" s="89"/>
      <c r="H498" s="79"/>
      <c r="I498" s="81"/>
      <c r="J498" s="81"/>
      <c r="K498" s="424">
        <f t="shared" si="3"/>
        <v>0</v>
      </c>
      <c r="L498" s="425"/>
      <c r="M498" s="1"/>
      <c r="N498" s="1"/>
      <c r="O498" s="1"/>
    </row>
    <row r="499" spans="1:15" ht="18.75" customHeight="1" x14ac:dyDescent="0.25">
      <c r="A499" s="88" t="s">
        <v>411</v>
      </c>
      <c r="B499" s="89"/>
      <c r="C499" s="89"/>
      <c r="D499" s="89"/>
      <c r="E499" s="89"/>
      <c r="F499" s="89"/>
      <c r="G499" s="89"/>
      <c r="H499" s="79"/>
      <c r="I499" s="81"/>
      <c r="J499" s="81"/>
      <c r="K499" s="424">
        <f t="shared" si="3"/>
        <v>0</v>
      </c>
      <c r="L499" s="425"/>
      <c r="M499" s="1"/>
      <c r="N499" s="1"/>
      <c r="O499" s="1"/>
    </row>
    <row r="500" spans="1:15" ht="18.75" customHeight="1" x14ac:dyDescent="0.25">
      <c r="A500" s="88" t="s">
        <v>411</v>
      </c>
      <c r="B500" s="89"/>
      <c r="C500" s="89"/>
      <c r="D500" s="89"/>
      <c r="E500" s="89"/>
      <c r="F500" s="89"/>
      <c r="G500" s="89"/>
      <c r="H500" s="79"/>
      <c r="I500" s="81"/>
      <c r="J500" s="81"/>
      <c r="K500" s="424">
        <f t="shared" si="3"/>
        <v>0</v>
      </c>
      <c r="L500" s="425"/>
      <c r="M500" s="1"/>
      <c r="N500" s="1"/>
      <c r="O500" s="1"/>
    </row>
    <row r="501" spans="1:15" ht="18.75" customHeight="1" thickBot="1" x14ac:dyDescent="0.3">
      <c r="A501" s="82" t="s">
        <v>282</v>
      </c>
      <c r="B501" s="83"/>
      <c r="C501" s="83"/>
      <c r="D501" s="83"/>
      <c r="E501" s="83"/>
      <c r="F501" s="83"/>
      <c r="G501" s="83"/>
      <c r="H501" s="83"/>
      <c r="I501" s="83"/>
      <c r="J501" s="83"/>
      <c r="K501" s="426">
        <f>SUM(K468:L500)</f>
        <v>0</v>
      </c>
      <c r="L501" s="427"/>
      <c r="M501" s="1"/>
      <c r="N501" s="1"/>
      <c r="O501" s="1"/>
    </row>
    <row r="502" spans="1:15" ht="18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spans="1:15" ht="18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spans="1:15" ht="18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spans="1:15" ht="18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spans="1:15" ht="18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spans="1:15" ht="18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spans="1:15" ht="18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spans="1:15" ht="18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spans="1:15" ht="18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spans="1:15" ht="18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spans="1:15" ht="18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spans="1:15" ht="18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spans="1:15" ht="18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spans="1:15" ht="18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spans="1:15" ht="18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spans="1:15" ht="18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spans="1:15" ht="18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spans="1:15" ht="18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spans="1:15" ht="18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spans="1:15" ht="18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spans="1:15" ht="18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spans="1:15" ht="18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spans="1:15" ht="18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spans="1:15" ht="18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spans="1:15" ht="18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spans="1:15" ht="18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spans="1:15" ht="18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spans="1:15" ht="18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spans="1:15" ht="18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spans="1:15" ht="18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spans="1:15" ht="18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spans="1:15" ht="18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spans="1:15" ht="18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spans="1:15" ht="18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spans="1:15" ht="18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spans="1:15" ht="18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spans="1:15" ht="18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spans="1:15" ht="18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spans="1:15" ht="18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spans="1:15" ht="18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spans="1:15" ht="18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spans="1:15" ht="18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spans="1:15" ht="18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spans="1:15" ht="18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spans="1:15" ht="18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spans="1:15" ht="18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spans="1:15" ht="18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spans="1:15" ht="18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spans="1:15" ht="18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spans="1:15" ht="18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spans="1:15" ht="18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spans="1:15" ht="18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spans="1:15" ht="18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spans="1:15" ht="18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spans="1:15" ht="18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spans="1:15" ht="18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spans="1:15" ht="18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spans="1:15" ht="18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spans="1:15" ht="18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spans="1:15" ht="18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spans="1:15" ht="18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spans="1:15" ht="18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spans="1:15" ht="18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spans="1:15" ht="18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spans="1:15" ht="18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spans="1:15" ht="18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spans="1:15" ht="18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spans="1:15" ht="18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spans="1:15" ht="18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spans="1:15" ht="18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spans="1:15" ht="18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spans="1:15" ht="18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spans="1:15" ht="18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spans="1:15" ht="18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spans="1:15" ht="18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spans="1:15" ht="18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spans="1:15" ht="18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spans="1:15" ht="18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spans="1:15" ht="18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spans="1:15" ht="18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spans="1:15" ht="18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spans="1:15" ht="18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spans="1:15" ht="18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spans="1:15" ht="18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spans="1:15" ht="18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spans="1:15" ht="18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spans="1:15" ht="18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spans="1:15" ht="18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spans="1:15" ht="18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spans="1:15" ht="18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spans="1:15" ht="18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spans="1:15" ht="18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spans="1:15" ht="18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spans="1:15" ht="18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spans="1:15" ht="18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spans="1:15" ht="18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spans="1:15" ht="18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spans="1:15" ht="18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spans="1:15" ht="18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spans="1:15" ht="18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spans="1:15" ht="18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spans="1:15" ht="18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spans="1:15" ht="18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spans="1:15" ht="18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spans="1:15" ht="18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spans="1:15" ht="18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spans="1:15" ht="18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spans="1:15" ht="18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spans="1:15" ht="18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spans="1:15" ht="18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spans="1:15" ht="18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spans="1:15" ht="18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spans="1:15" ht="18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spans="1:15" ht="18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spans="1:15" ht="18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spans="1:15" ht="18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spans="1:15" ht="18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spans="1:15" ht="18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spans="1:15" ht="18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spans="1:15" ht="18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spans="1:15" ht="18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spans="1:15" ht="18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spans="1:15" ht="18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spans="1:15" ht="18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spans="1:15" ht="18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spans="1:15" ht="18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spans="1:15" ht="18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spans="1:15" ht="18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spans="1:15" ht="15.75" customHeight="1" x14ac:dyDescent="0.25"/>
    <row r="631" spans="1:15" ht="15.75" customHeight="1" x14ac:dyDescent="0.25"/>
    <row r="632" spans="1:15" ht="15.75" customHeight="1" x14ac:dyDescent="0.25"/>
    <row r="633" spans="1:15" ht="15.75" customHeight="1" x14ac:dyDescent="0.25"/>
    <row r="634" spans="1:15" ht="15.75" customHeight="1" x14ac:dyDescent="0.25"/>
    <row r="635" spans="1:15" ht="15.75" customHeight="1" x14ac:dyDescent="0.25"/>
    <row r="636" spans="1:15" ht="15.75" customHeight="1" x14ac:dyDescent="0.25"/>
    <row r="637" spans="1:15" ht="15.75" customHeight="1" x14ac:dyDescent="0.25"/>
    <row r="638" spans="1:15" ht="15.75" customHeight="1" x14ac:dyDescent="0.25"/>
    <row r="639" spans="1:15" ht="15.75" customHeight="1" x14ac:dyDescent="0.25"/>
    <row r="640" spans="1:15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</sheetData>
  <mergeCells count="836">
    <mergeCell ref="I18:L19"/>
    <mergeCell ref="A20:B20"/>
    <mergeCell ref="C20:L20"/>
    <mergeCell ref="B21:H21"/>
    <mergeCell ref="J21:L21"/>
    <mergeCell ref="B22:L22"/>
    <mergeCell ref="A453:J454"/>
    <mergeCell ref="I406:K406"/>
    <mergeCell ref="A407:C407"/>
    <mergeCell ref="D407:E407"/>
    <mergeCell ref="F407:H407"/>
    <mergeCell ref="I407:K407"/>
    <mergeCell ref="A406:C406"/>
    <mergeCell ref="D406:E406"/>
    <mergeCell ref="F406:H406"/>
    <mergeCell ref="A403:C403"/>
    <mergeCell ref="D403:E403"/>
    <mergeCell ref="F403:H403"/>
    <mergeCell ref="I403:K403"/>
    <mergeCell ref="A404:C404"/>
    <mergeCell ref="D404:E404"/>
    <mergeCell ref="F404:H404"/>
    <mergeCell ref="I404:K404"/>
    <mergeCell ref="A389:G389"/>
    <mergeCell ref="I389:J389"/>
    <mergeCell ref="A392:L393"/>
    <mergeCell ref="A394:L395"/>
    <mergeCell ref="A396:C396"/>
    <mergeCell ref="D396:E396"/>
    <mergeCell ref="F396:H396"/>
    <mergeCell ref="I396:K396"/>
    <mergeCell ref="I400:K400"/>
    <mergeCell ref="A400:C400"/>
    <mergeCell ref="D400:E400"/>
    <mergeCell ref="F400:H400"/>
    <mergeCell ref="A378:G378"/>
    <mergeCell ref="I378:J378"/>
    <mergeCell ref="A379:G379"/>
    <mergeCell ref="I379:J379"/>
    <mergeCell ref="A380:G380"/>
    <mergeCell ref="I380:J380"/>
    <mergeCell ref="A381:G381"/>
    <mergeCell ref="I381:J381"/>
    <mergeCell ref="A382:G382"/>
    <mergeCell ref="I382:J382"/>
    <mergeCell ref="A373:G373"/>
    <mergeCell ref="I373:J373"/>
    <mergeCell ref="A374:G374"/>
    <mergeCell ref="I374:J374"/>
    <mergeCell ref="A375:G375"/>
    <mergeCell ref="I375:J375"/>
    <mergeCell ref="A376:G376"/>
    <mergeCell ref="I376:J376"/>
    <mergeCell ref="A377:G377"/>
    <mergeCell ref="I377:J377"/>
    <mergeCell ref="A368:G368"/>
    <mergeCell ref="I368:J368"/>
    <mergeCell ref="A369:G369"/>
    <mergeCell ref="I369:J369"/>
    <mergeCell ref="A370:G370"/>
    <mergeCell ref="I370:J370"/>
    <mergeCell ref="A371:G371"/>
    <mergeCell ref="I371:J371"/>
    <mergeCell ref="A372:G372"/>
    <mergeCell ref="I372:J372"/>
    <mergeCell ref="A363:G363"/>
    <mergeCell ref="I363:J363"/>
    <mergeCell ref="A364:G364"/>
    <mergeCell ref="I364:J364"/>
    <mergeCell ref="A365:G365"/>
    <mergeCell ref="I365:J365"/>
    <mergeCell ref="A366:G366"/>
    <mergeCell ref="I366:J366"/>
    <mergeCell ref="A367:G367"/>
    <mergeCell ref="I367:J367"/>
    <mergeCell ref="A358:G358"/>
    <mergeCell ref="I358:J358"/>
    <mergeCell ref="A359:G359"/>
    <mergeCell ref="I359:J359"/>
    <mergeCell ref="A360:G360"/>
    <mergeCell ref="I360:J360"/>
    <mergeCell ref="A361:G361"/>
    <mergeCell ref="I361:J361"/>
    <mergeCell ref="A362:G362"/>
    <mergeCell ref="I362:J362"/>
    <mergeCell ref="G345:H345"/>
    <mergeCell ref="I345:J345"/>
    <mergeCell ref="B352:D352"/>
    <mergeCell ref="A354:L355"/>
    <mergeCell ref="A356:G356"/>
    <mergeCell ref="I356:J356"/>
    <mergeCell ref="A357:G357"/>
    <mergeCell ref="I357:J357"/>
    <mergeCell ref="K356:L356"/>
    <mergeCell ref="K357:L357"/>
    <mergeCell ref="B304:L304"/>
    <mergeCell ref="B305:L305"/>
    <mergeCell ref="B306:L306"/>
    <mergeCell ref="B307:L307"/>
    <mergeCell ref="B308:L308"/>
    <mergeCell ref="B309:L309"/>
    <mergeCell ref="B310:L310"/>
    <mergeCell ref="B311:L311"/>
    <mergeCell ref="B312:L312"/>
    <mergeCell ref="A295:B295"/>
    <mergeCell ref="D295:J295"/>
    <mergeCell ref="A296:B296"/>
    <mergeCell ref="D296:J296"/>
    <mergeCell ref="A298:L299"/>
    <mergeCell ref="A300:L300"/>
    <mergeCell ref="B301:L301"/>
    <mergeCell ref="B302:L302"/>
    <mergeCell ref="B303:L303"/>
    <mergeCell ref="A276:J277"/>
    <mergeCell ref="K276:L277"/>
    <mergeCell ref="A279:L280"/>
    <mergeCell ref="A281:B283"/>
    <mergeCell ref="C281:C283"/>
    <mergeCell ref="D281:J283"/>
    <mergeCell ref="K281:L281"/>
    <mergeCell ref="K282:L282"/>
    <mergeCell ref="A284:B284"/>
    <mergeCell ref="D284:J284"/>
    <mergeCell ref="K226:L226"/>
    <mergeCell ref="K227:L227"/>
    <mergeCell ref="K228:L228"/>
    <mergeCell ref="K229:L229"/>
    <mergeCell ref="K249:L249"/>
    <mergeCell ref="K250:L250"/>
    <mergeCell ref="K251:L251"/>
    <mergeCell ref="K252:L252"/>
    <mergeCell ref="K253:L253"/>
    <mergeCell ref="K242:L242"/>
    <mergeCell ref="K243:L243"/>
    <mergeCell ref="K244:L244"/>
    <mergeCell ref="K245:L245"/>
    <mergeCell ref="K246:L246"/>
    <mergeCell ref="K247:L247"/>
    <mergeCell ref="K248:L248"/>
    <mergeCell ref="K218:L218"/>
    <mergeCell ref="K219:L219"/>
    <mergeCell ref="K220:L220"/>
    <mergeCell ref="K221:L221"/>
    <mergeCell ref="K222:L222"/>
    <mergeCell ref="K223:L223"/>
    <mergeCell ref="K224:L224"/>
    <mergeCell ref="A225:J225"/>
    <mergeCell ref="K225:L225"/>
    <mergeCell ref="K198:L198"/>
    <mergeCell ref="A200:J201"/>
    <mergeCell ref="K200:L201"/>
    <mergeCell ref="K202:L202"/>
    <mergeCell ref="K212:L212"/>
    <mergeCell ref="K213:L213"/>
    <mergeCell ref="K214:L214"/>
    <mergeCell ref="A216:J217"/>
    <mergeCell ref="K216:L217"/>
    <mergeCell ref="K203:L203"/>
    <mergeCell ref="K204:L204"/>
    <mergeCell ref="K205:L205"/>
    <mergeCell ref="K206:L206"/>
    <mergeCell ref="A208:J209"/>
    <mergeCell ref="K208:L209"/>
    <mergeCell ref="K210:L210"/>
    <mergeCell ref="K211:L211"/>
    <mergeCell ref="A97:J98"/>
    <mergeCell ref="K97:L98"/>
    <mergeCell ref="K193:L193"/>
    <mergeCell ref="K194:L194"/>
    <mergeCell ref="K195:L195"/>
    <mergeCell ref="K196:L196"/>
    <mergeCell ref="K197:L197"/>
    <mergeCell ref="C142:E142"/>
    <mergeCell ref="F142:G142"/>
    <mergeCell ref="C143:E143"/>
    <mergeCell ref="F143:G143"/>
    <mergeCell ref="C144:E144"/>
    <mergeCell ref="F144:G144"/>
    <mergeCell ref="C145:E145"/>
    <mergeCell ref="F145:G145"/>
    <mergeCell ref="C137:E137"/>
    <mergeCell ref="F137:G137"/>
    <mergeCell ref="C138:E138"/>
    <mergeCell ref="F138:G138"/>
    <mergeCell ref="C139:E139"/>
    <mergeCell ref="F139:G139"/>
    <mergeCell ref="C140:E140"/>
    <mergeCell ref="A89:J90"/>
    <mergeCell ref="K89:L90"/>
    <mergeCell ref="A92:L93"/>
    <mergeCell ref="A83:J84"/>
    <mergeCell ref="K83:L84"/>
    <mergeCell ref="A85:J86"/>
    <mergeCell ref="A79:J80"/>
    <mergeCell ref="A95:J96"/>
    <mergeCell ref="K95:L96"/>
    <mergeCell ref="B68:J69"/>
    <mergeCell ref="A70:A71"/>
    <mergeCell ref="B70:J71"/>
    <mergeCell ref="K79:L80"/>
    <mergeCell ref="A81:J82"/>
    <mergeCell ref="K81:L82"/>
    <mergeCell ref="K85:L86"/>
    <mergeCell ref="A87:J88"/>
    <mergeCell ref="K87:L88"/>
    <mergeCell ref="F140:G140"/>
    <mergeCell ref="C141:E141"/>
    <mergeCell ref="F141:G141"/>
    <mergeCell ref="C132:E132"/>
    <mergeCell ref="F132:G132"/>
    <mergeCell ref="C133:E133"/>
    <mergeCell ref="F133:G133"/>
    <mergeCell ref="C134:E134"/>
    <mergeCell ref="F134:G134"/>
    <mergeCell ref="C135:E135"/>
    <mergeCell ref="F135:G135"/>
    <mergeCell ref="C136:E136"/>
    <mergeCell ref="F136:G136"/>
    <mergeCell ref="C127:E127"/>
    <mergeCell ref="F127:G127"/>
    <mergeCell ref="C128:E128"/>
    <mergeCell ref="F128:G128"/>
    <mergeCell ref="C129:E129"/>
    <mergeCell ref="F129:G129"/>
    <mergeCell ref="C130:E130"/>
    <mergeCell ref="F130:G130"/>
    <mergeCell ref="C131:E131"/>
    <mergeCell ref="F131:G131"/>
    <mergeCell ref="C122:E122"/>
    <mergeCell ref="F122:G122"/>
    <mergeCell ref="C123:E123"/>
    <mergeCell ref="F123:G123"/>
    <mergeCell ref="C124:E124"/>
    <mergeCell ref="F124:G124"/>
    <mergeCell ref="C125:E125"/>
    <mergeCell ref="F125:G125"/>
    <mergeCell ref="C126:E126"/>
    <mergeCell ref="F126:G126"/>
    <mergeCell ref="C117:E117"/>
    <mergeCell ref="F117:G117"/>
    <mergeCell ref="C118:E118"/>
    <mergeCell ref="F118:G118"/>
    <mergeCell ref="C119:E119"/>
    <mergeCell ref="F119:G119"/>
    <mergeCell ref="C120:E120"/>
    <mergeCell ref="F120:G120"/>
    <mergeCell ref="C121:E121"/>
    <mergeCell ref="F121:G121"/>
    <mergeCell ref="K480:L480"/>
    <mergeCell ref="K481:L481"/>
    <mergeCell ref="K482:L482"/>
    <mergeCell ref="K477:L477"/>
    <mergeCell ref="C107:E107"/>
    <mergeCell ref="F107:G107"/>
    <mergeCell ref="C108:E108"/>
    <mergeCell ref="F108:G108"/>
    <mergeCell ref="C109:E109"/>
    <mergeCell ref="F109:G109"/>
    <mergeCell ref="C110:E110"/>
    <mergeCell ref="F110:G110"/>
    <mergeCell ref="C111:E111"/>
    <mergeCell ref="F111:G111"/>
    <mergeCell ref="C112:E112"/>
    <mergeCell ref="F112:G112"/>
    <mergeCell ref="C113:E113"/>
    <mergeCell ref="F113:G113"/>
    <mergeCell ref="C114:E114"/>
    <mergeCell ref="F114:G114"/>
    <mergeCell ref="C115:E115"/>
    <mergeCell ref="F115:G115"/>
    <mergeCell ref="C116:E116"/>
    <mergeCell ref="F116:G116"/>
    <mergeCell ref="K489:L489"/>
    <mergeCell ref="K490:L490"/>
    <mergeCell ref="K491:L491"/>
    <mergeCell ref="K486:L486"/>
    <mergeCell ref="K487:L487"/>
    <mergeCell ref="K488:L488"/>
    <mergeCell ref="K483:L483"/>
    <mergeCell ref="K484:L484"/>
    <mergeCell ref="K485:L485"/>
    <mergeCell ref="K501:L501"/>
    <mergeCell ref="K498:L498"/>
    <mergeCell ref="K499:L499"/>
    <mergeCell ref="K500:L500"/>
    <mergeCell ref="K495:L495"/>
    <mergeCell ref="K496:L496"/>
    <mergeCell ref="K497:L497"/>
    <mergeCell ref="K492:L492"/>
    <mergeCell ref="K493:L493"/>
    <mergeCell ref="K494:L494"/>
    <mergeCell ref="K478:L478"/>
    <mergeCell ref="K479:L479"/>
    <mergeCell ref="K474:L474"/>
    <mergeCell ref="K475:L475"/>
    <mergeCell ref="K476:L476"/>
    <mergeCell ref="K471:L471"/>
    <mergeCell ref="K472:L472"/>
    <mergeCell ref="K473:L473"/>
    <mergeCell ref="K468:L468"/>
    <mergeCell ref="K469:L469"/>
    <mergeCell ref="K470:L470"/>
    <mergeCell ref="K416:L416"/>
    <mergeCell ref="K418:L418"/>
    <mergeCell ref="K419:L419"/>
    <mergeCell ref="A408:C408"/>
    <mergeCell ref="D408:E408"/>
    <mergeCell ref="F408:H408"/>
    <mergeCell ref="I408:K408"/>
    <mergeCell ref="A409:C409"/>
    <mergeCell ref="D409:E409"/>
    <mergeCell ref="F409:H409"/>
    <mergeCell ref="I409:K409"/>
    <mergeCell ref="A410:C410"/>
    <mergeCell ref="D410:E410"/>
    <mergeCell ref="F410:H410"/>
    <mergeCell ref="I410:K410"/>
    <mergeCell ref="A411:C411"/>
    <mergeCell ref="D411:E411"/>
    <mergeCell ref="F411:H411"/>
    <mergeCell ref="A413:J413"/>
    <mergeCell ref="A412:J412"/>
    <mergeCell ref="K412:L412"/>
    <mergeCell ref="I411:K411"/>
    <mergeCell ref="A405:C405"/>
    <mergeCell ref="D405:E405"/>
    <mergeCell ref="F405:H405"/>
    <mergeCell ref="I405:K405"/>
    <mergeCell ref="A397:C397"/>
    <mergeCell ref="D397:E397"/>
    <mergeCell ref="F397:H397"/>
    <mergeCell ref="I397:K397"/>
    <mergeCell ref="A398:C398"/>
    <mergeCell ref="D398:E398"/>
    <mergeCell ref="F398:H398"/>
    <mergeCell ref="I398:K398"/>
    <mergeCell ref="A399:C399"/>
    <mergeCell ref="D399:E399"/>
    <mergeCell ref="F399:H399"/>
    <mergeCell ref="I399:K399"/>
    <mergeCell ref="A401:C401"/>
    <mergeCell ref="D401:E401"/>
    <mergeCell ref="F401:H401"/>
    <mergeCell ref="I401:K401"/>
    <mergeCell ref="A402:C402"/>
    <mergeCell ref="D402:E402"/>
    <mergeCell ref="F402:H402"/>
    <mergeCell ref="I402:K402"/>
    <mergeCell ref="K381:L381"/>
    <mergeCell ref="K382:L382"/>
    <mergeCell ref="K383:L383"/>
    <mergeCell ref="K384:L384"/>
    <mergeCell ref="K388:L388"/>
    <mergeCell ref="K389:L389"/>
    <mergeCell ref="K390:L390"/>
    <mergeCell ref="A383:G383"/>
    <mergeCell ref="I383:J383"/>
    <mergeCell ref="A384:G384"/>
    <mergeCell ref="I384:J384"/>
    <mergeCell ref="A385:G385"/>
    <mergeCell ref="I385:J385"/>
    <mergeCell ref="K385:L385"/>
    <mergeCell ref="A386:G386"/>
    <mergeCell ref="I386:J386"/>
    <mergeCell ref="K386:L386"/>
    <mergeCell ref="A387:G387"/>
    <mergeCell ref="I387:J387"/>
    <mergeCell ref="K387:L387"/>
    <mergeCell ref="A388:G388"/>
    <mergeCell ref="I388:J388"/>
    <mergeCell ref="A390:G390"/>
    <mergeCell ref="I390:J390"/>
    <mergeCell ref="K372:L372"/>
    <mergeCell ref="K373:L373"/>
    <mergeCell ref="K374:L374"/>
    <mergeCell ref="K375:L375"/>
    <mergeCell ref="K376:L376"/>
    <mergeCell ref="K377:L377"/>
    <mergeCell ref="K378:L378"/>
    <mergeCell ref="K379:L379"/>
    <mergeCell ref="K380:L380"/>
    <mergeCell ref="K363:L363"/>
    <mergeCell ref="K364:L364"/>
    <mergeCell ref="K365:L365"/>
    <mergeCell ref="K366:L366"/>
    <mergeCell ref="K367:L367"/>
    <mergeCell ref="K368:L368"/>
    <mergeCell ref="K369:L369"/>
    <mergeCell ref="K370:L370"/>
    <mergeCell ref="K371:L371"/>
    <mergeCell ref="K360:L360"/>
    <mergeCell ref="K361:L361"/>
    <mergeCell ref="K362:L362"/>
    <mergeCell ref="G338:K339"/>
    <mergeCell ref="G340:G341"/>
    <mergeCell ref="H340:I340"/>
    <mergeCell ref="J340:K340"/>
    <mergeCell ref="H341:I341"/>
    <mergeCell ref="J341:K341"/>
    <mergeCell ref="G342:I342"/>
    <mergeCell ref="J342:K342"/>
    <mergeCell ref="G344:J344"/>
    <mergeCell ref="G346:H346"/>
    <mergeCell ref="I346:J346"/>
    <mergeCell ref="G347:H347"/>
    <mergeCell ref="I347:J347"/>
    <mergeCell ref="G348:H348"/>
    <mergeCell ref="I348:J348"/>
    <mergeCell ref="G349:H349"/>
    <mergeCell ref="I349:J349"/>
    <mergeCell ref="G350:H350"/>
    <mergeCell ref="I350:J350"/>
    <mergeCell ref="G351:H351"/>
    <mergeCell ref="I351:J351"/>
    <mergeCell ref="K358:L358"/>
    <mergeCell ref="K359:L359"/>
    <mergeCell ref="H324:I324"/>
    <mergeCell ref="J324:K324"/>
    <mergeCell ref="H325:I325"/>
    <mergeCell ref="J325:K325"/>
    <mergeCell ref="G326:K327"/>
    <mergeCell ref="G328:G329"/>
    <mergeCell ref="H328:I328"/>
    <mergeCell ref="J328:K328"/>
    <mergeCell ref="H329:I329"/>
    <mergeCell ref="J329:K329"/>
    <mergeCell ref="G330:K331"/>
    <mergeCell ref="G332:G333"/>
    <mergeCell ref="H332:I332"/>
    <mergeCell ref="J332:K332"/>
    <mergeCell ref="H333:I333"/>
    <mergeCell ref="J333:K333"/>
    <mergeCell ref="G334:K335"/>
    <mergeCell ref="G336:G337"/>
    <mergeCell ref="H336:I336"/>
    <mergeCell ref="J336:K336"/>
    <mergeCell ref="H337:I337"/>
    <mergeCell ref="J337:K337"/>
    <mergeCell ref="A292:B292"/>
    <mergeCell ref="D292:J292"/>
    <mergeCell ref="A293:B293"/>
    <mergeCell ref="D293:J293"/>
    <mergeCell ref="A294:B294"/>
    <mergeCell ref="D294:J294"/>
    <mergeCell ref="A285:B285"/>
    <mergeCell ref="D285:J285"/>
    <mergeCell ref="A286:B286"/>
    <mergeCell ref="D286:J286"/>
    <mergeCell ref="A287:B287"/>
    <mergeCell ref="D287:J287"/>
    <mergeCell ref="A288:B288"/>
    <mergeCell ref="D288:J288"/>
    <mergeCell ref="A289:B289"/>
    <mergeCell ref="D289:J289"/>
    <mergeCell ref="A290:B290"/>
    <mergeCell ref="D290:J290"/>
    <mergeCell ref="A291:B291"/>
    <mergeCell ref="D291:J291"/>
    <mergeCell ref="A269:J270"/>
    <mergeCell ref="K269:L270"/>
    <mergeCell ref="A271:J273"/>
    <mergeCell ref="K271:L273"/>
    <mergeCell ref="A274:J275"/>
    <mergeCell ref="K274:L275"/>
    <mergeCell ref="A259:J260"/>
    <mergeCell ref="K259:L260"/>
    <mergeCell ref="K261:L261"/>
    <mergeCell ref="K262:L262"/>
    <mergeCell ref="K263:L263"/>
    <mergeCell ref="K264:L264"/>
    <mergeCell ref="K265:L265"/>
    <mergeCell ref="A267:J268"/>
    <mergeCell ref="K267:L268"/>
    <mergeCell ref="A255:J256"/>
    <mergeCell ref="K255:L256"/>
    <mergeCell ref="A257:J257"/>
    <mergeCell ref="K257:L257"/>
    <mergeCell ref="K171:L171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9:L189"/>
    <mergeCell ref="K190:L190"/>
    <mergeCell ref="K191:L191"/>
    <mergeCell ref="K192:L192"/>
    <mergeCell ref="K180:L180"/>
    <mergeCell ref="K181:L181"/>
    <mergeCell ref="K182:L182"/>
    <mergeCell ref="K183:L183"/>
    <mergeCell ref="K184:L184"/>
    <mergeCell ref="K185:L185"/>
    <mergeCell ref="K186:L186"/>
    <mergeCell ref="K187:L187"/>
    <mergeCell ref="K188:L188"/>
    <mergeCell ref="K162:L162"/>
    <mergeCell ref="K163:L163"/>
    <mergeCell ref="K164:L164"/>
    <mergeCell ref="K165:L165"/>
    <mergeCell ref="K166:L166"/>
    <mergeCell ref="K168:L168"/>
    <mergeCell ref="K167:L167"/>
    <mergeCell ref="K169:L169"/>
    <mergeCell ref="K170:L170"/>
    <mergeCell ref="K156:L156"/>
    <mergeCell ref="K157:L157"/>
    <mergeCell ref="K158:L158"/>
    <mergeCell ref="K159:L159"/>
    <mergeCell ref="K160:L160"/>
    <mergeCell ref="K161:L161"/>
    <mergeCell ref="K154:L155"/>
    <mergeCell ref="A143:B143"/>
    <mergeCell ref="A144:B144"/>
    <mergeCell ref="A145:B145"/>
    <mergeCell ref="K149:L149"/>
    <mergeCell ref="K150:L150"/>
    <mergeCell ref="K151:L151"/>
    <mergeCell ref="K152:L152"/>
    <mergeCell ref="A146:F146"/>
    <mergeCell ref="G146:L146"/>
    <mergeCell ref="A148:J148"/>
    <mergeCell ref="K148:L148"/>
    <mergeCell ref="A149:J149"/>
    <mergeCell ref="A150:J150"/>
    <mergeCell ref="A151:J151"/>
    <mergeCell ref="A152:J152"/>
    <mergeCell ref="A154:J155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25:B125"/>
    <mergeCell ref="A126:B126"/>
    <mergeCell ref="A127:B127"/>
    <mergeCell ref="A129:B129"/>
    <mergeCell ref="A128:B128"/>
    <mergeCell ref="A130:B130"/>
    <mergeCell ref="A131:B131"/>
    <mergeCell ref="A132:B132"/>
    <mergeCell ref="A133:B133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07:B107"/>
    <mergeCell ref="A108:B108"/>
    <mergeCell ref="A110:B110"/>
    <mergeCell ref="A109:B109"/>
    <mergeCell ref="A112:B112"/>
    <mergeCell ref="A111:B111"/>
    <mergeCell ref="A113:B113"/>
    <mergeCell ref="A115:B115"/>
    <mergeCell ref="A114:B114"/>
    <mergeCell ref="A42:L43"/>
    <mergeCell ref="A36:B36"/>
    <mergeCell ref="C36:L36"/>
    <mergeCell ref="A38:L39"/>
    <mergeCell ref="A40:L40"/>
    <mergeCell ref="A44:L44"/>
    <mergeCell ref="A104:B104"/>
    <mergeCell ref="A105:B105"/>
    <mergeCell ref="A106:B106"/>
    <mergeCell ref="A100:L101"/>
    <mergeCell ref="A102:B103"/>
    <mergeCell ref="C102:E103"/>
    <mergeCell ref="F102:G103"/>
    <mergeCell ref="H102:H103"/>
    <mergeCell ref="I102:I103"/>
    <mergeCell ref="J102:J103"/>
    <mergeCell ref="K102:K103"/>
    <mergeCell ref="L102:L103"/>
    <mergeCell ref="C104:E104"/>
    <mergeCell ref="F104:G104"/>
    <mergeCell ref="C105:E105"/>
    <mergeCell ref="F105:G105"/>
    <mergeCell ref="C106:E106"/>
    <mergeCell ref="F106:G106"/>
    <mergeCell ref="A46:L47"/>
    <mergeCell ref="A48:L48"/>
    <mergeCell ref="A50:L51"/>
    <mergeCell ref="A52:L52"/>
    <mergeCell ref="A72:A73"/>
    <mergeCell ref="B72:J73"/>
    <mergeCell ref="A74:A75"/>
    <mergeCell ref="B74:J75"/>
    <mergeCell ref="A77:L78"/>
    <mergeCell ref="A54:L54"/>
    <mergeCell ref="A55:L56"/>
    <mergeCell ref="A57:J57"/>
    <mergeCell ref="K57:L57"/>
    <mergeCell ref="A58:A61"/>
    <mergeCell ref="B58:J59"/>
    <mergeCell ref="K58:L75"/>
    <mergeCell ref="B60:J61"/>
    <mergeCell ref="A62:A63"/>
    <mergeCell ref="B62:J63"/>
    <mergeCell ref="A64:A65"/>
    <mergeCell ref="B64:J65"/>
    <mergeCell ref="A66:A67"/>
    <mergeCell ref="B66:J67"/>
    <mergeCell ref="A68:A69"/>
    <mergeCell ref="C28:L28"/>
    <mergeCell ref="A34:B34"/>
    <mergeCell ref="A35:B35"/>
    <mergeCell ref="C35:L35"/>
    <mergeCell ref="C34:L34"/>
    <mergeCell ref="C33:L33"/>
    <mergeCell ref="C29:L29"/>
    <mergeCell ref="A30:B30"/>
    <mergeCell ref="A31:B31"/>
    <mergeCell ref="A32:B32"/>
    <mergeCell ref="A33:B33"/>
    <mergeCell ref="A28:B28"/>
    <mergeCell ref="A29:B29"/>
    <mergeCell ref="C30:L30"/>
    <mergeCell ref="C31:L31"/>
    <mergeCell ref="C32:L32"/>
    <mergeCell ref="A23:L24"/>
    <mergeCell ref="A25:B25"/>
    <mergeCell ref="C25:L25"/>
    <mergeCell ref="C26:L26"/>
    <mergeCell ref="C27:L27"/>
    <mergeCell ref="A26:B26"/>
    <mergeCell ref="A27:B27"/>
    <mergeCell ref="A9:E9"/>
    <mergeCell ref="H9:L9"/>
    <mergeCell ref="A10:L10"/>
    <mergeCell ref="A12:L12"/>
    <mergeCell ref="A11:G11"/>
    <mergeCell ref="H11:L11"/>
    <mergeCell ref="A13:C13"/>
    <mergeCell ref="D13:E13"/>
    <mergeCell ref="F13:G13"/>
    <mergeCell ref="H13:L13"/>
    <mergeCell ref="A14:F14"/>
    <mergeCell ref="G14:L14"/>
    <mergeCell ref="A15:L16"/>
    <mergeCell ref="A17:L17"/>
    <mergeCell ref="A18:A19"/>
    <mergeCell ref="B18:G19"/>
    <mergeCell ref="H18:H19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K413:L413"/>
    <mergeCell ref="K239:L239"/>
    <mergeCell ref="K230:L230"/>
    <mergeCell ref="K231:L231"/>
    <mergeCell ref="K232:L232"/>
    <mergeCell ref="K233:L233"/>
    <mergeCell ref="K234:L234"/>
    <mergeCell ref="K235:L235"/>
    <mergeCell ref="K236:L236"/>
    <mergeCell ref="K237:L237"/>
    <mergeCell ref="K238:L238"/>
    <mergeCell ref="K240:L240"/>
    <mergeCell ref="K241:L241"/>
    <mergeCell ref="G322:K323"/>
    <mergeCell ref="G324:G325"/>
    <mergeCell ref="B313:L313"/>
    <mergeCell ref="B314:L314"/>
    <mergeCell ref="A316:L316"/>
    <mergeCell ref="A317:L317"/>
    <mergeCell ref="A318:L319"/>
    <mergeCell ref="B320:E320"/>
    <mergeCell ref="G320:K320"/>
    <mergeCell ref="H321:I321"/>
    <mergeCell ref="J321:K321"/>
    <mergeCell ref="K432:L432"/>
    <mergeCell ref="K433:L433"/>
    <mergeCell ref="K434:L434"/>
    <mergeCell ref="K435:L435"/>
    <mergeCell ref="K436:L436"/>
    <mergeCell ref="K437:L437"/>
    <mergeCell ref="K438:L438"/>
    <mergeCell ref="K439:L439"/>
    <mergeCell ref="K422:L422"/>
    <mergeCell ref="K423:L423"/>
    <mergeCell ref="K424:L424"/>
    <mergeCell ref="K425:L425"/>
    <mergeCell ref="K426:L426"/>
    <mergeCell ref="K427:L427"/>
    <mergeCell ref="K428:L428"/>
    <mergeCell ref="K429:L429"/>
    <mergeCell ref="K430:L430"/>
    <mergeCell ref="A414:J414"/>
    <mergeCell ref="A415:J415"/>
    <mergeCell ref="A416:J416"/>
    <mergeCell ref="A417:J417"/>
    <mergeCell ref="A418:J418"/>
    <mergeCell ref="A419:J419"/>
    <mergeCell ref="A420:J420"/>
    <mergeCell ref="A421:J421"/>
    <mergeCell ref="K431:L431"/>
    <mergeCell ref="K420:L420"/>
    <mergeCell ref="K421:L421"/>
    <mergeCell ref="A423:J423"/>
    <mergeCell ref="A422:J422"/>
    <mergeCell ref="A424:J424"/>
    <mergeCell ref="A425:J425"/>
    <mergeCell ref="A426:J426"/>
    <mergeCell ref="A427:J427"/>
    <mergeCell ref="A428:J428"/>
    <mergeCell ref="A429:J429"/>
    <mergeCell ref="A430:J430"/>
    <mergeCell ref="A431:J431"/>
    <mergeCell ref="K414:L414"/>
    <mergeCell ref="K415:L415"/>
    <mergeCell ref="K417:L417"/>
    <mergeCell ref="A432:J432"/>
    <mergeCell ref="A433:J433"/>
    <mergeCell ref="A434:J434"/>
    <mergeCell ref="A435:J435"/>
    <mergeCell ref="A436:J436"/>
    <mergeCell ref="A437:J437"/>
    <mergeCell ref="A438:J438"/>
    <mergeCell ref="A439:J439"/>
    <mergeCell ref="A448:J448"/>
    <mergeCell ref="A449:J449"/>
    <mergeCell ref="A450:J450"/>
    <mergeCell ref="A451:J451"/>
    <mergeCell ref="K447:L447"/>
    <mergeCell ref="K453:L454"/>
    <mergeCell ref="K455:L456"/>
    <mergeCell ref="A455:J456"/>
    <mergeCell ref="K441:L442"/>
    <mergeCell ref="K443:L443"/>
    <mergeCell ref="A441:J442"/>
    <mergeCell ref="A443:J443"/>
    <mergeCell ref="A444:J444"/>
    <mergeCell ref="K444:L444"/>
    <mergeCell ref="A445:J446"/>
    <mergeCell ref="A447:J447"/>
    <mergeCell ref="K445:L446"/>
    <mergeCell ref="A457:J459"/>
    <mergeCell ref="K457:L459"/>
    <mergeCell ref="A460:J461"/>
    <mergeCell ref="K460:L461"/>
    <mergeCell ref="A462:J463"/>
    <mergeCell ref="A464:L464"/>
    <mergeCell ref="A465:L466"/>
    <mergeCell ref="A467:G467"/>
    <mergeCell ref="I467:J467"/>
    <mergeCell ref="K467:L467"/>
    <mergeCell ref="K462:L463"/>
    <mergeCell ref="A468:G468"/>
    <mergeCell ref="A469:G469"/>
    <mergeCell ref="A470:G470"/>
    <mergeCell ref="A471:G471"/>
    <mergeCell ref="A472:G472"/>
    <mergeCell ref="A473:G473"/>
    <mergeCell ref="A474:G474"/>
    <mergeCell ref="A475:G475"/>
    <mergeCell ref="A476:G476"/>
    <mergeCell ref="A490:G490"/>
    <mergeCell ref="A491:G491"/>
    <mergeCell ref="A492:G492"/>
    <mergeCell ref="A493:G493"/>
    <mergeCell ref="A494:G494"/>
    <mergeCell ref="A477:G477"/>
    <mergeCell ref="A478:G478"/>
    <mergeCell ref="A479:G479"/>
    <mergeCell ref="A480:G480"/>
    <mergeCell ref="A481:G481"/>
    <mergeCell ref="A482:G482"/>
    <mergeCell ref="A483:G483"/>
    <mergeCell ref="A484:G484"/>
    <mergeCell ref="A485:G485"/>
    <mergeCell ref="A499:G499"/>
    <mergeCell ref="A500:G500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A486:G486"/>
    <mergeCell ref="A487:G487"/>
    <mergeCell ref="A488:G488"/>
    <mergeCell ref="A489:G489"/>
    <mergeCell ref="I495:J495"/>
    <mergeCell ref="I496:J496"/>
    <mergeCell ref="I497:J497"/>
    <mergeCell ref="I498:J498"/>
    <mergeCell ref="I499:J499"/>
    <mergeCell ref="I500:J500"/>
    <mergeCell ref="A501:J501"/>
    <mergeCell ref="K448:L448"/>
    <mergeCell ref="K449:L449"/>
    <mergeCell ref="K450:L450"/>
    <mergeCell ref="K451:L451"/>
    <mergeCell ref="I486:J486"/>
    <mergeCell ref="I487:J487"/>
    <mergeCell ref="I488:J488"/>
    <mergeCell ref="I489:J489"/>
    <mergeCell ref="I490:J490"/>
    <mergeCell ref="I491:J491"/>
    <mergeCell ref="I492:J492"/>
    <mergeCell ref="I493:J493"/>
    <mergeCell ref="I494:J494"/>
    <mergeCell ref="A495:G495"/>
    <mergeCell ref="A496:G496"/>
    <mergeCell ref="A497:G497"/>
    <mergeCell ref="A498:G498"/>
  </mergeCells>
  <dataValidations count="1">
    <dataValidation type="list" allowBlank="1" showErrorMessage="1" sqref="A104:B104" xr:uid="{936D3EA9-22C1-4967-A138-223D3BEA92F3}">
      <formula1>$AG$97:$AG$115</formula1>
    </dataValidation>
  </dataValidations>
  <pageMargins left="0.51180555555555596" right="0.51180555555555596" top="0.63472222222222197" bottom="0.78749999999999998" header="0" footer="0"/>
  <pageSetup paperSize="9" fitToHeight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E319194A-F964-4187-8D64-DD138EA5A025}">
          <x14:formula1>
            <xm:f>'C:\Users\pccli\Downloads\[3.0 Plano_trabalho_Ficha_Gestão_Faurgs_001 (1).xlsx]Dados'!#REF!</xm:f>
          </x14:formula1>
          <xm:sqref>AG97:AG112 A105:A145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 x14ac:dyDescent="0.25"/>
  <cols>
    <col min="1" max="1" width="26.28515625" customWidth="1"/>
    <col min="2" max="11" width="8.7109375" customWidth="1"/>
  </cols>
  <sheetData>
    <row r="2" spans="1:11" x14ac:dyDescent="0.25">
      <c r="A2" s="3" t="s">
        <v>22</v>
      </c>
      <c r="E2" s="3" t="s">
        <v>26</v>
      </c>
      <c r="G2" s="3">
        <v>1</v>
      </c>
      <c r="H2" s="3" t="s">
        <v>27</v>
      </c>
      <c r="K2" s="3" t="s">
        <v>28</v>
      </c>
    </row>
    <row r="3" spans="1:11" x14ac:dyDescent="0.25">
      <c r="A3" s="3" t="s">
        <v>29</v>
      </c>
      <c r="E3" s="3" t="s">
        <v>30</v>
      </c>
      <c r="G3" s="3">
        <v>2</v>
      </c>
      <c r="H3" s="3" t="s">
        <v>31</v>
      </c>
      <c r="K3" s="3" t="s">
        <v>32</v>
      </c>
    </row>
    <row r="4" spans="1:11" x14ac:dyDescent="0.25">
      <c r="A4" s="3" t="s">
        <v>33</v>
      </c>
      <c r="E4" s="3" t="s">
        <v>34</v>
      </c>
      <c r="G4" s="3">
        <v>3</v>
      </c>
      <c r="H4" s="3" t="s">
        <v>35</v>
      </c>
      <c r="K4" s="3" t="s">
        <v>36</v>
      </c>
    </row>
    <row r="5" spans="1:11" x14ac:dyDescent="0.25">
      <c r="A5" s="3" t="s">
        <v>37</v>
      </c>
    </row>
    <row r="6" spans="1:11" x14ac:dyDescent="0.25">
      <c r="A6" s="3" t="s">
        <v>38</v>
      </c>
      <c r="E6" s="3" t="s">
        <v>39</v>
      </c>
      <c r="G6" s="3">
        <v>4</v>
      </c>
      <c r="H6" s="3" t="s">
        <v>40</v>
      </c>
      <c r="K6" s="3" t="s">
        <v>41</v>
      </c>
    </row>
    <row r="7" spans="1:11" x14ac:dyDescent="0.25">
      <c r="A7" s="3" t="s">
        <v>42</v>
      </c>
    </row>
    <row r="8" spans="1:11" x14ac:dyDescent="0.25">
      <c r="A8" s="3" t="s">
        <v>43</v>
      </c>
      <c r="E8" s="3" t="s">
        <v>44</v>
      </c>
      <c r="G8" s="3">
        <v>5</v>
      </c>
      <c r="H8" s="3" t="s">
        <v>45</v>
      </c>
      <c r="K8" s="3" t="s">
        <v>46</v>
      </c>
    </row>
    <row r="9" spans="1:11" x14ac:dyDescent="0.25">
      <c r="A9" s="3" t="s">
        <v>47</v>
      </c>
      <c r="E9" s="3" t="s">
        <v>48</v>
      </c>
      <c r="G9" s="3">
        <v>6</v>
      </c>
      <c r="H9" s="3" t="s">
        <v>49</v>
      </c>
      <c r="K9" s="3" t="s">
        <v>50</v>
      </c>
    </row>
    <row r="10" spans="1:11" x14ac:dyDescent="0.25">
      <c r="E10" s="3" t="s">
        <v>51</v>
      </c>
      <c r="G10" s="3">
        <v>7</v>
      </c>
      <c r="H10" s="3" t="s">
        <v>52</v>
      </c>
      <c r="K10" s="3" t="s">
        <v>53</v>
      </c>
    </row>
    <row r="11" spans="1:11" x14ac:dyDescent="0.25">
      <c r="E11" s="3" t="s">
        <v>54</v>
      </c>
      <c r="G11" s="3">
        <v>8</v>
      </c>
      <c r="H11" s="3" t="s">
        <v>55</v>
      </c>
      <c r="K11" s="3" t="s">
        <v>56</v>
      </c>
    </row>
    <row r="12" spans="1:11" x14ac:dyDescent="0.25">
      <c r="A12" s="3" t="s">
        <v>57</v>
      </c>
      <c r="E12" s="3" t="s">
        <v>58</v>
      </c>
      <c r="G12" s="3">
        <v>9</v>
      </c>
      <c r="H12" s="3" t="s">
        <v>59</v>
      </c>
      <c r="K12" s="3" t="s">
        <v>60</v>
      </c>
    </row>
    <row r="13" spans="1:11" ht="45" x14ac:dyDescent="0.25">
      <c r="A13" s="4" t="s">
        <v>61</v>
      </c>
      <c r="E13" s="3" t="s">
        <v>62</v>
      </c>
      <c r="G13" s="3">
        <v>10</v>
      </c>
      <c r="H13" s="3" t="s">
        <v>63</v>
      </c>
      <c r="K13" s="3" t="s">
        <v>64</v>
      </c>
    </row>
    <row r="14" spans="1:11" x14ac:dyDescent="0.25">
      <c r="A14" s="3" t="s">
        <v>65</v>
      </c>
      <c r="E14" s="3" t="s">
        <v>66</v>
      </c>
      <c r="H14" s="3" t="s">
        <v>67</v>
      </c>
      <c r="K14" s="3" t="s">
        <v>68</v>
      </c>
    </row>
    <row r="15" spans="1:11" x14ac:dyDescent="0.25">
      <c r="A15" s="3" t="s">
        <v>69</v>
      </c>
      <c r="E15" s="3" t="s">
        <v>70</v>
      </c>
      <c r="H15" s="3" t="s">
        <v>71</v>
      </c>
      <c r="K15" s="3" t="s">
        <v>72</v>
      </c>
    </row>
    <row r="16" spans="1:11" x14ac:dyDescent="0.25">
      <c r="A16" s="3" t="s">
        <v>73</v>
      </c>
      <c r="E16" s="3" t="s">
        <v>74</v>
      </c>
      <c r="H16" s="3" t="s">
        <v>75</v>
      </c>
      <c r="K16" s="3" t="s">
        <v>76</v>
      </c>
    </row>
    <row r="17" spans="1:11" x14ac:dyDescent="0.25">
      <c r="A17" s="3" t="s">
        <v>77</v>
      </c>
      <c r="E17" s="3" t="s">
        <v>78</v>
      </c>
      <c r="H17" s="3" t="s">
        <v>79</v>
      </c>
      <c r="K17" s="3" t="s">
        <v>80</v>
      </c>
    </row>
    <row r="18" spans="1:11" x14ac:dyDescent="0.25">
      <c r="A18" s="3" t="s">
        <v>81</v>
      </c>
      <c r="E18" s="3" t="s">
        <v>82</v>
      </c>
      <c r="H18" s="3" t="s">
        <v>83</v>
      </c>
      <c r="K18" s="3" t="s">
        <v>84</v>
      </c>
    </row>
    <row r="19" spans="1:11" x14ac:dyDescent="0.25">
      <c r="A19" s="3" t="s">
        <v>85</v>
      </c>
      <c r="E19" s="3" t="s">
        <v>86</v>
      </c>
      <c r="H19" s="3" t="s">
        <v>87</v>
      </c>
      <c r="K19" s="3" t="s">
        <v>88</v>
      </c>
    </row>
    <row r="20" spans="1:11" x14ac:dyDescent="0.25">
      <c r="A20" s="3" t="s">
        <v>89</v>
      </c>
      <c r="E20" s="3" t="s">
        <v>90</v>
      </c>
      <c r="H20" s="3" t="s">
        <v>91</v>
      </c>
      <c r="K20" s="3" t="s">
        <v>92</v>
      </c>
    </row>
    <row r="21" spans="1:11" ht="15.75" customHeight="1" x14ac:dyDescent="0.25">
      <c r="A21" s="3" t="s">
        <v>93</v>
      </c>
      <c r="E21" s="3" t="s">
        <v>94</v>
      </c>
      <c r="H21" s="3" t="s">
        <v>95</v>
      </c>
      <c r="K21" s="3" t="s">
        <v>96</v>
      </c>
    </row>
    <row r="22" spans="1:11" ht="15.75" customHeight="1" x14ac:dyDescent="0.25">
      <c r="A22" s="3" t="s">
        <v>97</v>
      </c>
      <c r="E22" s="3" t="s">
        <v>98</v>
      </c>
      <c r="H22" s="3" t="s">
        <v>99</v>
      </c>
      <c r="K22" s="3" t="s">
        <v>100</v>
      </c>
    </row>
    <row r="23" spans="1:11" ht="15.75" customHeight="1" x14ac:dyDescent="0.25">
      <c r="A23" s="3" t="s">
        <v>101</v>
      </c>
      <c r="E23" s="3" t="s">
        <v>102</v>
      </c>
      <c r="H23" s="3" t="s">
        <v>103</v>
      </c>
      <c r="K23" s="3" t="s">
        <v>104</v>
      </c>
    </row>
    <row r="24" spans="1:11" ht="15.75" customHeight="1" x14ac:dyDescent="0.25">
      <c r="A24" s="3" t="s">
        <v>105</v>
      </c>
      <c r="E24" s="3" t="s">
        <v>106</v>
      </c>
      <c r="H24" s="3" t="s">
        <v>107</v>
      </c>
      <c r="K24" s="3" t="s">
        <v>108</v>
      </c>
    </row>
    <row r="25" spans="1:11" ht="15.75" customHeight="1" x14ac:dyDescent="0.25">
      <c r="A25" s="3" t="s">
        <v>109</v>
      </c>
      <c r="E25" s="3" t="s">
        <v>110</v>
      </c>
      <c r="H25" s="3" t="s">
        <v>111</v>
      </c>
      <c r="K25" s="3" t="s">
        <v>112</v>
      </c>
    </row>
    <row r="26" spans="1:11" ht="15.75" customHeight="1" x14ac:dyDescent="0.25">
      <c r="A26" s="3" t="s">
        <v>113</v>
      </c>
      <c r="E26" s="3" t="s">
        <v>114</v>
      </c>
      <c r="H26" s="3" t="s">
        <v>115</v>
      </c>
      <c r="K26" s="3" t="s">
        <v>116</v>
      </c>
    </row>
    <row r="27" spans="1:11" ht="15.75" customHeight="1" x14ac:dyDescent="0.25">
      <c r="A27" s="3" t="s">
        <v>117</v>
      </c>
      <c r="E27" s="3" t="s">
        <v>118</v>
      </c>
      <c r="H27" s="3" t="s">
        <v>119</v>
      </c>
      <c r="K27" s="3" t="s">
        <v>120</v>
      </c>
    </row>
    <row r="28" spans="1:11" ht="15.75" customHeight="1" x14ac:dyDescent="0.25">
      <c r="E28" s="3" t="s">
        <v>121</v>
      </c>
      <c r="H28" s="3" t="s">
        <v>122</v>
      </c>
      <c r="K28" s="3" t="s">
        <v>123</v>
      </c>
    </row>
    <row r="29" spans="1:11" ht="15.75" customHeight="1" x14ac:dyDescent="0.25">
      <c r="E29" s="3" t="s">
        <v>124</v>
      </c>
      <c r="H29" s="3" t="s">
        <v>125</v>
      </c>
      <c r="K29" s="3" t="s">
        <v>126</v>
      </c>
    </row>
    <row r="30" spans="1:11" ht="15.75" customHeight="1" x14ac:dyDescent="0.25">
      <c r="E30" s="3" t="s">
        <v>127</v>
      </c>
      <c r="H30" s="3" t="s">
        <v>128</v>
      </c>
      <c r="K30" s="3" t="s">
        <v>129</v>
      </c>
    </row>
    <row r="31" spans="1:11" ht="15.75" customHeight="1" x14ac:dyDescent="0.25">
      <c r="E31" s="3" t="s">
        <v>130</v>
      </c>
      <c r="H31" s="3" t="s">
        <v>131</v>
      </c>
      <c r="K31" s="3" t="s">
        <v>132</v>
      </c>
    </row>
    <row r="32" spans="1:11" ht="15.75" customHeight="1" x14ac:dyDescent="0.25">
      <c r="E32" s="3" t="s">
        <v>133</v>
      </c>
      <c r="H32" s="3" t="s">
        <v>134</v>
      </c>
      <c r="K32" s="3" t="s">
        <v>135</v>
      </c>
    </row>
    <row r="33" spans="5:11" ht="15.75" customHeight="1" x14ac:dyDescent="0.25">
      <c r="E33" s="3" t="s">
        <v>136</v>
      </c>
      <c r="H33" s="3" t="s">
        <v>137</v>
      </c>
      <c r="K33" s="3" t="s">
        <v>138</v>
      </c>
    </row>
    <row r="34" spans="5:11" ht="15.75" customHeight="1" x14ac:dyDescent="0.25">
      <c r="E34" s="3" t="s">
        <v>139</v>
      </c>
      <c r="H34" s="3" t="s">
        <v>140</v>
      </c>
      <c r="K34" s="3" t="s">
        <v>141</v>
      </c>
    </row>
    <row r="35" spans="5:11" ht="15.75" customHeight="1" x14ac:dyDescent="0.25">
      <c r="E35" s="3" t="s">
        <v>142</v>
      </c>
      <c r="H35" s="3" t="s">
        <v>143</v>
      </c>
      <c r="K35" s="3" t="s">
        <v>144</v>
      </c>
    </row>
    <row r="36" spans="5:11" ht="15.75" customHeight="1" x14ac:dyDescent="0.25">
      <c r="E36" s="3" t="s">
        <v>145</v>
      </c>
      <c r="H36" s="3" t="s">
        <v>146</v>
      </c>
      <c r="K36" s="3" t="s">
        <v>147</v>
      </c>
    </row>
    <row r="37" spans="5:11" ht="15.75" customHeight="1" x14ac:dyDescent="0.25">
      <c r="E37" s="3" t="s">
        <v>148</v>
      </c>
      <c r="H37" s="3" t="s">
        <v>149</v>
      </c>
      <c r="K37" s="3" t="s">
        <v>150</v>
      </c>
    </row>
    <row r="38" spans="5:11" ht="15.75" customHeight="1" x14ac:dyDescent="0.25">
      <c r="E38" s="3" t="s">
        <v>151</v>
      </c>
      <c r="H38" s="3" t="s">
        <v>152</v>
      </c>
      <c r="K38" s="3" t="s">
        <v>153</v>
      </c>
    </row>
    <row r="39" spans="5:11" ht="15.75" customHeight="1" x14ac:dyDescent="0.25">
      <c r="E39" s="3" t="s">
        <v>154</v>
      </c>
      <c r="H39" s="3" t="s">
        <v>155</v>
      </c>
      <c r="K39" s="3" t="s">
        <v>156</v>
      </c>
    </row>
    <row r="40" spans="5:11" ht="15.75" customHeight="1" x14ac:dyDescent="0.25">
      <c r="E40" s="3" t="s">
        <v>157</v>
      </c>
      <c r="H40" s="3" t="s">
        <v>158</v>
      </c>
      <c r="K40" s="3" t="s">
        <v>159</v>
      </c>
    </row>
    <row r="41" spans="5:11" ht="15.75" customHeight="1" x14ac:dyDescent="0.25">
      <c r="E41" s="3" t="s">
        <v>160</v>
      </c>
      <c r="H41" s="3" t="s">
        <v>161</v>
      </c>
      <c r="K41" s="3" t="s">
        <v>162</v>
      </c>
    </row>
    <row r="42" spans="5:11" ht="15.75" customHeight="1" x14ac:dyDescent="0.25">
      <c r="E42" s="3" t="s">
        <v>163</v>
      </c>
      <c r="H42" s="3" t="s">
        <v>164</v>
      </c>
      <c r="K42" s="3" t="s">
        <v>165</v>
      </c>
    </row>
    <row r="43" spans="5:11" ht="15.75" customHeight="1" x14ac:dyDescent="0.25">
      <c r="E43" s="3" t="s">
        <v>166</v>
      </c>
      <c r="H43" s="3" t="s">
        <v>167</v>
      </c>
      <c r="K43" s="3" t="s">
        <v>168</v>
      </c>
    </row>
    <row r="44" spans="5:11" ht="15.75" customHeight="1" x14ac:dyDescent="0.25">
      <c r="E44" s="3" t="s">
        <v>169</v>
      </c>
      <c r="H44" s="3" t="s">
        <v>170</v>
      </c>
    </row>
    <row r="45" spans="5:11" ht="15.75" customHeight="1" x14ac:dyDescent="0.25">
      <c r="E45" s="3" t="s">
        <v>171</v>
      </c>
      <c r="H45" s="3" t="s">
        <v>172</v>
      </c>
    </row>
    <row r="46" spans="5:11" ht="15.75" customHeight="1" x14ac:dyDescent="0.25">
      <c r="E46" s="3" t="s">
        <v>173</v>
      </c>
      <c r="H46" s="3" t="s">
        <v>174</v>
      </c>
    </row>
    <row r="47" spans="5:11" ht="15.75" customHeight="1" x14ac:dyDescent="0.25">
      <c r="E47" s="3" t="s">
        <v>175</v>
      </c>
      <c r="H47" s="3" t="s">
        <v>176</v>
      </c>
    </row>
    <row r="48" spans="5:11" ht="15.75" customHeight="1" x14ac:dyDescent="0.25">
      <c r="E48" s="3" t="s">
        <v>177</v>
      </c>
      <c r="H48" s="3" t="s">
        <v>178</v>
      </c>
    </row>
    <row r="49" spans="5:8" ht="15.75" customHeight="1" x14ac:dyDescent="0.25">
      <c r="E49" s="3" t="s">
        <v>179</v>
      </c>
      <c r="H49" s="3" t="s">
        <v>180</v>
      </c>
    </row>
    <row r="50" spans="5:8" ht="15.75" customHeight="1" x14ac:dyDescent="0.25">
      <c r="E50" s="3" t="s">
        <v>181</v>
      </c>
      <c r="H50" s="3" t="s">
        <v>182</v>
      </c>
    </row>
    <row r="51" spans="5:8" ht="15.75" customHeight="1" x14ac:dyDescent="0.25">
      <c r="E51" s="3" t="s">
        <v>183</v>
      </c>
      <c r="H51" s="3" t="s">
        <v>184</v>
      </c>
    </row>
    <row r="52" spans="5:8" ht="15.75" customHeight="1" x14ac:dyDescent="0.25">
      <c r="E52" s="3" t="s">
        <v>185</v>
      </c>
      <c r="H52" s="3" t="s">
        <v>186</v>
      </c>
    </row>
    <row r="53" spans="5:8" ht="15.75" customHeight="1" x14ac:dyDescent="0.25">
      <c r="E53" s="3" t="s">
        <v>187</v>
      </c>
      <c r="H53" s="3" t="s">
        <v>188</v>
      </c>
    </row>
    <row r="54" spans="5:8" ht="15.75" customHeight="1" x14ac:dyDescent="0.25">
      <c r="E54" s="3" t="s">
        <v>189</v>
      </c>
      <c r="H54" s="3" t="s">
        <v>190</v>
      </c>
    </row>
    <row r="55" spans="5:8" ht="15.75" customHeight="1" x14ac:dyDescent="0.25">
      <c r="E55" s="3" t="s">
        <v>191</v>
      </c>
      <c r="H55" s="3" t="s">
        <v>192</v>
      </c>
    </row>
    <row r="56" spans="5:8" ht="15.75" customHeight="1" x14ac:dyDescent="0.25">
      <c r="E56" s="3" t="s">
        <v>193</v>
      </c>
      <c r="H56" s="3" t="s">
        <v>194</v>
      </c>
    </row>
    <row r="57" spans="5:8" ht="15.75" customHeight="1" x14ac:dyDescent="0.25">
      <c r="E57" s="3" t="s">
        <v>195</v>
      </c>
      <c r="H57" s="3" t="s">
        <v>196</v>
      </c>
    </row>
    <row r="58" spans="5:8" ht="15.75" customHeight="1" x14ac:dyDescent="0.25">
      <c r="E58" s="3" t="s">
        <v>197</v>
      </c>
      <c r="H58" s="3" t="s">
        <v>198</v>
      </c>
    </row>
    <row r="59" spans="5:8" ht="15.75" customHeight="1" x14ac:dyDescent="0.25">
      <c r="E59" s="3" t="s">
        <v>199</v>
      </c>
      <c r="H59" s="3" t="s">
        <v>200</v>
      </c>
    </row>
    <row r="60" spans="5:8" ht="15.75" customHeight="1" x14ac:dyDescent="0.25">
      <c r="E60" s="3" t="s">
        <v>201</v>
      </c>
      <c r="H60" s="3" t="s">
        <v>202</v>
      </c>
    </row>
    <row r="61" spans="5:8" ht="15.75" customHeight="1" x14ac:dyDescent="0.25">
      <c r="E61" s="3" t="s">
        <v>203</v>
      </c>
      <c r="H61" s="3" t="s">
        <v>204</v>
      </c>
    </row>
    <row r="62" spans="5:8" ht="15.75" customHeight="1" x14ac:dyDescent="0.25">
      <c r="E62" s="3" t="s">
        <v>205</v>
      </c>
      <c r="H62" s="3" t="s">
        <v>206</v>
      </c>
    </row>
    <row r="63" spans="5:8" ht="15.75" customHeight="1" x14ac:dyDescent="0.25">
      <c r="E63" s="3" t="s">
        <v>207</v>
      </c>
      <c r="H63" s="3" t="s">
        <v>208</v>
      </c>
    </row>
    <row r="64" spans="5:8" ht="15.75" customHeight="1" x14ac:dyDescent="0.25">
      <c r="H64" s="3" t="s">
        <v>209</v>
      </c>
    </row>
    <row r="65" spans="8:8" ht="15.75" customHeight="1" x14ac:dyDescent="0.25">
      <c r="H65" s="3" t="s">
        <v>210</v>
      </c>
    </row>
    <row r="66" spans="8:8" ht="15.75" customHeight="1" x14ac:dyDescent="0.25">
      <c r="H66" s="3" t="s">
        <v>211</v>
      </c>
    </row>
    <row r="67" spans="8:8" ht="15.75" customHeight="1" x14ac:dyDescent="0.25">
      <c r="H67" s="3" t="s">
        <v>212</v>
      </c>
    </row>
    <row r="68" spans="8:8" ht="15.75" customHeight="1" x14ac:dyDescent="0.25">
      <c r="H68" s="3" t="s">
        <v>213</v>
      </c>
    </row>
    <row r="69" spans="8:8" ht="15.75" customHeight="1" x14ac:dyDescent="0.25">
      <c r="H69" s="3" t="s">
        <v>214</v>
      </c>
    </row>
    <row r="70" spans="8:8" ht="15.75" customHeight="1" x14ac:dyDescent="0.25">
      <c r="H70" s="3" t="s">
        <v>215</v>
      </c>
    </row>
    <row r="71" spans="8:8" ht="15.75" customHeight="1" x14ac:dyDescent="0.25">
      <c r="H71" s="3" t="s">
        <v>216</v>
      </c>
    </row>
    <row r="72" spans="8:8" ht="15.75" customHeight="1" x14ac:dyDescent="0.25">
      <c r="H72" s="3" t="s">
        <v>217</v>
      </c>
    </row>
    <row r="73" spans="8:8" ht="15.75" customHeight="1" x14ac:dyDescent="0.25">
      <c r="H73" s="3" t="s">
        <v>218</v>
      </c>
    </row>
    <row r="74" spans="8:8" ht="15.75" customHeight="1" x14ac:dyDescent="0.25">
      <c r="H74" s="3" t="s">
        <v>219</v>
      </c>
    </row>
    <row r="75" spans="8:8" ht="15.75" customHeight="1" x14ac:dyDescent="0.25">
      <c r="H75" s="3" t="s">
        <v>220</v>
      </c>
    </row>
    <row r="76" spans="8:8" ht="15.75" customHeight="1" x14ac:dyDescent="0.25">
      <c r="H76" s="3" t="s">
        <v>221</v>
      </c>
    </row>
    <row r="77" spans="8:8" ht="15.75" customHeight="1" x14ac:dyDescent="0.25">
      <c r="H77" s="3" t="s">
        <v>222</v>
      </c>
    </row>
    <row r="78" spans="8:8" ht="15.75" customHeight="1" x14ac:dyDescent="0.25">
      <c r="H78" s="3" t="s">
        <v>223</v>
      </c>
    </row>
    <row r="79" spans="8:8" ht="15.75" customHeight="1" x14ac:dyDescent="0.25">
      <c r="H79" s="3" t="s">
        <v>224</v>
      </c>
    </row>
    <row r="80" spans="8:8" ht="15.75" customHeight="1" x14ac:dyDescent="0.25">
      <c r="H80" s="3" t="s">
        <v>225</v>
      </c>
    </row>
    <row r="81" spans="8:8" ht="15.75" customHeight="1" x14ac:dyDescent="0.25">
      <c r="H81" s="3" t="s">
        <v>226</v>
      </c>
    </row>
    <row r="82" spans="8:8" ht="15.75" customHeight="1" x14ac:dyDescent="0.25">
      <c r="H82" s="3" t="s">
        <v>227</v>
      </c>
    </row>
    <row r="83" spans="8:8" ht="15.75" customHeight="1" x14ac:dyDescent="0.25">
      <c r="H83" s="3" t="s">
        <v>228</v>
      </c>
    </row>
    <row r="84" spans="8:8" ht="15.75" customHeight="1" x14ac:dyDescent="0.25">
      <c r="H84" s="3" t="s">
        <v>229</v>
      </c>
    </row>
    <row r="85" spans="8:8" ht="15.75" customHeight="1" x14ac:dyDescent="0.25">
      <c r="H85" s="3" t="s">
        <v>230</v>
      </c>
    </row>
    <row r="86" spans="8:8" ht="15.75" customHeight="1" x14ac:dyDescent="0.25">
      <c r="H86" s="3" t="s">
        <v>231</v>
      </c>
    </row>
    <row r="87" spans="8:8" ht="15.75" customHeight="1" x14ac:dyDescent="0.25">
      <c r="H87" s="3" t="s">
        <v>232</v>
      </c>
    </row>
    <row r="88" spans="8:8" ht="15.75" customHeight="1" x14ac:dyDescent="0.25">
      <c r="H88" s="3" t="s">
        <v>233</v>
      </c>
    </row>
    <row r="89" spans="8:8" ht="15.75" customHeight="1" x14ac:dyDescent="0.25">
      <c r="H89" s="3" t="s">
        <v>234</v>
      </c>
    </row>
    <row r="90" spans="8:8" ht="15.75" customHeight="1" x14ac:dyDescent="0.25">
      <c r="H90" s="3" t="s">
        <v>235</v>
      </c>
    </row>
    <row r="91" spans="8:8" ht="15.75" customHeight="1" x14ac:dyDescent="0.25">
      <c r="H91" s="3" t="s">
        <v>236</v>
      </c>
    </row>
    <row r="92" spans="8:8" ht="15.75" customHeight="1" x14ac:dyDescent="0.25">
      <c r="H92" s="3" t="s">
        <v>237</v>
      </c>
    </row>
    <row r="93" spans="8:8" ht="15.75" customHeight="1" x14ac:dyDescent="0.25">
      <c r="H93" s="3" t="s">
        <v>238</v>
      </c>
    </row>
    <row r="94" spans="8:8" ht="15.75" customHeight="1" x14ac:dyDescent="0.25">
      <c r="H94" s="3" t="s">
        <v>239</v>
      </c>
    </row>
    <row r="95" spans="8:8" ht="15.75" customHeight="1" x14ac:dyDescent="0.25">
      <c r="H95" s="3" t="s">
        <v>240</v>
      </c>
    </row>
    <row r="96" spans="8:8" ht="15.75" customHeight="1" x14ac:dyDescent="0.25">
      <c r="H96" s="3" t="s">
        <v>241</v>
      </c>
    </row>
    <row r="97" spans="8:8" ht="15.75" customHeight="1" x14ac:dyDescent="0.25">
      <c r="H97" s="3" t="s">
        <v>242</v>
      </c>
    </row>
    <row r="98" spans="8:8" ht="15.75" customHeight="1" x14ac:dyDescent="0.25">
      <c r="H98" s="3" t="s">
        <v>243</v>
      </c>
    </row>
    <row r="99" spans="8:8" ht="15.75" customHeight="1" x14ac:dyDescent="0.25">
      <c r="H99" s="3" t="s">
        <v>244</v>
      </c>
    </row>
    <row r="100" spans="8:8" ht="15.75" customHeight="1" x14ac:dyDescent="0.25">
      <c r="H100" s="3" t="s">
        <v>245</v>
      </c>
    </row>
    <row r="101" spans="8:8" ht="15.75" customHeight="1" x14ac:dyDescent="0.25">
      <c r="H101" s="3" t="s">
        <v>246</v>
      </c>
    </row>
    <row r="102" spans="8:8" ht="15.75" customHeight="1" x14ac:dyDescent="0.25">
      <c r="H102" s="3" t="s">
        <v>247</v>
      </c>
    </row>
    <row r="103" spans="8:8" ht="15.75" customHeight="1" x14ac:dyDescent="0.25">
      <c r="H103" s="3" t="s">
        <v>248</v>
      </c>
    </row>
    <row r="104" spans="8:8" ht="15.75" customHeight="1" x14ac:dyDescent="0.25"/>
    <row r="105" spans="8:8" ht="15.75" customHeight="1" x14ac:dyDescent="0.25"/>
    <row r="106" spans="8:8" ht="15.75" customHeight="1" x14ac:dyDescent="0.25"/>
    <row r="107" spans="8:8" ht="15.75" customHeight="1" x14ac:dyDescent="0.25"/>
    <row r="108" spans="8:8" ht="15.75" customHeight="1" x14ac:dyDescent="0.25"/>
    <row r="109" spans="8:8" ht="15.75" customHeight="1" x14ac:dyDescent="0.25"/>
    <row r="110" spans="8:8" ht="15.75" customHeight="1" x14ac:dyDescent="0.25"/>
    <row r="111" spans="8:8" ht="15.75" customHeight="1" x14ac:dyDescent="0.25"/>
    <row r="112" spans="8:8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Núcleo de Apoio a Projetos da PROINOVA</cp:lastModifiedBy>
  <dcterms:modified xsi:type="dcterms:W3CDTF">2026-07-27T13:49:44Z</dcterms:modified>
</cp:coreProperties>
</file>