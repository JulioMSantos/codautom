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cli\Downloads\"/>
    </mc:Choice>
  </mc:AlternateContent>
  <xr:revisionPtr revIDLastSave="0" documentId="13_ncr:1_{D2E1ABC2-4678-4BB6-9EA0-0F2E06B6EF21}" xr6:coauthVersionLast="36" xr6:coauthVersionMax="36" xr10:uidLastSave="{00000000-0000-0000-0000-000000000000}"/>
  <bookViews>
    <workbookView xWindow="0" yWindow="0" windowWidth="16365" windowHeight="10380" xr2:uid="{00000000-000D-0000-FFFF-FFFF00000000}"/>
  </bookViews>
  <sheets>
    <sheet name="Plano de Trabalho" sheetId="1" r:id="rId1"/>
    <sheet name="Dados" sheetId="2" state="hidden" r:id="rId2"/>
  </sheets>
  <externalReferences>
    <externalReference r:id="rId3"/>
  </externalReferences>
  <calcPr calcId="191029"/>
  <extLst>
    <ext uri="GoogleSheetsCustomDataVersion2">
      <go:sheetsCustomData xmlns:go="http://customooxmlschemas.google.com/" r:id="rId6" roundtripDataChecksum="dJ6kgxnX3a6tZhzDN7LbzuMUSVj/29+98ojG6iTTZmE="/>
    </ext>
  </extLst>
</workbook>
</file>

<file path=xl/calcChain.xml><?xml version="1.0" encoding="utf-8"?>
<calcChain xmlns="http://schemas.openxmlformats.org/spreadsheetml/2006/main">
  <c r="K263" i="1" l="1"/>
  <c r="K259" i="1"/>
  <c r="K492" i="1" l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381" i="1" l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82" i="1" s="1"/>
  <c r="K249" i="1" s="1"/>
  <c r="K247" i="1" s="1"/>
  <c r="I343" i="1"/>
  <c r="J334" i="1"/>
  <c r="K251" i="1"/>
  <c r="K208" i="1"/>
  <c r="K200" i="1"/>
  <c r="K192" i="1"/>
  <c r="K146" i="1"/>
  <c r="K140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4" i="1" s="1"/>
  <c r="L99" i="1"/>
  <c r="L98" i="1"/>
  <c r="L97" i="1"/>
  <c r="L96" i="1"/>
  <c r="G138" i="1" s="1"/>
  <c r="K81" i="1"/>
  <c r="K50" i="1" s="1"/>
  <c r="K79" i="1"/>
  <c r="K73" i="1"/>
  <c r="K261" i="1" l="1"/>
  <c r="K75" i="1"/>
  <c r="K77" i="1" l="1"/>
  <c r="K268" i="1"/>
  <c r="K437" i="1" l="1"/>
  <c r="K460" i="1"/>
  <c r="K447" i="1" l="1"/>
  <c r="K445" i="1" s="1"/>
  <c r="K493" i="1"/>
  <c r="K435" i="1" s="1"/>
  <c r="K433" i="1" s="1"/>
  <c r="K449" i="1" l="1"/>
  <c r="K454" i="1" s="1"/>
  <c r="A3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2" authorId="0" shapeId="0" xr:uid="{7799C1BF-5EDB-4240-A5D6-96B3A737CB10}">
      <text>
        <r>
          <rPr>
            <sz val="11"/>
            <color theme="1"/>
            <rFont val="Calibri"/>
            <family val="2"/>
            <scheme val="minor"/>
          </rPr>
          <t>======
ID#AAAB1mqcq-M
pccli    (2026-02-26 18:52:16)
(Informe o título e registro do projeto de prestação de serviços que aportará recursos no projeto, na forma prevista pelo Art. 14, §3º, III, da Res. 025/2012 da UFSM.)</t>
        </r>
      </text>
    </comment>
    <comment ref="A89" authorId="0" shapeId="0" xr:uid="{8F6CC1BB-750A-4A4A-B40E-E9792E1A2B85}">
      <text>
        <r>
          <rPr>
            <sz val="11"/>
            <color theme="1"/>
            <rFont val="Calibri"/>
            <family val="2"/>
            <scheme val="minor"/>
          </rPr>
          <t>======
ID#AAAB1mqcq94
pccli    (2026-02-26 18:52:16)
(Informe o título e registro do projeto de pesquisa que receberá aportes de recursos, na forma prevista pelo Art. 14, §3º, III, da Res. 025/2012 da UFSM.)</t>
        </r>
      </text>
    </comment>
    <comment ref="D276" authorId="0" shapeId="0" xr:uid="{4C2F6141-9DCE-4A4D-8784-EA0B4938299C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277" authorId="0" shapeId="0" xr:uid="{16D22657-817C-40A5-A5CD-47BCC3B97363}">
      <text>
        <r>
          <rPr>
            <sz val="11"/>
            <color theme="1"/>
            <rFont val="Calibri"/>
            <family val="2"/>
            <scheme val="minor"/>
          </rPr>
          <t>======
ID#AAAB1mqcq9E
pccli    (2026-02-26 18:52:16)
(descreva aqui a fase da meta de execução)</t>
        </r>
      </text>
    </comment>
    <comment ref="D278" authorId="0" shapeId="0" xr:uid="{9A694944-66D9-435D-8E55-70D1CB59B737}">
      <text>
        <r>
          <rPr>
            <sz val="11"/>
            <color theme="1"/>
            <rFont val="Calibri"/>
            <family val="2"/>
            <scheme val="minor"/>
          </rPr>
          <t>======
ID#AAAB1mqcq90
pccli    (2026-02-26 18:52:16)
(descreva aqui a fase da meta de execução)</t>
        </r>
      </text>
    </comment>
    <comment ref="D279" authorId="0" shapeId="0" xr:uid="{082D3A8C-FF73-4421-A968-21AA532053DA}">
      <text>
        <r>
          <rPr>
            <sz val="11"/>
            <color theme="1"/>
            <rFont val="Calibri"/>
            <family val="2"/>
            <scheme val="minor"/>
          </rPr>
          <t>======
ID#AAAB1mqcq-A
pccli    (2026-02-26 18:52:16)
(descreva aqui a fase da meta de execução)</t>
        </r>
      </text>
    </comment>
    <comment ref="D280" authorId="0" shapeId="0" xr:uid="{7F1234EB-F31E-410B-BE44-3C554699EDDB}">
      <text>
        <r>
          <rPr>
            <sz val="11"/>
            <color theme="1"/>
            <rFont val="Calibri"/>
            <family val="2"/>
            <scheme val="minor"/>
          </rPr>
          <t>======
ID#AAAB1mqcq9o
pccli    (2026-02-26 18:52:16)
(descreva aqui a fase da meta de execução)</t>
        </r>
      </text>
    </comment>
    <comment ref="D281" authorId="0" shapeId="0" xr:uid="{627D422C-2B79-456C-B8B4-1BDB4FDCDEF2}">
      <text>
        <r>
          <rPr>
            <sz val="11"/>
            <color theme="1"/>
            <rFont val="Calibri"/>
            <family val="2"/>
            <scheme val="minor"/>
          </rPr>
          <t>======
ID#AAAB1mqcq8s
pccli    (2026-02-26 18:52:16)
(descreva aqui a fase da meta de execução)</t>
        </r>
      </text>
    </comment>
    <comment ref="D282" authorId="0" shapeId="0" xr:uid="{0A82C3B3-0470-48FC-B853-70A9C05782E8}">
      <text>
        <r>
          <rPr>
            <sz val="11"/>
            <color theme="1"/>
            <rFont val="Calibri"/>
            <family val="2"/>
            <scheme val="minor"/>
          </rPr>
          <t>======
ID#AAAB1mqcq9U
pccli    (2026-02-26 18:52:16)
(descreva aqui a fase da meta de execução)</t>
        </r>
      </text>
    </comment>
    <comment ref="D283" authorId="0" shapeId="0" xr:uid="{AFFBB9F1-174B-4BF7-A0DF-E3802D053913}">
      <text>
        <r>
          <rPr>
            <sz val="11"/>
            <color theme="1"/>
            <rFont val="Calibri"/>
            <family val="2"/>
            <scheme val="minor"/>
          </rPr>
          <t>======
ID#AAAB1mIRW0A
pccli    (2026-02-26 18:52:16)
(descreva aqui a fase da meta de execução)</t>
        </r>
      </text>
    </comment>
    <comment ref="D284" authorId="0" shapeId="0" xr:uid="{BF70FB31-88FD-4C9E-9899-72DB9B1DEADB}">
      <text>
        <r>
          <rPr>
            <sz val="11"/>
            <color theme="1"/>
            <rFont val="Calibri"/>
            <family val="2"/>
            <scheme val="minor"/>
          </rPr>
          <t>======
ID#AAAB1mIRWzg
pccli    (2026-02-26 18:52:16)
(descreva aqui a fase da meta de execução)</t>
        </r>
      </text>
    </comment>
    <comment ref="D285" authorId="0" shapeId="0" xr:uid="{8C44B010-8AE0-4251-ADEE-79AA9712B993}">
      <text>
        <r>
          <rPr>
            <sz val="11"/>
            <color theme="1"/>
            <rFont val="Calibri"/>
            <family val="2"/>
            <scheme val="minor"/>
          </rPr>
          <t>======
ID#AAAB1mqcq-E
pccli    (2026-02-26 18:52:16)
(descreva aqui a fase da meta de execução)</t>
        </r>
      </text>
    </comment>
    <comment ref="D286" authorId="0" shapeId="0" xr:uid="{C36AE57F-FCB1-4A37-8496-100D7E69A92D}">
      <text>
        <r>
          <rPr>
            <sz val="11"/>
            <color theme="1"/>
            <rFont val="Calibri"/>
            <family val="2"/>
            <scheme val="minor"/>
          </rPr>
          <t>======
ID#AAAB1mIRWzU
pccli    (2026-02-26 18:52:16)
(descreva aqui a fase da meta de execução)</t>
        </r>
      </text>
    </comment>
    <comment ref="D287" authorId="0" shapeId="0" xr:uid="{21A3C998-CA6F-4A2A-BD00-E12667D4AFAA}">
      <text>
        <r>
          <rPr>
            <sz val="11"/>
            <color theme="1"/>
            <rFont val="Calibri"/>
            <family val="2"/>
            <scheme val="minor"/>
          </rPr>
          <t>======
ID#AAAB1mqcq8k
pccli    (2026-02-26 18:52:16)
(descreva aqui a fase da meta de execução)</t>
        </r>
      </text>
    </comment>
    <comment ref="D288" authorId="0" shapeId="0" xr:uid="{ED8FD1BE-6095-4C53-BC81-73FB0F114B6C}">
      <text>
        <r>
          <rPr>
            <sz val="11"/>
            <color theme="1"/>
            <rFont val="Calibri"/>
            <family val="2"/>
            <scheme val="minor"/>
          </rPr>
          <t>======
ID#AAAB1mqcq9g
pccli    (2026-02-26 18:52:16)
pccli:</t>
        </r>
      </text>
    </comment>
    <comment ref="A349" authorId="0" shapeId="0" xr:uid="{79A2AAAA-78BC-4DC9-B92E-650E8432B303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350" authorId="0" shapeId="0" xr:uid="{BBE3AFEB-A21A-4159-AEBA-272D4307EB13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351" authorId="0" shapeId="0" xr:uid="{FC98F39A-F634-46FA-938B-0B42570060E8}">
      <text>
        <r>
          <rPr>
            <sz val="11"/>
            <color theme="1"/>
            <rFont val="Calibri"/>
            <family val="2"/>
            <scheme val="minor"/>
          </rPr>
          <t>======
ID#AAAB1mIRWzo
pccli    (2026-02-26 18:52:16)
(Aqui descreva o material permanente)</t>
        </r>
      </text>
    </comment>
    <comment ref="A352" authorId="0" shapeId="0" xr:uid="{B3665EDE-96C0-46F5-BF63-F02B5CCD6E09}">
      <text>
        <r>
          <rPr>
            <sz val="11"/>
            <color theme="1"/>
            <rFont val="Calibri"/>
            <family val="2"/>
            <scheme val="minor"/>
          </rPr>
          <t>======
ID#AAAB1mqcq-U
pccli    (2026-02-26 18:52:16)
(Aqui descreva o material permanente)</t>
        </r>
      </text>
    </comment>
    <comment ref="A353" authorId="0" shapeId="0" xr:uid="{530083E6-EA79-432C-ABD2-D53121FFAA21}">
      <text>
        <r>
          <rPr>
            <sz val="11"/>
            <color theme="1"/>
            <rFont val="Calibri"/>
            <family val="2"/>
            <scheme val="minor"/>
          </rPr>
          <t>======
ID#AAAB1mIRWzQ
pccli    (2026-02-26 18:52:16)
(Aqui descreva o material permanente)</t>
        </r>
      </text>
    </comment>
    <comment ref="A354" authorId="0" shapeId="0" xr:uid="{BAEA2780-B58E-4534-B681-473E6856FDC0}">
      <text>
        <r>
          <rPr>
            <sz val="11"/>
            <color theme="1"/>
            <rFont val="Calibri"/>
            <family val="2"/>
            <scheme val="minor"/>
          </rPr>
          <t>======
ID#AAAB1mIRWy0
pccli    (2026-02-26 18:52:16)
(Aqui descreva o material permanente)</t>
        </r>
      </text>
    </comment>
    <comment ref="A355" authorId="0" shapeId="0" xr:uid="{E569D016-4734-4DC5-9431-75E1658052D1}">
      <text>
        <r>
          <rPr>
            <sz val="11"/>
            <color theme="1"/>
            <rFont val="Calibri"/>
            <family val="2"/>
            <scheme val="minor"/>
          </rPr>
          <t>======
ID#AAAB1mIRWzY
pccli    (2026-02-26 18:52:16)
(Aqui descreva o material permanente)</t>
        </r>
      </text>
    </comment>
    <comment ref="A356" authorId="0" shapeId="0" xr:uid="{4F19E485-AB31-40F0-BAA0-AFC29B3AFA15}">
      <text>
        <r>
          <rPr>
            <sz val="11"/>
            <color theme="1"/>
            <rFont val="Calibri"/>
            <family val="2"/>
            <scheme val="minor"/>
          </rPr>
          <t>======
ID#AAAB1mIRWz8
pccli    (2026-02-26 18:52:16)
(Aqui descreva o material permanente)</t>
        </r>
      </text>
    </comment>
    <comment ref="A357" authorId="0" shapeId="0" xr:uid="{1DBA1278-7958-41E5-8BC4-F3EF232126C6}">
      <text>
        <r>
          <rPr>
            <sz val="11"/>
            <color theme="1"/>
            <rFont val="Calibri"/>
            <family val="2"/>
            <scheme val="minor"/>
          </rPr>
          <t>======
ID#AAAB1mqcq9M
pccli    (2026-02-26 18:52:16)
(Aqui descreva o material permanente)</t>
        </r>
      </text>
    </comment>
    <comment ref="A358" authorId="0" shapeId="0" xr:uid="{FA4B605C-1DF6-4C43-B2B4-2E2100F4ECFF}">
      <text>
        <r>
          <rPr>
            <sz val="11"/>
            <color theme="1"/>
            <rFont val="Calibri"/>
            <family val="2"/>
            <scheme val="minor"/>
          </rPr>
          <t>======
ID#AAAB1mqcq8o
pccli    (2026-02-26 18:52:16)
(Aqui descreva o material permanente)</t>
        </r>
      </text>
    </comment>
    <comment ref="A359" authorId="0" shapeId="0" xr:uid="{3147C9FE-0C0A-4C81-AF6E-39F137774F55}">
      <text>
        <r>
          <rPr>
            <sz val="11"/>
            <color theme="1"/>
            <rFont val="Calibri"/>
            <family val="2"/>
            <scheme val="minor"/>
          </rPr>
          <t>======
ID#AAAB1mIRWzk
pccli    (2026-02-26 18:52:16)
(Aqui descreva o material permanente)</t>
        </r>
      </text>
    </comment>
    <comment ref="A360" authorId="0" shapeId="0" xr:uid="{C483718B-E6A9-4FAF-9297-E4BCB83C5254}">
      <text>
        <r>
          <rPr>
            <sz val="11"/>
            <color theme="1"/>
            <rFont val="Calibri"/>
            <family val="2"/>
            <scheme val="minor"/>
          </rPr>
          <t>======
ID#AAAB1mIRWz4
pccli    (2026-02-26 18:52:16)
(Aqui descreva o material permanente)</t>
        </r>
      </text>
    </comment>
    <comment ref="A361" authorId="0" shapeId="0" xr:uid="{EF9E8881-F5BD-463B-8844-3643FC039B3C}">
      <text>
        <r>
          <rPr>
            <sz val="11"/>
            <color theme="1"/>
            <rFont val="Calibri"/>
            <family val="2"/>
            <scheme val="minor"/>
          </rPr>
          <t>======
ID#AAAB1mIRWzA
pccli    (2026-02-26 18:52:16)
(Aqui descreva o material permanente)</t>
        </r>
      </text>
    </comment>
    <comment ref="A362" authorId="0" shapeId="0" xr:uid="{BCCD23FD-8A0E-4F99-A950-BD55EB7FB23F}">
      <text>
        <r>
          <rPr>
            <sz val="11"/>
            <color theme="1"/>
            <rFont val="Calibri"/>
            <family val="2"/>
            <scheme val="minor"/>
          </rPr>
          <t>======
ID#AAAB1mqcq-Q
pccli    (2026-02-26 18:52:16)
(Aqui descreva o material permanente)</t>
        </r>
      </text>
    </comment>
    <comment ref="A363" authorId="0" shapeId="0" xr:uid="{CBCDC49C-EF0D-4D2D-BFD1-54D74F988DFF}">
      <text>
        <r>
          <rPr>
            <sz val="11"/>
            <color theme="1"/>
            <rFont val="Calibri"/>
            <family val="2"/>
            <scheme val="minor"/>
          </rPr>
          <t>======
ID#AAAB1mqcq80
pccli    (2026-02-26 18:52:16)
(Aqui descreva o material permanente)</t>
        </r>
      </text>
    </comment>
    <comment ref="A364" authorId="0" shapeId="0" xr:uid="{F1256DCC-73D5-4B68-BF3E-C5B1AD0FAC8B}">
      <text>
        <r>
          <rPr>
            <sz val="11"/>
            <color theme="1"/>
            <rFont val="Calibri"/>
            <family val="2"/>
            <scheme val="minor"/>
          </rPr>
          <t>======
ID#AAAB1mIRW0E
pccli    (2026-02-26 18:52:16)
(Aqui descreva o material permanente)</t>
        </r>
      </text>
    </comment>
    <comment ref="A365" authorId="0" shapeId="0" xr:uid="{36247137-13E8-4858-A792-93F122951D16}">
      <text>
        <r>
          <rPr>
            <sz val="11"/>
            <color theme="1"/>
            <rFont val="Calibri"/>
            <family val="2"/>
            <scheme val="minor"/>
          </rPr>
          <t>======
ID#AAAB1mIRWzM
pccli    (2026-02-26 18:52:16)
(Aqui descreva o material permanente)</t>
        </r>
      </text>
    </comment>
    <comment ref="A366" authorId="0" shapeId="0" xr:uid="{9E34EC1F-C4BD-4A0F-B7E0-E65E41588921}">
      <text>
        <r>
          <rPr>
            <sz val="11"/>
            <color theme="1"/>
            <rFont val="Calibri"/>
            <family val="2"/>
            <scheme val="minor"/>
          </rPr>
          <t>======
ID#AAAB1mqcq9A
pccli    (2026-02-26 18:52:16)
(Aqui descreva o material permanente)</t>
        </r>
      </text>
    </comment>
    <comment ref="A367" authorId="0" shapeId="0" xr:uid="{7F0E68C1-356C-4378-88C0-2019ACB92C86}">
      <text>
        <r>
          <rPr>
            <sz val="11"/>
            <color theme="1"/>
            <rFont val="Calibri"/>
            <family val="2"/>
            <scheme val="minor"/>
          </rPr>
          <t>======
ID#AAAB1mqcq9I
pccli    (2026-02-26 18:52:16)
(Aqui descreva o material permanente)</t>
        </r>
      </text>
    </comment>
    <comment ref="A368" authorId="0" shapeId="0" xr:uid="{C17507D1-E0BE-459E-A8CA-129BA790AB15}">
      <text>
        <r>
          <rPr>
            <sz val="11"/>
            <color theme="1"/>
            <rFont val="Calibri"/>
            <family val="2"/>
            <scheme val="minor"/>
          </rPr>
          <t>======
ID#AAAB1mqcq9Q
pccli    (2026-02-26 18:52:16)
(Aqui descreva o material permanente)</t>
        </r>
      </text>
    </comment>
    <comment ref="A369" authorId="0" shapeId="0" xr:uid="{0971AEA3-7C2F-4226-A06A-4021AFB6A07F}">
      <text>
        <r>
          <rPr>
            <sz val="11"/>
            <color theme="1"/>
            <rFont val="Calibri"/>
            <family val="2"/>
            <scheme val="minor"/>
          </rPr>
          <t>======
ID#AAAB1mqcq9w
pccli    (2026-02-26 18:52:16)
(Aqui descreva o material permanente)</t>
        </r>
      </text>
    </comment>
    <comment ref="A370" authorId="0" shapeId="0" xr:uid="{3ECF8B21-E6E7-4442-9EA7-D50749594970}">
      <text>
        <r>
          <rPr>
            <sz val="11"/>
            <color theme="1"/>
            <rFont val="Calibri"/>
            <family val="2"/>
            <scheme val="minor"/>
          </rPr>
          <t>======
ID#AAAB1mIRWzE
pccli    (2026-02-26 18:52:16)
(Aqui descreva o material permanente)</t>
        </r>
      </text>
    </comment>
    <comment ref="A371" authorId="0" shapeId="0" xr:uid="{CBC56CCE-FBEF-4805-A828-2791974D6F12}">
      <text>
        <r>
          <rPr>
            <sz val="11"/>
            <color theme="1"/>
            <rFont val="Calibri"/>
            <family val="2"/>
            <scheme val="minor"/>
          </rPr>
          <t>======
ID#AAAB1mIRWzI
pccli    (2026-02-26 18:52:16)
(Aqui descreva o material permanente)</t>
        </r>
      </text>
    </comment>
    <comment ref="A372" authorId="0" shapeId="0" xr:uid="{744A3410-0D9F-4365-8FA8-DAC49679C957}">
      <text>
        <r>
          <rPr>
            <sz val="11"/>
            <color theme="1"/>
            <rFont val="Calibri"/>
            <family val="2"/>
            <scheme val="minor"/>
          </rPr>
          <t>======
ID#AAAB1mIRWyw
pccli    (2026-02-26 18:52:16)
(Aqui descreva o material permanente)</t>
        </r>
      </text>
    </comment>
    <comment ref="A373" authorId="0" shapeId="0" xr:uid="{71B3E08C-0E73-4EC4-BB32-429DFBD3EF12}">
      <text>
        <r>
          <rPr>
            <sz val="11"/>
            <color theme="1"/>
            <rFont val="Calibri"/>
            <family val="2"/>
            <scheme val="minor"/>
          </rPr>
          <t>======
ID#AAAB1mIRWy4
pccli    (2026-02-26 18:52:16)
(Aqui descreva o material permanente)</t>
        </r>
      </text>
    </comment>
    <comment ref="A374" authorId="0" shapeId="0" xr:uid="{C347B155-D66A-4E6E-AAAF-23F5A6EE1CFE}">
      <text>
        <r>
          <rPr>
            <sz val="11"/>
            <color theme="1"/>
            <rFont val="Calibri"/>
            <family val="2"/>
            <scheme val="minor"/>
          </rPr>
          <t>======
ID#AAAB1mIRWzs
pccli    (2026-02-26 18:52:16)
(Aqui descreva o material permanente)</t>
        </r>
      </text>
    </comment>
    <comment ref="A375" authorId="0" shapeId="0" xr:uid="{1201D5B0-4BB7-45D0-908D-02A20B0D5F2F}">
      <text>
        <r>
          <rPr>
            <sz val="11"/>
            <color theme="1"/>
            <rFont val="Calibri"/>
            <family val="2"/>
            <scheme val="minor"/>
          </rPr>
          <t>======
ID#AAAB1mIRWy8
pccli    (2026-02-26 18:52:16)
(Aqui descreva o material permanente)</t>
        </r>
      </text>
    </comment>
    <comment ref="A376" authorId="0" shapeId="0" xr:uid="{3414E7DB-BCD5-4900-A53F-5343D0B5FD70}">
      <text>
        <r>
          <rPr>
            <sz val="11"/>
            <color theme="1"/>
            <rFont val="Calibri"/>
            <family val="2"/>
            <scheme val="minor"/>
          </rPr>
          <t>======
ID#AAAB1mqcq9Y
pccli    (2026-02-26 18:52:16)
(Aqui descreva o material permanente)</t>
        </r>
      </text>
    </comment>
    <comment ref="A377" authorId="0" shapeId="0" xr:uid="{8BA01996-F694-48F9-B3B0-B435E4DA6D36}">
      <text>
        <r>
          <rPr>
            <sz val="11"/>
            <color theme="1"/>
            <rFont val="Calibri"/>
            <family val="2"/>
            <scheme val="minor"/>
          </rPr>
          <t>======
ID#AAAB1mIRWzc
pccli    (2026-02-26 18:52:16)
(Aqui descreva o material permanente)</t>
        </r>
      </text>
    </comment>
    <comment ref="A378" authorId="0" shapeId="0" xr:uid="{FE98D67D-23B4-453B-B0A1-2EA47038425F}">
      <text>
        <r>
          <rPr>
            <sz val="11"/>
            <color theme="1"/>
            <rFont val="Calibri"/>
            <family val="2"/>
            <scheme val="minor"/>
          </rPr>
          <t>======
ID#AAAB1mqcq88
pccli    (2026-02-26 18:52:16)
(Aqui descreva o material permanente)</t>
        </r>
      </text>
    </comment>
    <comment ref="A379" authorId="0" shapeId="0" xr:uid="{64B11239-82E2-4B1E-B274-5E0647A3BA03}">
      <text>
        <r>
          <rPr>
            <sz val="11"/>
            <color theme="1"/>
            <rFont val="Calibri"/>
            <family val="2"/>
            <scheme val="minor"/>
          </rPr>
          <t>======
ID#AAAB1mqcq98
pccli    (2026-02-26 18:52:16)
(Aqui descreva o material permanente)</t>
        </r>
      </text>
    </comment>
    <comment ref="A380" authorId="0" shapeId="0" xr:uid="{3CCC329D-973B-4057-BCD5-20A451D0FC53}">
      <text>
        <r>
          <rPr>
            <sz val="11"/>
            <color theme="1"/>
            <rFont val="Calibri"/>
            <family val="2"/>
            <scheme val="minor"/>
          </rPr>
          <t>======
ID#AAAB1mqcq9s
pccli    (2026-02-26 18:52:16)
(Aqui descreva o material permanente)</t>
        </r>
      </text>
    </comment>
    <comment ref="A460" authorId="0" shapeId="0" xr:uid="{BEAA647B-707F-4B65-9BCB-1B7D9929B18D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1" authorId="0" shapeId="0" xr:uid="{48F9938C-0FA3-4325-970E-DA92FF242E9A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2" authorId="0" shapeId="0" xr:uid="{377CCA9D-8B0F-428D-83AC-0D4DFCDDD9EA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3" authorId="0" shapeId="0" xr:uid="{FFF095FA-3F6A-4EFE-BF1A-C0D1CDEDDC6D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4" authorId="0" shapeId="0" xr:uid="{51F4D4D0-538A-4927-9B8B-8005B40014B8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5" authorId="0" shapeId="0" xr:uid="{DBEC30A4-7421-4B12-A194-058EDF2924FE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6" authorId="0" shapeId="0" xr:uid="{C9116B49-BAAC-4ABC-B64C-BDCF85A4958F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7" authorId="0" shapeId="0" xr:uid="{F8A3C18C-48F4-4D84-9867-DF2A59421BFE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8" authorId="0" shapeId="0" xr:uid="{55F2F5E2-FB74-401F-A034-6C92EEC71CE3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9" authorId="0" shapeId="0" xr:uid="{E9198036-D5C5-4F1C-B857-5F3C0346A4E4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70" authorId="0" shapeId="0" xr:uid="{FD53D1BB-AA4D-4DDF-AE7A-65511384F8F9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71" authorId="0" shapeId="0" xr:uid="{B9ABEA58-2B6B-4424-8C15-96C2126A8F0B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72" authorId="0" shapeId="0" xr:uid="{D821578F-F286-4D3C-81CD-CE8A7416D0D4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73" authorId="0" shapeId="0" xr:uid="{5BDEF61D-EFAD-4204-B4C2-06DCB7AD397F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74" authorId="0" shapeId="0" xr:uid="{8DF4CCB4-031B-4854-9639-7F896B24519C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75" authorId="0" shapeId="0" xr:uid="{5B678D33-532F-4DA2-B80E-020611391DB0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76" authorId="0" shapeId="0" xr:uid="{EE1ACE08-771E-4A03-B981-BACF538B0EE0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77" authorId="0" shapeId="0" xr:uid="{E893A79B-26DD-49C2-AEF5-917570E65152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78" authorId="0" shapeId="0" xr:uid="{FD440BBB-E312-44FC-B18F-C3F0CA48347F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79" authorId="0" shapeId="0" xr:uid="{C3C51AB2-ACC7-4FF0-A4B1-53B341293CB8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80" authorId="0" shapeId="0" xr:uid="{60FCE750-5590-4A81-AF92-46F2D05A46ED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81" authorId="0" shapeId="0" xr:uid="{7496B9AA-EA86-4501-ACE8-941929199AB6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82" authorId="0" shapeId="0" xr:uid="{AE807146-672F-4500-87DE-E9998A78B51E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83" authorId="0" shapeId="0" xr:uid="{08044811-5A64-4E64-8AC7-6E459F851E5B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84" authorId="0" shapeId="0" xr:uid="{D1D62CD0-875B-4926-B21E-8B7ADEA9E18B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85" authorId="0" shapeId="0" xr:uid="{19566826-1CA1-44E4-B37F-B952E9349121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86" authorId="0" shapeId="0" xr:uid="{B8EB8BBB-9E24-4B4F-B477-3D68DED0267E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87" authorId="0" shapeId="0" xr:uid="{F0C1A453-3B89-4307-B086-4AA55B37E34E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88" authorId="0" shapeId="0" xr:uid="{0F174DC8-691D-4DF5-AA60-251F58FD7806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89" authorId="0" shapeId="0" xr:uid="{0B5F2475-EEA3-4042-BBFF-655A6BBFC596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90" authorId="0" shapeId="0" xr:uid="{95BEAE63-CFC6-4E2C-A73F-9E668D4F3661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91" authorId="0" shapeId="0" xr:uid="{3F12F10C-78B0-4141-8B04-342B7AD0E54D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92" authorId="0" shapeId="0" xr:uid="{43DC2BD6-9FD5-4631-AAAF-820B3B0B8C04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</commentList>
</comments>
</file>

<file path=xl/sharedStrings.xml><?xml version="1.0" encoding="utf-8"?>
<sst xmlns="http://schemas.openxmlformats.org/spreadsheetml/2006/main" count="646" uniqueCount="458">
  <si>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</si>
  <si>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</si>
  <si>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</si>
  <si>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</si>
  <si>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</si>
  <si>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</si>
  <si>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</si>
  <si>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</si>
  <si>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</si>
  <si>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</si>
  <si>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</si>
  <si>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 xml:space="preserve"> FUNÇÃO: REITORA</t>
  </si>
  <si>
    <t>MATRÍCULA NO SIAPE: 379536</t>
  </si>
  <si>
    <t>1.2- FUNDAÇÃO</t>
  </si>
  <si>
    <t>ESF. ADMINISTRATIVA: PRIVADA</t>
  </si>
  <si>
    <t>FUNÇÃO: DIRETOR PRESIDENTE</t>
  </si>
  <si>
    <t xml:space="preserve">2 - DADOS DO PROJETO </t>
  </si>
  <si>
    <t>2.1.2 - INÍCIO</t>
  </si>
  <si>
    <t>A PARTIR DA ASSINATURA DO CONTRATO</t>
  </si>
  <si>
    <t>2.1.4 - COORDENADOR</t>
  </si>
  <si>
    <t>2.1.5 - FISCAL</t>
  </si>
  <si>
    <t>2.1.8 - CLASSIFICAÇÃO DO PROJETO</t>
  </si>
  <si>
    <t>Selecione o enquadramento do projeto</t>
  </si>
  <si>
    <t>VALOR</t>
  </si>
  <si>
    <t>INÍCIO</t>
  </si>
  <si>
    <t>TÉRMINO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</si>
  <si>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</si>
  <si>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</si>
  <si>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</si>
  <si>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</si>
  <si>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</si>
  <si>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</si>
  <si>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</si>
  <si>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</si>
  <si>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</si>
  <si>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</si>
  <si>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</si>
  <si>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</si>
  <si>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</si>
  <si>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</si>
  <si>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</si>
  <si>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</si>
  <si>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</si>
  <si>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</si>
  <si>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</si>
  <si>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</si>
  <si>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</si>
  <si>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</si>
  <si>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</si>
  <si>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</si>
  <si>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</si>
  <si>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</si>
  <si>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</si>
  <si>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</si>
  <si>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</si>
  <si>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</si>
  <si>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</si>
  <si>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</si>
  <si>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</si>
  <si>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</si>
  <si>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</si>
  <si>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</si>
  <si>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</si>
  <si>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</si>
  <si>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</si>
  <si>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</si>
  <si>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</si>
  <si>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</si>
  <si>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</si>
  <si>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</si>
  <si>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</si>
  <si>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</si>
  <si>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</si>
  <si>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</si>
  <si>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</si>
  <si>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</si>
  <si>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</si>
  <si>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</si>
  <si>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</si>
  <si>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</si>
  <si>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</si>
  <si>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</si>
  <si>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</si>
  <si>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</si>
  <si>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</si>
  <si>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</si>
  <si>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</si>
  <si>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</si>
  <si>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</si>
  <si>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</si>
  <si>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</si>
  <si>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</si>
  <si>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</si>
  <si>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</si>
  <si>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</si>
  <si>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</si>
  <si>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</si>
  <si>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</si>
  <si>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</si>
  <si>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</si>
  <si>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</si>
  <si>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</si>
  <si>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</si>
  <si>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</si>
  <si>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</si>
  <si>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</si>
  <si>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</si>
  <si>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</si>
  <si>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</si>
  <si>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</si>
  <si>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</si>
  <si>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</si>
  <si>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</si>
  <si>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</si>
  <si>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</si>
  <si>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</si>
  <si>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</si>
  <si>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</si>
  <si>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</si>
  <si>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</si>
  <si>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</si>
  <si>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</si>
  <si>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</si>
  <si>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</si>
  <si>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</si>
  <si>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</si>
  <si>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</si>
  <si>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</si>
  <si>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</si>
  <si>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</si>
  <si>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</si>
  <si>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</si>
  <si>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</si>
  <si>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</si>
  <si>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</si>
  <si>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</si>
  <si>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</si>
  <si>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</si>
  <si>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</si>
  <si>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</si>
  <si>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</si>
  <si>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</si>
  <si>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</si>
  <si>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</si>
  <si>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</si>
  <si>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</si>
  <si>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</si>
  <si>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</si>
  <si>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</si>
  <si>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</si>
  <si>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</si>
  <si>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</si>
  <si>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</si>
  <si>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</si>
  <si>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</si>
  <si>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</si>
  <si>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</si>
  <si>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</si>
  <si>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</si>
  <si>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</si>
  <si>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</si>
  <si>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</si>
  <si>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</si>
  <si>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</si>
  <si>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</si>
  <si>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</si>
  <si>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</si>
  <si>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</si>
  <si>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</si>
  <si>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</si>
  <si>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</si>
  <si>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</si>
  <si>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</si>
  <si>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</si>
  <si>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</si>
  <si>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</si>
  <si>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</si>
  <si>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</si>
  <si>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</si>
  <si>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</si>
  <si>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</si>
  <si>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</si>
  <si>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</si>
  <si>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</si>
  <si>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</si>
  <si>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</si>
  <si>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</si>
  <si>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</si>
  <si>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</si>
  <si>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</si>
  <si>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</si>
  <si>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</si>
  <si>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</si>
  <si>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</si>
  <si>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</si>
  <si>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</si>
  <si>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</si>
  <si>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</si>
  <si>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</si>
  <si>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</si>
  <si>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</si>
  <si>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</si>
  <si>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</si>
  <si>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</si>
  <si>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</si>
  <si>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</si>
  <si>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</si>
  <si>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</si>
  <si>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</si>
  <si>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</si>
  <si>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</si>
  <si>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</si>
  <si>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</si>
  <si>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</si>
  <si>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</si>
  <si>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</si>
  <si>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</si>
  <si>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</si>
  <si>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</si>
  <si>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</si>
  <si>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</si>
  <si>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</si>
  <si>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</si>
  <si>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</si>
  <si>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</si>
  <si>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</si>
  <si>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</si>
  <si>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</si>
  <si>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</si>
  <si>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</si>
  <si>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</si>
  <si>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</si>
  <si>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</si>
  <si>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</si>
  <si>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</si>
  <si>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</si>
  <si>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</si>
  <si>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</si>
  <si>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</si>
  <si>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</si>
  <si>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</si>
  <si>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</si>
  <si>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</si>
  <si>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</si>
  <si>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</si>
  <si>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</si>
  <si>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</si>
  <si>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</si>
  <si>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</si>
  <si>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 xml:space="preserve">2.1.1 - TÍTULO </t>
  </si>
  <si>
    <t>2.1.1 - TÉRMINO</t>
  </si>
  <si>
    <t xml:space="preserve">2.1.7 - N° DE REGISTRO </t>
  </si>
  <si>
    <t>2.1.9 - INSTRUMENTO JURÍDICO</t>
  </si>
  <si>
    <t>SIAPE</t>
  </si>
  <si>
    <t>2.1.6 - COORDENADOR ADM</t>
  </si>
  <si>
    <t>SIAPE RESPONSÁVEL</t>
  </si>
  <si>
    <t xml:space="preserve">RESPONSÁVEL </t>
  </si>
  <si>
    <t>UNIDADE/PRÓ-REITORIA</t>
  </si>
  <si>
    <t>DEPARTAMENTO/ÓRGÃO/SETOR</t>
  </si>
  <si>
    <t>NOME LABORATÓRIO/INFRAESTRUTURA</t>
  </si>
  <si>
    <t>META</t>
  </si>
  <si>
    <t>FASES</t>
  </si>
  <si>
    <t>DESCRIÇÃO</t>
  </si>
  <si>
    <t>PERÍODO</t>
  </si>
  <si>
    <t>Não utilize datas específicas. Apenas com a quantidade de meses a partir da formalização e de acordo com a duração do projeto. Exemplo: Início mês 1; Término mês 3;</t>
  </si>
  <si>
    <t>(descreva aqui a fase da meta de execução)</t>
  </si>
  <si>
    <t>Descrição das atividades de cada membro da equipe relacionando com a meta/fase do projeto:</t>
  </si>
  <si>
    <t>Nome</t>
  </si>
  <si>
    <t>(descreva as atividades por meta/fase)</t>
  </si>
  <si>
    <r>
      <rPr>
        <b/>
        <sz val="14"/>
        <color rgb="FFFFFF00"/>
        <rFont val="Calibri"/>
        <family val="2"/>
      </rPr>
      <t xml:space="preserve">ESCOLHA APENAS UMA DAS OPÇÕES </t>
    </r>
    <r>
      <rPr>
        <b/>
        <sz val="14"/>
        <color rgb="FFFFFFFF"/>
        <rFont val="Calibri"/>
        <family val="2"/>
      </rPr>
      <t xml:space="preserve">DE PERÍODO DE REMBOLSO ABAIXO: </t>
    </r>
  </si>
  <si>
    <t>MENSAL OU SEMESTRAL OU ANUAL</t>
  </si>
  <si>
    <t>SEMESTRAL</t>
  </si>
  <si>
    <t>MÊS</t>
  </si>
  <si>
    <t>ANO</t>
  </si>
  <si>
    <t>SEMESTRE</t>
  </si>
  <si>
    <t>1º ANO</t>
  </si>
  <si>
    <t>1º Semestre</t>
  </si>
  <si>
    <t>2º Semestre</t>
  </si>
  <si>
    <t>2º ANO</t>
  </si>
  <si>
    <t>3º ANO</t>
  </si>
  <si>
    <t>4º ANO</t>
  </si>
  <si>
    <t>5º ANO</t>
  </si>
  <si>
    <t>TOTAL</t>
  </si>
  <si>
    <t>ANUAL</t>
  </si>
  <si>
    <t>ANO 1</t>
  </si>
  <si>
    <t>ANO 2</t>
  </si>
  <si>
    <t>ANO 3</t>
  </si>
  <si>
    <t>ANO 4</t>
  </si>
  <si>
    <t>ANO 5</t>
  </si>
  <si>
    <t>ESPECIFICAÇÃO DOS RECURSOS FINANCEIROS PROVENIENTES:</t>
  </si>
  <si>
    <t xml:space="preserve">de investimento em pesquisa, previsto no projeto de prestação de serviços abaixo:   </t>
  </si>
  <si>
    <t>(Informe o título e registro do projeto de prestação de serviços que aportará recursos no projeto, na forma prevista pelo Art. 14, §3º, III, da Res. 025/2012 da UFSM.)</t>
  </si>
  <si>
    <t>do repasse de terceiros, interessados em resultados da pesquisa</t>
  </si>
  <si>
    <t>do pagamento de clientes, pelos serviços oferecidos pelo projeto</t>
  </si>
  <si>
    <t>da venda de subprodutos decorrentes de atividades práticas
acadêmicas da UFSM</t>
  </si>
  <si>
    <t>da venda de produtos produzidos através do próprio projeto</t>
  </si>
  <si>
    <t>de patrocínios e taxas de inscrição em evento(s)</t>
  </si>
  <si>
    <t>de investimento de recursos próprios, através do orçamento da UFSM</t>
  </si>
  <si>
    <t>do repasse de outras fontes de recursos orçamentários da União (TED)</t>
  </si>
  <si>
    <t>ESPECIFICAÇÃO</t>
  </si>
  <si>
    <t>DESPESAS DE CUSTEIO</t>
  </si>
  <si>
    <t>DESPESAS DE CAPITAL</t>
  </si>
  <si>
    <t>RESSARCIMENTO INFRAESTRUTURA UFSM (5% a 8% CUSTEIO)</t>
  </si>
  <si>
    <t xml:space="preserve">DESPESAS OPERACIONAIS FUNDAÇÃO </t>
  </si>
  <si>
    <t>Diárias no país</t>
  </si>
  <si>
    <t>Diárias no exterior</t>
  </si>
  <si>
    <t>Auxílio para desenvolvimento de estudos e pesquisas</t>
  </si>
  <si>
    <t>Diárias a colaboradores eventuais no país</t>
  </si>
  <si>
    <t>Assinaturas de periódicos e anuidades</t>
  </si>
  <si>
    <t>Direitos autorais</t>
  </si>
  <si>
    <t>Serviços técnicos profissionais</t>
  </si>
  <si>
    <t>Manutenção de software</t>
  </si>
  <si>
    <t>Locação de imóveis</t>
  </si>
  <si>
    <t>Locação de softwares</t>
  </si>
  <si>
    <t>Locação de máquinas e equipamentos</t>
  </si>
  <si>
    <t xml:space="preserve">Locação de bens. Mov. Out. naturezas e intangíveis 
</t>
  </si>
  <si>
    <t>Manutenção e conservação de bens imóveis</t>
  </si>
  <si>
    <t>Manutenção e conservação de máquinas e equipamentos</t>
  </si>
  <si>
    <t>Serviço de estacionamento de veículos</t>
  </si>
  <si>
    <t>Manutenção e conservação de veículos</t>
  </si>
  <si>
    <t>Exposições, congressos e conferências</t>
  </si>
  <si>
    <t>Confecção de uniformes</t>
  </si>
  <si>
    <t>Desenvolvimento de software</t>
  </si>
  <si>
    <t>Suporte de infraestrutura de TI</t>
  </si>
  <si>
    <t>Suporte a usuários de TI</t>
  </si>
  <si>
    <t>Hospedagem de sistemas</t>
  </si>
  <si>
    <t>Locação de equipamentos de processamento de dados</t>
  </si>
  <si>
    <t>Fornecimento de alimentação</t>
  </si>
  <si>
    <t>Serviços de energia elétrica</t>
  </si>
  <si>
    <t>Serviços de água e esgoto</t>
  </si>
  <si>
    <t>Serviços de comunicação em geral</t>
  </si>
  <si>
    <t>Serviços médico-hospitalar, odontológicos e laboratoriais</t>
  </si>
  <si>
    <t>Serviços de análises e pesquisas científicas</t>
  </si>
  <si>
    <t>Serviços de tecnologia da informação</t>
  </si>
  <si>
    <t>Serviços de telecomunicações</t>
  </si>
  <si>
    <t>Serviços de áudio, vídeo e foto</t>
  </si>
  <si>
    <t>Serviços de produção industrial</t>
  </si>
  <si>
    <t>Serviços gráficos e editoriais</t>
  </si>
  <si>
    <t>Seguros em geral</t>
  </si>
  <si>
    <t>Confecção de material de acondicionamento e embalagem</t>
  </si>
  <si>
    <t>Vale-transporte</t>
  </si>
  <si>
    <t>Fretes e transportes de encomendas</t>
  </si>
  <si>
    <t>Serviço de apoio administrativo, técnico e operacional</t>
  </si>
  <si>
    <t>Hospedagens</t>
  </si>
  <si>
    <t>Serviços de cópias e reprodução de documentos</t>
  </si>
  <si>
    <t>Serviços de publicidade legal</t>
  </si>
  <si>
    <t>Aquisição de softwares sob encomenda</t>
  </si>
  <si>
    <t>Manutenção e conservação de equip. de processamento de dados</t>
  </si>
  <si>
    <t>Comunicação de dados</t>
  </si>
  <si>
    <t>Testes e confecções de placas relacionados ao objeto do projeto</t>
  </si>
  <si>
    <t>Outros serviços de terceiros pessoa jurídica</t>
  </si>
  <si>
    <t>Serviços de limpeza e conservação</t>
  </si>
  <si>
    <t>Serviços de apoio administrativo, técnico e operacional</t>
  </si>
  <si>
    <t>Obrigações Tributárias e Contributivas (cota patronal 20%)</t>
  </si>
  <si>
    <t>Passagens para o país</t>
  </si>
  <si>
    <t>Passagens para o exterior</t>
  </si>
  <si>
    <t>Locação de meios de transportes</t>
  </si>
  <si>
    <t>Locomoção urbana</t>
  </si>
  <si>
    <t>Outras despesas com locomoção</t>
  </si>
  <si>
    <t>Combustíveis e lubrificantes automotivos</t>
  </si>
  <si>
    <t>Gás e outros materiais engarrafados</t>
  </si>
  <si>
    <t>Alimentos para animais</t>
  </si>
  <si>
    <t>Gêneros de alimentação</t>
  </si>
  <si>
    <t>Animais para pesquisa e abate</t>
  </si>
  <si>
    <t>Material farmacológico</t>
  </si>
  <si>
    <t>Material odontológico</t>
  </si>
  <si>
    <t>Material químico</t>
  </si>
  <si>
    <t>Material educativo e esportivo</t>
  </si>
  <si>
    <t>Material de expediente</t>
  </si>
  <si>
    <t>Material de processamento de dados</t>
  </si>
  <si>
    <t>Materiais e medicamentos para uso veterinário</t>
  </si>
  <si>
    <t>Material de acondicionamento e embalagem</t>
  </si>
  <si>
    <t>Material de copa e cozinha</t>
  </si>
  <si>
    <t>Material de limpeza e produtos de higienização</t>
  </si>
  <si>
    <t>Uniformes, tecidos e aviamentos</t>
  </si>
  <si>
    <t>Material para manutenção de bens imóveis/instalações</t>
  </si>
  <si>
    <t>Material para manutenção de bens móveis</t>
  </si>
  <si>
    <t>Material elétrico e eletrônico</t>
  </si>
  <si>
    <t>Material de proteção e segurança</t>
  </si>
  <si>
    <t>Material para áudio, vídeo e foto</t>
  </si>
  <si>
    <t>Material para comunicações</t>
  </si>
  <si>
    <t>Sementes, mudas de plantas e insumos</t>
  </si>
  <si>
    <t>Material para produção industrial</t>
  </si>
  <si>
    <t>Material laboratorial</t>
  </si>
  <si>
    <t>Material hospitalar</t>
  </si>
  <si>
    <t>Material para manutenção de veículos</t>
  </si>
  <si>
    <t>Material biológico</t>
  </si>
  <si>
    <t>Material para utilização em gráfica</t>
  </si>
  <si>
    <t>Ferramentas</t>
  </si>
  <si>
    <t>Material de sinalização visual e outros</t>
  </si>
  <si>
    <t>Material bibliográfico</t>
  </si>
  <si>
    <t>Aquisição de software - produto</t>
  </si>
  <si>
    <t>Material para divulgação</t>
  </si>
  <si>
    <t>Materiais de Consumo para utilização no laboratório</t>
  </si>
  <si>
    <t>Outros Materiais de Consumo</t>
  </si>
  <si>
    <t>Material Permanente (Preencher o ANEXO I)</t>
  </si>
  <si>
    <t>Estudos e Projetos</t>
  </si>
  <si>
    <t>Obras em andamento</t>
  </si>
  <si>
    <t>Instalações</t>
  </si>
  <si>
    <t>Almoxarifado de obras</t>
  </si>
  <si>
    <t>Outras obras e instalações</t>
  </si>
  <si>
    <t>Ressarcimento pelo Uso da Infraestrutura da UFSM</t>
  </si>
  <si>
    <t>TOTAL GERAL</t>
  </si>
  <si>
    <t>11.7 - Equipamento e Material Permanente (Anexo I)</t>
  </si>
  <si>
    <t>11.8 - Obras e Instalações</t>
  </si>
  <si>
    <t>11.9 - Ressarcimento pelo Uso da Infraestrutura da UFSM</t>
  </si>
  <si>
    <t>11.10 - Despesas operacionais e administravas da FUNDAÇÃO DE APOIO</t>
  </si>
  <si>
    <t>ANEXO I - MATERIAL E EQUIPAMENTO PERMANENTE</t>
  </si>
  <si>
    <t>QUANTIDADE</t>
  </si>
  <si>
    <t>VALOR UNITÁRIO</t>
  </si>
  <si>
    <t>VALOR TOTAL</t>
  </si>
  <si>
    <t>(Aqui descreva o material permanente)</t>
  </si>
  <si>
    <r>
      <rPr>
        <b/>
        <sz val="14"/>
        <color rgb="FFFF0000"/>
        <rFont val="Calibri"/>
        <family val="2"/>
      </rPr>
      <t xml:space="preserve">SOMENTE SE PROJETO DE PRESTAÇÃO DE SERVIÇOS:
</t>
    </r>
    <r>
      <rPr>
        <b/>
        <sz val="14"/>
        <color theme="1"/>
        <rFont val="Calibri"/>
        <family val="2"/>
      </rPr>
      <t>Investimento em projeto de Pesquisa, Ensino, Extensão, Desenvolvimento Institucional ou Inovação</t>
    </r>
  </si>
  <si>
    <t>(Informe o título e registro do projeto de pesquisa que receberá aportes de recursos, na forma prevista pelo Art. 14, §3º, III, da Res. 025/2012 da UFSM.)</t>
  </si>
  <si>
    <t>MENSAL</t>
  </si>
  <si>
    <t>R$ -=SOMA(C248:C277;E248:E277)</t>
  </si>
  <si>
    <t>Despesas operacionais e administravas da FUNDAÇÃO DE APOIO</t>
  </si>
  <si>
    <t>Plano de Trabalho - FDMS</t>
  </si>
  <si>
    <t>NOME: FUNDAÇÃO DELFIM MENDES SILVEIRA - FDMS</t>
  </si>
  <si>
    <t>C.N.P.J.: 03.703.102/0001-61</t>
  </si>
  <si>
    <t>ENDEREÇO: RUA LOBO DA COSTA Nº 447, BAIRRO CENTRO</t>
  </si>
  <si>
    <t>CIDADE: PELOTAS - RS</t>
  </si>
  <si>
    <t>CEP: 96010-150</t>
  </si>
  <si>
    <t>DDD/FONE: (31) 3409-4200</t>
  </si>
  <si>
    <t>NOME DO DIRIGENTE DA ENTIDADE PROPONENTE: CÉSAR DALMOLIN BERGOLI</t>
  </si>
  <si>
    <t xml:space="preserve">Pessoal Envolvido 
(Tipo de Remuneração) </t>
  </si>
  <si>
    <t>NOME</t>
  </si>
  <si>
    <t>SIAPE/MAT.</t>
  </si>
  <si>
    <t>CPF</t>
  </si>
  <si>
    <t>Carga Horária (Semanal)</t>
  </si>
  <si>
    <t>Nº de Pagtos</t>
  </si>
  <si>
    <t>Valor de cada Pagto</t>
  </si>
  <si>
    <t>Coordenador (Participante)</t>
  </si>
  <si>
    <t>Coordenador (Bolsa)</t>
  </si>
  <si>
    <t>Coordenador (Remuneração eventual)</t>
  </si>
  <si>
    <t>2.2 - OBJETO/OBJETIVOS</t>
  </si>
  <si>
    <t xml:space="preserve">2.3 - JUSTIFICATIVA </t>
  </si>
  <si>
    <t>2.4 - RESULTADOS ESPERADOS</t>
  </si>
  <si>
    <t>2.5 - Experiência da UFSM para executar o projeto e capacidade operacional (Citar brevemente experiência em projetos e infraestrutura disponível para desenvolver o projeto)</t>
  </si>
  <si>
    <t>3 - FONTES E USOS</t>
  </si>
  <si>
    <t>3.1 - FONTES</t>
  </si>
  <si>
    <t>3.2 - USOS</t>
  </si>
  <si>
    <t>4 - PLANO DE APLICAÇÃO</t>
  </si>
  <si>
    <t xml:space="preserve">4.1 - PARTICIPANTES </t>
  </si>
  <si>
    <t>4.2 - Diárias</t>
  </si>
  <si>
    <t>4.3 - Serviços de Terceiros Pessoa Jurídica</t>
  </si>
  <si>
    <t>4.4 - Serviços de Terceiros - Pessoa Física</t>
  </si>
  <si>
    <t>4.5 - Passagens e Despesas de Locomoção</t>
  </si>
  <si>
    <t>4.6 - Material de Consumo</t>
  </si>
  <si>
    <t>4.7 - Equipamento e Material Permanente (Anexo I)</t>
  </si>
  <si>
    <t>4.8 - Obras e Instalações</t>
  </si>
  <si>
    <t>4.9 - Ressarcimento pelo Uso da Infraestrutura da UFSM</t>
  </si>
  <si>
    <t>4.10 - Despesas operacionais e administravas da FUNDAÇÃO DE APOIO</t>
  </si>
  <si>
    <t>5 - CRONOGRAMA DE EXECUÇÃO</t>
  </si>
  <si>
    <t>5.1 - DESCRIÇÃO DAS ATIVIDADES</t>
  </si>
  <si>
    <t>6 - CRONOGRAMA DE DESEMBOLSO</t>
  </si>
  <si>
    <t>ANEXO II</t>
  </si>
  <si>
    <t xml:space="preserve"> LABORATÓRIOS UTILIZADOS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</si>
</sst>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"/>
    <numFmt numFmtId="165" formatCode="_-[$R$-416]\ * #,##0.00_-;\-[$R$-416]\ * #,##0.00_-;_-[$R$-416]\ * \-??_-;_-@"/>
    <numFmt numFmtId="166" formatCode="_-* #,##0.00_-;\-* #,##0.00_-;_-* \-??_-;_-@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b/>
      <sz val="14"/>
      <color rgb="FFFFFF00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rgb="FFD0CECE"/>
      </patternFill>
    </fill>
    <fill>
      <patternFill patternType="solid">
        <fgColor rgb="FFAEABAB"/>
        <bgColor rgb="FFAEABAB"/>
      </patternFill>
    </fill>
    <fill>
      <patternFill patternType="solid">
        <fgColor rgb="FF2F75B5"/>
        <bgColor rgb="FF2F75B5"/>
      </patternFill>
    </fill>
    <fill>
      <patternFill patternType="solid">
        <fgColor rgb="FFF2F2F2"/>
        <bgColor rgb="FFF2F2F2"/>
      </patternFill>
    </fill>
    <fill>
      <patternFill patternType="solid">
        <fgColor theme="4" tint="-0.249977111117893"/>
        <bgColor rgb="FF2E75B5"/>
      </patternFill>
    </fill>
    <fill>
      <patternFill patternType="solid">
        <fgColor theme="4" tint="-0.249977111117893"/>
        <bgColor rgb="FFD0CECE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DEEAF6"/>
        <bgColor indexed="64"/>
      </patternFill>
    </fill>
  </fills>
  <borders count="1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520"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2" fillId="5" borderId="17" xfId="0" applyFont="1" applyFill="1" applyBorder="1" applyAlignment="1">
      <alignment horizontal="left" vertical="center"/>
    </xf>
    <xf numFmtId="0" fontId="2" fillId="5" borderId="60" xfId="0" applyFont="1" applyFill="1" applyBorder="1" applyAlignment="1">
      <alignment horizontal="left" vertical="center"/>
    </xf>
    <xf numFmtId="0" fontId="2" fillId="5" borderId="6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3" fillId="3" borderId="73" xfId="0" applyFont="1" applyFill="1" applyBorder="1" applyAlignment="1">
      <alignment vertical="center"/>
    </xf>
    <xf numFmtId="0" fontId="3" fillId="3" borderId="75" xfId="0" applyFont="1" applyFill="1" applyBorder="1" applyAlignment="1">
      <alignment vertical="center"/>
    </xf>
    <xf numFmtId="0" fontId="3" fillId="3" borderId="77" xfId="0" applyFont="1" applyFill="1" applyBorder="1" applyAlignment="1">
      <alignment vertical="center"/>
    </xf>
    <xf numFmtId="0" fontId="3" fillId="3" borderId="78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1" fillId="3" borderId="28" xfId="0" applyFont="1" applyFill="1" applyBorder="1" applyAlignment="1">
      <alignment vertical="center"/>
    </xf>
    <xf numFmtId="0" fontId="11" fillId="3" borderId="30" xfId="0" applyFont="1" applyFill="1" applyBorder="1" applyAlignment="1">
      <alignment vertical="center"/>
    </xf>
    <xf numFmtId="0" fontId="7" fillId="3" borderId="17" xfId="0" applyFont="1" applyFill="1" applyBorder="1" applyAlignment="1">
      <alignment vertical="center"/>
    </xf>
    <xf numFmtId="0" fontId="16" fillId="14" borderId="30" xfId="0" applyFont="1" applyFill="1" applyBorder="1" applyAlignment="1">
      <alignment horizontal="center" vertical="center" wrapText="1"/>
    </xf>
    <xf numFmtId="0" fontId="16" fillId="14" borderId="110" xfId="0" applyFont="1" applyFill="1" applyBorder="1" applyAlignment="1">
      <alignment horizontal="center" vertical="center" wrapText="1"/>
    </xf>
    <xf numFmtId="0" fontId="16" fillId="16" borderId="112" xfId="0" applyFont="1" applyFill="1" applyBorder="1" applyAlignment="1">
      <alignment horizontal="center" vertical="center" wrapText="1"/>
    </xf>
    <xf numFmtId="0" fontId="14" fillId="14" borderId="30" xfId="0" applyFont="1" applyFill="1" applyBorder="1" applyAlignment="1">
      <alignment horizontal="center" vertical="center" wrapText="1"/>
    </xf>
    <xf numFmtId="0" fontId="14" fillId="14" borderId="114" xfId="0" applyFont="1" applyFill="1" applyBorder="1" applyAlignment="1">
      <alignment horizontal="right" vertical="center" wrapText="1"/>
    </xf>
    <xf numFmtId="0" fontId="0" fillId="0" borderId="0" xfId="0" applyFont="1" applyAlignment="1"/>
    <xf numFmtId="0" fontId="7" fillId="2" borderId="14" xfId="0" applyFont="1" applyFill="1" applyBorder="1" applyAlignment="1">
      <alignment vertical="center" wrapText="1"/>
    </xf>
    <xf numFmtId="49" fontId="19" fillId="3" borderId="31" xfId="0" applyNumberFormat="1" applyFont="1" applyFill="1" applyBorder="1" applyAlignment="1">
      <alignment horizontal="center" vertical="center" wrapText="1"/>
    </xf>
    <xf numFmtId="166" fontId="3" fillId="3" borderId="31" xfId="0" applyNumberFormat="1" applyFont="1" applyFill="1" applyBorder="1" applyAlignment="1">
      <alignment vertical="center" wrapText="1"/>
    </xf>
    <xf numFmtId="165" fontId="19" fillId="3" borderId="31" xfId="0" applyNumberFormat="1" applyFont="1" applyFill="1" applyBorder="1" applyAlignment="1">
      <alignment horizontal="center" vertical="center" shrinkToFit="1"/>
    </xf>
    <xf numFmtId="164" fontId="3" fillId="2" borderId="60" xfId="0" applyNumberFormat="1" applyFont="1" applyFill="1" applyBorder="1" applyAlignment="1">
      <alignment vertical="center" shrinkToFit="1"/>
    </xf>
    <xf numFmtId="0" fontId="20" fillId="3" borderId="17" xfId="0" applyFont="1" applyFill="1" applyBorder="1" applyAlignment="1">
      <alignment vertical="center" wrapText="1"/>
    </xf>
    <xf numFmtId="165" fontId="3" fillId="3" borderId="31" xfId="0" applyNumberFormat="1" applyFont="1" applyFill="1" applyBorder="1" applyAlignment="1">
      <alignment horizontal="center" vertical="center" shrinkToFit="1"/>
    </xf>
    <xf numFmtId="0" fontId="17" fillId="0" borderId="17" xfId="0" applyFont="1" applyBorder="1" applyAlignment="1"/>
    <xf numFmtId="166" fontId="3" fillId="3" borderId="61" xfId="0" applyNumberFormat="1" applyFont="1" applyFill="1" applyBorder="1" applyAlignment="1">
      <alignment vertical="center" wrapText="1"/>
    </xf>
    <xf numFmtId="165" fontId="3" fillId="3" borderId="61" xfId="0" applyNumberFormat="1" applyFont="1" applyFill="1" applyBorder="1" applyAlignment="1">
      <alignment horizontal="center" vertical="center" shrinkToFit="1"/>
    </xf>
    <xf numFmtId="164" fontId="3" fillId="2" borderId="62" xfId="0" applyNumberFormat="1" applyFont="1" applyFill="1" applyBorder="1" applyAlignment="1">
      <alignment vertical="center" shrinkToFit="1"/>
    </xf>
    <xf numFmtId="0" fontId="3" fillId="3" borderId="31" xfId="0" applyFont="1" applyFill="1" applyBorder="1" applyAlignment="1">
      <alignment horizontal="center" vertical="center" wrapText="1"/>
    </xf>
    <xf numFmtId="49" fontId="3" fillId="3" borderId="31" xfId="0" applyNumberFormat="1" applyFont="1" applyFill="1" applyBorder="1" applyAlignment="1">
      <alignment horizontal="center" vertical="center" wrapText="1"/>
    </xf>
    <xf numFmtId="0" fontId="3" fillId="3" borderId="61" xfId="0" applyFont="1" applyFill="1" applyBorder="1" applyAlignment="1">
      <alignment horizontal="center" vertical="center" wrapText="1"/>
    </xf>
    <xf numFmtId="49" fontId="3" fillId="3" borderId="61" xfId="0" applyNumberFormat="1" applyFont="1" applyFill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/>
    </xf>
    <xf numFmtId="0" fontId="8" fillId="11" borderId="27" xfId="0" applyFont="1" applyFill="1" applyBorder="1"/>
    <xf numFmtId="0" fontId="8" fillId="11" borderId="17" xfId="0" applyFont="1" applyFill="1" applyBorder="1"/>
    <xf numFmtId="0" fontId="8" fillId="11" borderId="66" xfId="0" applyFont="1" applyFill="1" applyBorder="1"/>
    <xf numFmtId="0" fontId="8" fillId="11" borderId="19" xfId="0" applyFont="1" applyFill="1" applyBorder="1"/>
    <xf numFmtId="0" fontId="8" fillId="11" borderId="94" xfId="0" applyFont="1" applyFill="1" applyBorder="1"/>
    <xf numFmtId="0" fontId="0" fillId="0" borderId="0" xfId="0" applyFont="1" applyAlignment="1"/>
    <xf numFmtId="0" fontId="3" fillId="2" borderId="44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8" borderId="15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89" xfId="0" applyFont="1" applyFill="1" applyBorder="1" applyAlignment="1">
      <alignment horizontal="left" vertical="center"/>
    </xf>
    <xf numFmtId="0" fontId="3" fillId="8" borderId="44" xfId="0" applyFont="1" applyFill="1" applyBorder="1" applyAlignment="1">
      <alignment horizontal="left" vertical="center"/>
    </xf>
    <xf numFmtId="0" fontId="3" fillId="8" borderId="26" xfId="0" applyFont="1" applyFill="1" applyBorder="1" applyAlignment="1">
      <alignment horizontal="left" vertical="center"/>
    </xf>
    <xf numFmtId="0" fontId="3" fillId="8" borderId="12" xfId="0" applyFont="1" applyFill="1" applyBorder="1" applyAlignment="1">
      <alignment horizontal="left" vertical="center"/>
    </xf>
    <xf numFmtId="0" fontId="3" fillId="8" borderId="49" xfId="0" applyFont="1" applyFill="1" applyBorder="1" applyAlignment="1">
      <alignment horizontal="left" vertical="center"/>
    </xf>
    <xf numFmtId="0" fontId="3" fillId="8" borderId="76" xfId="0" applyFont="1" applyFill="1" applyBorder="1" applyAlignment="1">
      <alignment horizontal="left" vertical="center"/>
    </xf>
    <xf numFmtId="0" fontId="3" fillId="8" borderId="74" xfId="0" applyFont="1" applyFill="1" applyBorder="1" applyAlignment="1">
      <alignment horizontal="left" vertical="center"/>
    </xf>
    <xf numFmtId="0" fontId="3" fillId="8" borderId="8" xfId="0" applyFont="1" applyFill="1" applyBorder="1" applyAlignment="1">
      <alignment horizontal="left" vertical="center"/>
    </xf>
    <xf numFmtId="0" fontId="3" fillId="8" borderId="9" xfId="0" applyFont="1" applyFill="1" applyBorder="1" applyAlignment="1">
      <alignment horizontal="left" vertical="center"/>
    </xf>
    <xf numFmtId="0" fontId="3" fillId="8" borderId="68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left" vertical="center"/>
    </xf>
    <xf numFmtId="0" fontId="3" fillId="8" borderId="91" xfId="0" applyFont="1" applyFill="1" applyBorder="1" applyAlignment="1">
      <alignment horizontal="left" vertical="center"/>
    </xf>
    <xf numFmtId="0" fontId="3" fillId="8" borderId="92" xfId="0" applyFont="1" applyFill="1" applyBorder="1" applyAlignment="1">
      <alignment horizontal="left" vertical="center"/>
    </xf>
    <xf numFmtId="0" fontId="3" fillId="8" borderId="82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73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1" fillId="0" borderId="103" xfId="0" applyFont="1" applyBorder="1" applyAlignment="1">
      <alignment vertical="center" wrapText="1"/>
    </xf>
    <xf numFmtId="0" fontId="1" fillId="15" borderId="106" xfId="0" applyFont="1" applyFill="1" applyBorder="1" applyAlignment="1">
      <alignment vertical="center" wrapText="1"/>
    </xf>
    <xf numFmtId="0" fontId="3" fillId="0" borderId="24" xfId="0" applyFont="1" applyBorder="1" applyAlignment="1">
      <alignment vertical="center"/>
    </xf>
    <xf numFmtId="0" fontId="1" fillId="0" borderId="109" xfId="0" applyFont="1" applyBorder="1" applyAlignment="1">
      <alignment vertical="center" wrapText="1"/>
    </xf>
    <xf numFmtId="0" fontId="1" fillId="0" borderId="111" xfId="0" applyFont="1" applyBorder="1" applyAlignment="1">
      <alignment vertical="center" wrapText="1"/>
    </xf>
    <xf numFmtId="0" fontId="3" fillId="0" borderId="28" xfId="0" applyFont="1" applyBorder="1" applyAlignment="1">
      <alignment vertical="center"/>
    </xf>
    <xf numFmtId="0" fontId="1" fillId="14" borderId="30" xfId="0" applyFont="1" applyFill="1" applyBorder="1" applyAlignment="1">
      <alignment vertical="center" wrapText="1"/>
    </xf>
    <xf numFmtId="0" fontId="1" fillId="14" borderId="110" xfId="0" applyFont="1" applyFill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15" borderId="113" xfId="0" applyFont="1" applyFill="1" applyBorder="1" applyAlignment="1">
      <alignment vertical="center" wrapText="1"/>
    </xf>
    <xf numFmtId="0" fontId="1" fillId="15" borderId="0" xfId="0" applyFont="1" applyFill="1" applyAlignment="1">
      <alignment vertical="center" wrapText="1"/>
    </xf>
    <xf numFmtId="0" fontId="1" fillId="0" borderId="115" xfId="0" applyFont="1" applyBorder="1" applyAlignment="1">
      <alignment vertical="center" wrapText="1"/>
    </xf>
    <xf numFmtId="166" fontId="2" fillId="8" borderId="69" xfId="0" applyNumberFormat="1" applyFont="1" applyFill="1" applyBorder="1" applyAlignment="1">
      <alignment vertical="center"/>
    </xf>
    <xf numFmtId="166" fontId="3" fillId="3" borderId="14" xfId="0" applyNumberFormat="1" applyFont="1" applyFill="1" applyBorder="1" applyAlignment="1">
      <alignment vertical="center"/>
    </xf>
    <xf numFmtId="166" fontId="3" fillId="3" borderId="97" xfId="0" applyNumberFormat="1" applyFont="1" applyFill="1" applyBorder="1" applyAlignment="1">
      <alignment vertical="center"/>
    </xf>
    <xf numFmtId="166" fontId="3" fillId="12" borderId="77" xfId="0" applyNumberFormat="1" applyFont="1" applyFill="1" applyBorder="1" applyAlignment="1">
      <alignment vertical="center"/>
    </xf>
    <xf numFmtId="0" fontId="3" fillId="2" borderId="60" xfId="0" applyFont="1" applyFill="1" applyBorder="1" applyAlignment="1">
      <alignment vertical="center"/>
    </xf>
    <xf numFmtId="0" fontId="2" fillId="5" borderId="57" xfId="0" applyFont="1" applyFill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2" fillId="5" borderId="58" xfId="0" applyFont="1" applyFill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0" fontId="2" fillId="5" borderId="59" xfId="0" applyFont="1" applyFill="1" applyBorder="1" applyAlignment="1">
      <alignment horizontal="center" vertical="center"/>
    </xf>
    <xf numFmtId="0" fontId="2" fillId="5" borderId="51" xfId="0" applyFont="1" applyFill="1" applyBorder="1" applyAlignment="1">
      <alignment horizontal="center" vertical="center"/>
    </xf>
    <xf numFmtId="0" fontId="3" fillId="3" borderId="156" xfId="0" applyFont="1" applyFill="1" applyBorder="1" applyAlignment="1">
      <alignment horizontal="center" vertical="center"/>
    </xf>
    <xf numFmtId="0" fontId="4" fillId="0" borderId="92" xfId="0" applyFont="1" applyBorder="1"/>
    <xf numFmtId="0" fontId="4" fillId="0" borderId="82" xfId="0" applyFont="1" applyBorder="1"/>
    <xf numFmtId="164" fontId="3" fillId="3" borderId="81" xfId="0" applyNumberFormat="1" applyFont="1" applyFill="1" applyBorder="1" applyAlignment="1">
      <alignment horizontal="center" vertical="center"/>
    </xf>
    <xf numFmtId="0" fontId="2" fillId="12" borderId="49" xfId="0" applyFont="1" applyFill="1" applyBorder="1" applyAlignment="1">
      <alignment horizontal="center" vertical="center"/>
    </xf>
    <xf numFmtId="0" fontId="4" fillId="0" borderId="76" xfId="0" applyFont="1" applyBorder="1"/>
    <xf numFmtId="0" fontId="4" fillId="0" borderId="74" xfId="0" applyFont="1" applyBorder="1"/>
    <xf numFmtId="164" fontId="3" fillId="12" borderId="75" xfId="0" applyNumberFormat="1" applyFont="1" applyFill="1" applyBorder="1" applyAlignment="1">
      <alignment horizontal="center" vertical="center"/>
    </xf>
    <xf numFmtId="0" fontId="2" fillId="10" borderId="32" xfId="0" applyFont="1" applyFill="1" applyBorder="1" applyAlignment="1">
      <alignment horizontal="center" vertical="center" wrapText="1"/>
    </xf>
    <xf numFmtId="0" fontId="4" fillId="11" borderId="33" xfId="0" applyFont="1" applyFill="1" applyBorder="1"/>
    <xf numFmtId="0" fontId="4" fillId="11" borderId="34" xfId="0" applyFont="1" applyFill="1" applyBorder="1"/>
    <xf numFmtId="0" fontId="4" fillId="11" borderId="150" xfId="0" applyFont="1" applyFill="1" applyBorder="1"/>
    <xf numFmtId="0" fontId="4" fillId="11" borderId="29" xfId="0" applyFont="1" applyFill="1" applyBorder="1"/>
    <xf numFmtId="0" fontId="4" fillId="11" borderId="151" xfId="0" applyFont="1" applyFill="1" applyBorder="1"/>
    <xf numFmtId="0" fontId="2" fillId="4" borderId="32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142" xfId="0" applyFont="1" applyFill="1" applyBorder="1" applyAlignment="1">
      <alignment horizontal="center" vertical="center"/>
    </xf>
    <xf numFmtId="0" fontId="2" fillId="4" borderId="143" xfId="0" applyFont="1" applyFill="1" applyBorder="1" applyAlignment="1">
      <alignment horizontal="center" vertical="center"/>
    </xf>
    <xf numFmtId="0" fontId="2" fillId="4" borderId="144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4" fillId="0" borderId="26" xfId="0" applyFont="1" applyBorder="1"/>
    <xf numFmtId="0" fontId="4" fillId="0" borderId="12" xfId="0" applyFont="1" applyBorder="1"/>
    <xf numFmtId="164" fontId="3" fillId="3" borderId="13" xfId="0" applyNumberFormat="1" applyFont="1" applyFill="1" applyBorder="1" applyAlignment="1">
      <alignment horizontal="center" vertical="center"/>
    </xf>
    <xf numFmtId="0" fontId="14" fillId="17" borderId="133" xfId="0" applyFont="1" applyFill="1" applyBorder="1" applyAlignment="1">
      <alignment horizontal="center" vertical="center" wrapText="1"/>
    </xf>
    <xf numFmtId="0" fontId="14" fillId="17" borderId="6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vertical="center" wrapText="1"/>
    </xf>
    <xf numFmtId="0" fontId="1" fillId="17" borderId="126" xfId="0" applyFont="1" applyFill="1" applyBorder="1" applyAlignment="1">
      <alignment vertical="center" wrapText="1"/>
    </xf>
    <xf numFmtId="0" fontId="16" fillId="17" borderId="134" xfId="0" applyFont="1" applyFill="1" applyBorder="1" applyAlignment="1">
      <alignment horizontal="center" vertical="center" wrapText="1"/>
    </xf>
    <xf numFmtId="0" fontId="16" fillId="17" borderId="119" xfId="0" applyFont="1" applyFill="1" applyBorder="1" applyAlignment="1">
      <alignment horizontal="center" vertical="center" wrapText="1"/>
    </xf>
    <xf numFmtId="44" fontId="14" fillId="17" borderId="118" xfId="1" applyFont="1" applyFill="1" applyBorder="1" applyAlignment="1">
      <alignment horizontal="center" vertical="center" wrapText="1"/>
    </xf>
    <xf numFmtId="44" fontId="14" fillId="17" borderId="120" xfId="1" applyFont="1" applyFill="1" applyBorder="1" applyAlignment="1">
      <alignment horizontal="center" vertical="center" wrapText="1"/>
    </xf>
    <xf numFmtId="0" fontId="14" fillId="14" borderId="134" xfId="0" applyFont="1" applyFill="1" applyBorder="1" applyAlignment="1">
      <alignment horizontal="center" vertical="center" wrapText="1"/>
    </xf>
    <xf numFmtId="0" fontId="14" fillId="14" borderId="135" xfId="0" applyFont="1" applyFill="1" applyBorder="1" applyAlignment="1">
      <alignment horizontal="center" vertical="center" wrapText="1"/>
    </xf>
    <xf numFmtId="0" fontId="14" fillId="14" borderId="119" xfId="0" applyFont="1" applyFill="1" applyBorder="1" applyAlignment="1">
      <alignment horizontal="center" vertical="center" wrapText="1"/>
    </xf>
    <xf numFmtId="166" fontId="2" fillId="8" borderId="152" xfId="0" applyNumberFormat="1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89" xfId="0" applyFont="1" applyBorder="1"/>
    <xf numFmtId="164" fontId="2" fillId="8" borderId="90" xfId="0" applyNumberFormat="1" applyFont="1" applyFill="1" applyBorder="1" applyAlignment="1">
      <alignment horizontal="center" vertical="center"/>
    </xf>
    <xf numFmtId="0" fontId="16" fillId="17" borderId="117" xfId="0" applyFont="1" applyFill="1" applyBorder="1" applyAlignment="1">
      <alignment horizontal="center" vertical="center" wrapText="1"/>
    </xf>
    <xf numFmtId="0" fontId="16" fillId="17" borderId="131" xfId="0" applyFont="1" applyFill="1" applyBorder="1" applyAlignment="1">
      <alignment horizontal="center" vertical="center" wrapText="1"/>
    </xf>
    <xf numFmtId="0" fontId="16" fillId="17" borderId="132" xfId="0" applyFont="1" applyFill="1" applyBorder="1" applyAlignment="1">
      <alignment horizontal="center" vertical="center" wrapText="1"/>
    </xf>
    <xf numFmtId="0" fontId="16" fillId="17" borderId="107" xfId="0" applyFont="1" applyFill="1" applyBorder="1" applyAlignment="1">
      <alignment horizontal="center" vertical="center" wrapText="1"/>
    </xf>
    <xf numFmtId="0" fontId="1" fillId="16" borderId="121" xfId="0" applyFont="1" applyFill="1" applyBorder="1" applyAlignment="1">
      <alignment vertical="center" wrapText="1"/>
    </xf>
    <xf numFmtId="0" fontId="1" fillId="16" borderId="122" xfId="0" applyFont="1" applyFill="1" applyBorder="1" applyAlignment="1">
      <alignment vertical="center" wrapText="1"/>
    </xf>
    <xf numFmtId="0" fontId="1" fillId="16" borderId="106" xfId="0" applyFont="1" applyFill="1" applyBorder="1" applyAlignment="1">
      <alignment vertical="center" wrapText="1"/>
    </xf>
    <xf numFmtId="0" fontId="1" fillId="16" borderId="123" xfId="0" applyFont="1" applyFill="1" applyBorder="1" applyAlignment="1">
      <alignment vertical="center" wrapText="1"/>
    </xf>
    <xf numFmtId="0" fontId="1" fillId="16" borderId="29" xfId="0" applyFont="1" applyFill="1" applyBorder="1" applyAlignment="1">
      <alignment vertical="center" wrapText="1"/>
    </xf>
    <xf numFmtId="0" fontId="1" fillId="16" borderId="110" xfId="0" applyFont="1" applyFill="1" applyBorder="1" applyAlignment="1">
      <alignment vertical="center" wrapText="1"/>
    </xf>
    <xf numFmtId="0" fontId="14" fillId="16" borderId="124" xfId="0" applyFont="1" applyFill="1" applyBorder="1" applyAlignment="1">
      <alignment horizontal="center" vertical="center" wrapText="1"/>
    </xf>
    <xf numFmtId="0" fontId="14" fillId="16" borderId="125" xfId="0" applyFont="1" applyFill="1" applyBorder="1" applyAlignment="1">
      <alignment horizontal="center" vertical="center" wrapText="1"/>
    </xf>
    <xf numFmtId="0" fontId="14" fillId="16" borderId="4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vertical="center" wrapText="1"/>
    </xf>
    <xf numFmtId="0" fontId="1" fillId="16" borderId="126" xfId="0" applyFont="1" applyFill="1" applyBorder="1" applyAlignment="1">
      <alignment vertical="center" wrapText="1"/>
    </xf>
    <xf numFmtId="0" fontId="14" fillId="16" borderId="118" xfId="0" applyFont="1" applyFill="1" applyBorder="1" applyAlignment="1">
      <alignment horizontal="center" vertical="center" wrapText="1"/>
    </xf>
    <xf numFmtId="0" fontId="14" fillId="16" borderId="119" xfId="0" applyFont="1" applyFill="1" applyBorder="1" applyAlignment="1">
      <alignment horizontal="center" vertical="center" wrapText="1"/>
    </xf>
    <xf numFmtId="0" fontId="1" fillId="16" borderId="118" xfId="0" applyFont="1" applyFill="1" applyBorder="1" applyAlignment="1">
      <alignment vertical="center" wrapText="1"/>
    </xf>
    <xf numFmtId="0" fontId="1" fillId="16" borderId="120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horizontal="center" vertical="center"/>
    </xf>
    <xf numFmtId="0" fontId="4" fillId="0" borderId="71" xfId="0" applyFont="1" applyBorder="1"/>
    <xf numFmtId="0" fontId="3" fillId="3" borderId="49" xfId="0" applyFont="1" applyFill="1" applyBorder="1" applyAlignment="1">
      <alignment horizontal="center" vertical="center"/>
    </xf>
    <xf numFmtId="0" fontId="3" fillId="3" borderId="75" xfId="0" applyFont="1" applyFill="1" applyBorder="1" applyAlignment="1">
      <alignment horizontal="center" vertical="center"/>
    </xf>
    <xf numFmtId="0" fontId="2" fillId="9" borderId="32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2" fillId="9" borderId="34" xfId="0" applyFont="1" applyFill="1" applyBorder="1" applyAlignment="1">
      <alignment horizontal="center" vertical="center"/>
    </xf>
    <xf numFmtId="0" fontId="2" fillId="9" borderId="5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9" borderId="45" xfId="0" applyFont="1" applyFill="1" applyBorder="1" applyAlignment="1">
      <alignment horizontal="center" vertical="center"/>
    </xf>
    <xf numFmtId="0" fontId="3" fillId="6" borderId="44" xfId="0" applyFont="1" applyFill="1" applyBorder="1" applyAlignment="1">
      <alignment horizontal="center" vertical="center"/>
    </xf>
    <xf numFmtId="0" fontId="2" fillId="10" borderId="56" xfId="0" applyFont="1" applyFill="1" applyBorder="1" applyAlignment="1">
      <alignment horizontal="center" vertical="center"/>
    </xf>
    <xf numFmtId="0" fontId="4" fillId="11" borderId="17" xfId="0" applyFont="1" applyFill="1" applyBorder="1"/>
    <xf numFmtId="0" fontId="4" fillId="11" borderId="66" xfId="0" applyFont="1" applyFill="1" applyBorder="1"/>
    <xf numFmtId="0" fontId="4" fillId="11" borderId="139" xfId="0" applyFont="1" applyFill="1" applyBorder="1"/>
    <xf numFmtId="0" fontId="4" fillId="11" borderId="140" xfId="0" applyFont="1" applyFill="1" applyBorder="1"/>
    <xf numFmtId="0" fontId="4" fillId="11" borderId="154" xfId="0" applyFont="1" applyFill="1" applyBorder="1"/>
    <xf numFmtId="164" fontId="3" fillId="2" borderId="18" xfId="0" applyNumberFormat="1" applyFont="1" applyFill="1" applyBorder="1" applyAlignment="1">
      <alignment horizontal="center" vertical="center"/>
    </xf>
    <xf numFmtId="0" fontId="4" fillId="0" borderId="45" xfId="0" applyFont="1" applyBorder="1"/>
    <xf numFmtId="0" fontId="4" fillId="0" borderId="155" xfId="0" applyFont="1" applyBorder="1"/>
    <xf numFmtId="0" fontId="4" fillId="0" borderId="141" xfId="0" applyFont="1" applyBorder="1"/>
    <xf numFmtId="0" fontId="2" fillId="4" borderId="5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4" fillId="0" borderId="20" xfId="0" applyFont="1" applyBorder="1"/>
    <xf numFmtId="0" fontId="4" fillId="0" borderId="56" xfId="0" applyFont="1" applyBorder="1"/>
    <xf numFmtId="0" fontId="4" fillId="0" borderId="66" xfId="0" applyFont="1" applyBorder="1"/>
    <xf numFmtId="0" fontId="4" fillId="0" borderId="72" xfId="0" applyFont="1" applyBorder="1"/>
    <xf numFmtId="0" fontId="4" fillId="0" borderId="68" xfId="0" applyFont="1" applyBorder="1"/>
    <xf numFmtId="0" fontId="3" fillId="2" borderId="65" xfId="0" applyFont="1" applyFill="1" applyBorder="1" applyAlignment="1">
      <alignment horizontal="center" vertical="center"/>
    </xf>
    <xf numFmtId="0" fontId="4" fillId="0" borderId="67" xfId="0" applyFont="1" applyBorder="1"/>
    <xf numFmtId="0" fontId="4" fillId="0" borderId="69" xfId="0" applyFont="1" applyBorder="1"/>
    <xf numFmtId="0" fontId="3" fillId="2" borderId="25" xfId="0" applyFont="1" applyFill="1" applyBorder="1" applyAlignment="1">
      <alignment horizontal="center" vertical="center"/>
    </xf>
    <xf numFmtId="0" fontId="4" fillId="0" borderId="21" xfId="0" applyFont="1" applyBorder="1"/>
    <xf numFmtId="0" fontId="4" fillId="0" borderId="18" xfId="0" applyFont="1" applyBorder="1"/>
    <xf numFmtId="0" fontId="1" fillId="0" borderId="17" xfId="0" applyFont="1" applyBorder="1" applyAlignment="1"/>
    <xf numFmtId="0" fontId="4" fillId="0" borderId="70" xfId="0" applyFont="1" applyBorder="1"/>
    <xf numFmtId="0" fontId="4" fillId="0" borderId="9" xfId="0" applyFont="1" applyBorder="1"/>
    <xf numFmtId="0" fontId="3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165" fontId="3" fillId="3" borderId="13" xfId="0" applyNumberFormat="1" applyFont="1" applyFill="1" applyBorder="1" applyAlignment="1">
      <alignment horizontal="center" vertical="center"/>
    </xf>
    <xf numFmtId="0" fontId="4" fillId="0" borderId="7" xfId="0" applyFont="1" applyBorder="1"/>
    <xf numFmtId="165" fontId="3" fillId="3" borderId="81" xfId="0" applyNumberFormat="1" applyFont="1" applyFill="1" applyBorder="1" applyAlignment="1">
      <alignment horizontal="center" vertical="center"/>
    </xf>
    <xf numFmtId="0" fontId="4" fillId="0" borderId="83" xfId="0" applyFont="1" applyBorder="1"/>
    <xf numFmtId="0" fontId="2" fillId="10" borderId="23" xfId="0" applyFont="1" applyFill="1" applyBorder="1" applyAlignment="1">
      <alignment horizontal="center" vertical="center"/>
    </xf>
    <xf numFmtId="0" fontId="4" fillId="11" borderId="27" xfId="0" applyFont="1" applyFill="1" applyBorder="1"/>
    <xf numFmtId="0" fontId="4" fillId="11" borderId="94" xfId="0" applyFont="1" applyFill="1" applyBorder="1"/>
    <xf numFmtId="0" fontId="4" fillId="11" borderId="22" xfId="0" applyFont="1" applyFill="1" applyBorder="1"/>
    <xf numFmtId="0" fontId="4" fillId="11" borderId="87" xfId="0" applyFont="1" applyFill="1" applyBorder="1"/>
    <xf numFmtId="165" fontId="2" fillId="2" borderId="93" xfId="0" applyNumberFormat="1" applyFont="1" applyFill="1" applyBorder="1" applyAlignment="1">
      <alignment horizontal="center" vertical="center"/>
    </xf>
    <xf numFmtId="0" fontId="4" fillId="0" borderId="24" xfId="0" applyFont="1" applyBorder="1"/>
    <xf numFmtId="0" fontId="4" fillId="0" borderId="88" xfId="0" applyFont="1" applyBorder="1"/>
    <xf numFmtId="0" fontId="4" fillId="0" borderId="30" xfId="0" applyFont="1" applyBorder="1"/>
    <xf numFmtId="0" fontId="3" fillId="8" borderId="4" xfId="0" applyFont="1" applyFill="1" applyBorder="1" applyAlignment="1">
      <alignment horizontal="left" vertical="center"/>
    </xf>
    <xf numFmtId="0" fontId="4" fillId="0" borderId="5" xfId="0" applyFont="1" applyBorder="1"/>
    <xf numFmtId="0" fontId="4" fillId="0" borderId="96" xfId="0" applyFont="1" applyBorder="1"/>
    <xf numFmtId="165" fontId="3" fillId="2" borderId="95" xfId="0" applyNumberFormat="1" applyFont="1" applyFill="1" applyBorder="1" applyAlignment="1">
      <alignment horizontal="center" vertical="center"/>
    </xf>
    <xf numFmtId="0" fontId="4" fillId="0" borderId="6" xfId="0" applyFont="1" applyBorder="1"/>
    <xf numFmtId="0" fontId="3" fillId="8" borderId="11" xfId="0" applyFont="1" applyFill="1" applyBorder="1" applyAlignment="1">
      <alignment horizontal="left" vertical="center" wrapText="1"/>
    </xf>
    <xf numFmtId="165" fontId="3" fillId="2" borderId="93" xfId="0" applyNumberFormat="1" applyFont="1" applyFill="1" applyBorder="1" applyAlignment="1">
      <alignment horizontal="center" vertical="center"/>
    </xf>
    <xf numFmtId="165" fontId="3" fillId="3" borderId="90" xfId="0" applyNumberFormat="1" applyFont="1" applyFill="1" applyBorder="1" applyAlignment="1">
      <alignment horizontal="center" vertical="center"/>
    </xf>
    <xf numFmtId="0" fontId="4" fillId="0" borderId="3" xfId="0" applyFont="1" applyBorder="1"/>
    <xf numFmtId="165" fontId="3" fillId="3" borderId="75" xfId="0" applyNumberFormat="1" applyFont="1" applyFill="1" applyBorder="1" applyAlignment="1">
      <alignment horizontal="center" vertical="center"/>
    </xf>
    <xf numFmtId="0" fontId="4" fillId="0" borderId="79" xfId="0" applyFont="1" applyBorder="1"/>
    <xf numFmtId="164" fontId="3" fillId="3" borderId="90" xfId="0" applyNumberFormat="1" applyFont="1" applyFill="1" applyBorder="1" applyAlignment="1">
      <alignment horizontal="center" vertical="center"/>
    </xf>
    <xf numFmtId="164" fontId="3" fillId="2" borderId="25" xfId="0" applyNumberFormat="1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10" xfId="0" applyFont="1" applyBorder="1"/>
    <xf numFmtId="0" fontId="3" fillId="2" borderId="15" xfId="0" applyFont="1" applyFill="1" applyBorder="1" applyAlignment="1">
      <alignment horizontal="left" vertical="center"/>
    </xf>
    <xf numFmtId="0" fontId="4" fillId="0" borderId="8" xfId="0" applyFont="1" applyBorder="1"/>
    <xf numFmtId="0" fontId="2" fillId="2" borderId="15" xfId="0" applyFont="1" applyFill="1" applyBorder="1" applyAlignment="1">
      <alignment horizontal="left" vertical="center"/>
    </xf>
    <xf numFmtId="0" fontId="4" fillId="0" borderId="22" xfId="0" applyFont="1" applyBorder="1"/>
    <xf numFmtId="0" fontId="4" fillId="0" borderId="29" xfId="0" applyFont="1" applyBorder="1"/>
    <xf numFmtId="0" fontId="4" fillId="0" borderId="87" xfId="0" applyFont="1" applyBorder="1"/>
    <xf numFmtId="164" fontId="2" fillId="2" borderId="25" xfId="0" applyNumberFormat="1" applyFont="1" applyFill="1" applyBorder="1" applyAlignment="1">
      <alignment horizontal="center" vertical="center"/>
    </xf>
    <xf numFmtId="0" fontId="4" fillId="11" borderId="24" xfId="0" applyFont="1" applyFill="1" applyBorder="1"/>
    <xf numFmtId="0" fontId="4" fillId="11" borderId="30" xfId="0" applyFont="1" applyFill="1" applyBorder="1"/>
    <xf numFmtId="0" fontId="13" fillId="2" borderId="23" xfId="0" applyFont="1" applyFill="1" applyBorder="1" applyAlignment="1">
      <alignment horizontal="center" vertical="center" wrapText="1"/>
    </xf>
    <xf numFmtId="0" fontId="4" fillId="0" borderId="27" xfId="0" applyFont="1" applyBorder="1"/>
    <xf numFmtId="0" fontId="4" fillId="0" borderId="94" xfId="0" applyFont="1" applyBorder="1"/>
    <xf numFmtId="164" fontId="2" fillId="2" borderId="93" xfId="0" applyNumberFormat="1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64" fontId="2" fillId="3" borderId="25" xfId="0" applyNumberFormat="1" applyFont="1" applyFill="1" applyBorder="1" applyAlignment="1">
      <alignment horizontal="left" vertical="center" wrapText="1"/>
    </xf>
    <xf numFmtId="0" fontId="3" fillId="0" borderId="84" xfId="0" applyFont="1" applyBorder="1" applyAlignment="1">
      <alignment horizontal="center" vertical="center"/>
    </xf>
    <xf numFmtId="0" fontId="4" fillId="0" borderId="80" xfId="0" applyFont="1" applyBorder="1"/>
    <xf numFmtId="0" fontId="3" fillId="2" borderId="25" xfId="0" applyFont="1" applyFill="1" applyBorder="1" applyAlignment="1">
      <alignment horizontal="left" vertical="center"/>
    </xf>
    <xf numFmtId="0" fontId="4" fillId="0" borderId="85" xfId="0" applyFont="1" applyBorder="1"/>
    <xf numFmtId="0" fontId="2" fillId="10" borderId="23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center" vertical="center"/>
    </xf>
    <xf numFmtId="0" fontId="4" fillId="0" borderId="17" xfId="0" applyFont="1" applyBorder="1"/>
    <xf numFmtId="0" fontId="2" fillId="2" borderId="18" xfId="0" applyFont="1" applyFill="1" applyBorder="1" applyAlignment="1">
      <alignment horizontal="center" vertical="center"/>
    </xf>
    <xf numFmtId="0" fontId="4" fillId="0" borderId="28" xfId="0" applyFont="1" applyBorder="1"/>
    <xf numFmtId="0" fontId="3" fillId="3" borderId="31" xfId="0" applyFont="1" applyFill="1" applyBorder="1" applyAlignment="1">
      <alignment horizontal="center" vertical="center" wrapText="1"/>
    </xf>
    <xf numFmtId="0" fontId="4" fillId="0" borderId="31" xfId="0" applyFont="1" applyBorder="1"/>
    <xf numFmtId="49" fontId="3" fillId="3" borderId="31" xfId="0" applyNumberFormat="1" applyFont="1" applyFill="1" applyBorder="1" applyAlignment="1">
      <alignment horizontal="center" vertical="center" wrapText="1"/>
    </xf>
    <xf numFmtId="0" fontId="3" fillId="3" borderId="61" xfId="0" applyFont="1" applyFill="1" applyBorder="1" applyAlignment="1">
      <alignment horizontal="center" vertical="center" wrapText="1"/>
    </xf>
    <xf numFmtId="0" fontId="4" fillId="0" borderId="61" xfId="0" applyFont="1" applyBorder="1"/>
    <xf numFmtId="49" fontId="3" fillId="3" borderId="61" xfId="0" applyNumberFormat="1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left" vertical="center"/>
    </xf>
    <xf numFmtId="0" fontId="4" fillId="11" borderId="5" xfId="0" applyFont="1" applyFill="1" applyBorder="1"/>
    <xf numFmtId="0" fontId="4" fillId="11" borderId="6" xfId="0" applyFont="1" applyFill="1" applyBorder="1"/>
    <xf numFmtId="0" fontId="2" fillId="10" borderId="19" xfId="0" applyFont="1" applyFill="1" applyBorder="1" applyAlignment="1">
      <alignment horizontal="left" vertical="center"/>
    </xf>
    <xf numFmtId="0" fontId="4" fillId="11" borderId="28" xfId="0" applyFont="1" applyFill="1" applyBorder="1"/>
    <xf numFmtId="0" fontId="4" fillId="11" borderId="8" xfId="0" applyFont="1" applyFill="1" applyBorder="1"/>
    <xf numFmtId="0" fontId="4" fillId="11" borderId="9" xfId="0" applyFont="1" applyFill="1" applyBorder="1"/>
    <xf numFmtId="0" fontId="4" fillId="11" borderId="10" xfId="0" applyFont="1" applyFill="1" applyBorder="1"/>
    <xf numFmtId="0" fontId="3" fillId="2" borderId="15" xfId="0" applyFont="1" applyFill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left" vertical="center" wrapText="1"/>
    </xf>
    <xf numFmtId="0" fontId="3" fillId="0" borderId="86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164" fontId="7" fillId="2" borderId="158" xfId="0" applyNumberFormat="1" applyFont="1" applyFill="1" applyBorder="1" applyAlignment="1">
      <alignment horizontal="center" vertical="center"/>
    </xf>
    <xf numFmtId="164" fontId="7" fillId="2" borderId="159" xfId="0" applyNumberFormat="1" applyFont="1" applyFill="1" applyBorder="1" applyAlignment="1">
      <alignment horizontal="center" vertical="center"/>
    </xf>
    <xf numFmtId="164" fontId="7" fillId="2" borderId="160" xfId="0" applyNumberFormat="1" applyFont="1" applyFill="1" applyBorder="1" applyAlignment="1">
      <alignment horizontal="center" vertical="center"/>
    </xf>
    <xf numFmtId="164" fontId="7" fillId="2" borderId="161" xfId="0" applyNumberFormat="1" applyFont="1" applyFill="1" applyBorder="1" applyAlignment="1">
      <alignment horizontal="center" vertical="center"/>
    </xf>
    <xf numFmtId="164" fontId="3" fillId="2" borderId="13" xfId="0" applyNumberFormat="1" applyFont="1" applyFill="1" applyBorder="1" applyAlignment="1">
      <alignment horizontal="center" vertical="center"/>
    </xf>
    <xf numFmtId="164" fontId="3" fillId="2" borderId="81" xfId="0" applyNumberFormat="1" applyFont="1" applyFill="1" applyBorder="1" applyAlignment="1">
      <alignment horizontal="center" vertical="center"/>
    </xf>
    <xf numFmtId="0" fontId="4" fillId="0" borderId="157" xfId="0" applyFont="1" applyBorder="1"/>
    <xf numFmtId="164" fontId="3" fillId="2" borderId="75" xfId="0" applyNumberFormat="1" applyFont="1" applyFill="1" applyBorder="1" applyAlignment="1">
      <alignment horizontal="center" vertical="center"/>
    </xf>
    <xf numFmtId="164" fontId="2" fillId="2" borderId="90" xfId="0" applyNumberFormat="1" applyFont="1" applyFill="1" applyBorder="1" applyAlignment="1">
      <alignment horizontal="center" vertical="center"/>
    </xf>
    <xf numFmtId="0" fontId="4" fillId="0" borderId="153" xfId="0" applyFont="1" applyBorder="1"/>
    <xf numFmtId="0" fontId="1" fillId="16" borderId="127" xfId="0" applyFont="1" applyFill="1" applyBorder="1" applyAlignment="1">
      <alignment vertical="center" wrapText="1"/>
    </xf>
    <xf numFmtId="0" fontId="1" fillId="16" borderId="128" xfId="0" applyFont="1" applyFill="1" applyBorder="1" applyAlignment="1">
      <alignment vertical="center" wrapText="1"/>
    </xf>
    <xf numFmtId="0" fontId="1" fillId="16" borderId="22" xfId="0" applyFont="1" applyFill="1" applyBorder="1" applyAlignment="1">
      <alignment vertical="center" wrapText="1"/>
    </xf>
    <xf numFmtId="0" fontId="1" fillId="16" borderId="30" xfId="0" applyFont="1" applyFill="1" applyBorder="1" applyAlignment="1">
      <alignment vertical="center" wrapText="1"/>
    </xf>
    <xf numFmtId="0" fontId="14" fillId="16" borderId="116" xfId="0" applyFont="1" applyFill="1" applyBorder="1" applyAlignment="1">
      <alignment horizontal="center" vertical="center" wrapText="1"/>
    </xf>
    <xf numFmtId="0" fontId="14" fillId="16" borderId="105" xfId="0" applyFont="1" applyFill="1" applyBorder="1" applyAlignment="1">
      <alignment horizontal="center" vertical="center" wrapText="1"/>
    </xf>
    <xf numFmtId="0" fontId="14" fillId="16" borderId="129" xfId="0" applyFont="1" applyFill="1" applyBorder="1" applyAlignment="1">
      <alignment horizontal="center" vertical="center" wrapText="1"/>
    </xf>
    <xf numFmtId="44" fontId="14" fillId="16" borderId="130" xfId="1" applyFont="1" applyFill="1" applyBorder="1" applyAlignment="1">
      <alignment horizontal="center" vertical="center" wrapText="1"/>
    </xf>
    <xf numFmtId="44" fontId="14" fillId="16" borderId="104" xfId="1" applyFont="1" applyFill="1" applyBorder="1" applyAlignment="1">
      <alignment horizontal="center" vertical="center" wrapText="1"/>
    </xf>
    <xf numFmtId="0" fontId="16" fillId="17" borderId="116" xfId="0" applyFont="1" applyFill="1" applyBorder="1" applyAlignment="1">
      <alignment horizontal="center" vertical="center" wrapText="1"/>
    </xf>
    <xf numFmtId="0" fontId="16" fillId="17" borderId="105" xfId="0" applyFont="1" applyFill="1" applyBorder="1" applyAlignment="1">
      <alignment horizontal="center" vertical="center" wrapText="1"/>
    </xf>
    <xf numFmtId="0" fontId="16" fillId="17" borderId="10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6" fillId="14" borderId="116" xfId="0" applyFont="1" applyFill="1" applyBorder="1" applyAlignment="1">
      <alignment horizontal="center" vertical="center" wrapText="1"/>
    </xf>
    <xf numFmtId="0" fontId="16" fillId="14" borderId="105" xfId="0" applyFont="1" applyFill="1" applyBorder="1" applyAlignment="1">
      <alignment horizontal="center" vertical="center" wrapText="1"/>
    </xf>
    <xf numFmtId="0" fontId="16" fillId="14" borderId="104" xfId="0" applyFont="1" applyFill="1" applyBorder="1" applyAlignment="1">
      <alignment horizontal="center" vertical="center" wrapText="1"/>
    </xf>
    <xf numFmtId="0" fontId="16" fillId="16" borderId="117" xfId="0" applyFont="1" applyFill="1" applyBorder="1" applyAlignment="1">
      <alignment horizontal="center" vertical="center" wrapText="1"/>
    </xf>
    <xf numFmtId="0" fontId="16" fillId="16" borderId="108" xfId="0" applyFont="1" applyFill="1" applyBorder="1" applyAlignment="1">
      <alignment horizontal="center" vertical="center" wrapText="1"/>
    </xf>
    <xf numFmtId="0" fontId="16" fillId="16" borderId="107" xfId="0" applyFont="1" applyFill="1" applyBorder="1" applyAlignment="1">
      <alignment horizontal="center" vertical="center" wrapText="1"/>
    </xf>
    <xf numFmtId="0" fontId="16" fillId="16" borderId="118" xfId="0" applyFont="1" applyFill="1" applyBorder="1" applyAlignment="1">
      <alignment horizontal="center" vertical="center" wrapText="1"/>
    </xf>
    <xf numFmtId="0" fontId="16" fillId="16" borderId="119" xfId="0" applyFont="1" applyFill="1" applyBorder="1" applyAlignment="1">
      <alignment horizontal="center" vertical="center" wrapText="1"/>
    </xf>
    <xf numFmtId="0" fontId="16" fillId="16" borderId="120" xfId="0" applyFont="1" applyFill="1" applyBorder="1" applyAlignment="1">
      <alignment horizontal="center" vertical="center" wrapText="1"/>
    </xf>
    <xf numFmtId="0" fontId="2" fillId="10" borderId="32" xfId="0" applyFont="1" applyFill="1" applyBorder="1" applyAlignment="1">
      <alignment horizontal="center" vertical="center"/>
    </xf>
    <xf numFmtId="0" fontId="4" fillId="11" borderId="148" xfId="0" applyFont="1" applyFill="1" applyBorder="1"/>
    <xf numFmtId="0" fontId="4" fillId="11" borderId="56" xfId="0" applyFont="1" applyFill="1" applyBorder="1"/>
    <xf numFmtId="164" fontId="3" fillId="2" borderId="149" xfId="0" applyNumberFormat="1" applyFont="1" applyFill="1" applyBorder="1" applyAlignment="1">
      <alignment horizontal="center" vertical="center"/>
    </xf>
    <xf numFmtId="0" fontId="4" fillId="0" borderId="34" xfId="0" applyFont="1" applyBorder="1"/>
    <xf numFmtId="0" fontId="3" fillId="8" borderId="63" xfId="0" applyFont="1" applyFill="1" applyBorder="1" applyAlignment="1">
      <alignment horizontal="center" vertical="center"/>
    </xf>
    <xf numFmtId="0" fontId="3" fillId="8" borderId="31" xfId="0" applyFont="1" applyFill="1" applyBorder="1" applyAlignment="1">
      <alignment horizontal="center" vertical="center"/>
    </xf>
    <xf numFmtId="0" fontId="3" fillId="8" borderId="60" xfId="0" applyFont="1" applyFill="1" applyBorder="1" applyAlignment="1">
      <alignment horizontal="center" vertical="center"/>
    </xf>
    <xf numFmtId="0" fontId="2" fillId="10" borderId="56" xfId="0" applyFont="1" applyFill="1" applyBorder="1" applyAlignment="1">
      <alignment horizontal="center" vertical="center" wrapText="1"/>
    </xf>
    <xf numFmtId="0" fontId="0" fillId="11" borderId="17" xfId="0" applyFont="1" applyFill="1" applyBorder="1" applyAlignment="1"/>
    <xf numFmtId="9" fontId="4" fillId="0" borderId="31" xfId="0" applyNumberFormat="1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164" fontId="2" fillId="2" borderId="93" xfId="0" applyNumberFormat="1" applyFont="1" applyFill="1" applyBorder="1" applyAlignment="1">
      <alignment horizontal="center" vertical="center"/>
    </xf>
    <xf numFmtId="165" fontId="3" fillId="2" borderId="149" xfId="0" applyNumberFormat="1" applyFont="1" applyFill="1" applyBorder="1" applyAlignment="1">
      <alignment horizontal="center" vertical="center"/>
    </xf>
    <xf numFmtId="0" fontId="4" fillId="0" borderId="151" xfId="0" applyFont="1" applyBorder="1"/>
    <xf numFmtId="0" fontId="18" fillId="3" borderId="63" xfId="0" applyFont="1" applyFill="1" applyBorder="1" applyAlignment="1">
      <alignment horizontal="center" vertical="center" wrapText="1"/>
    </xf>
    <xf numFmtId="0" fontId="18" fillId="3" borderId="64" xfId="0" applyFont="1" applyFill="1" applyBorder="1" applyAlignment="1">
      <alignment horizontal="center" vertical="center" wrapText="1"/>
    </xf>
    <xf numFmtId="0" fontId="14" fillId="13" borderId="99" xfId="0" applyFont="1" applyFill="1" applyBorder="1" applyAlignment="1">
      <alignment horizontal="center"/>
    </xf>
    <xf numFmtId="0" fontId="14" fillId="13" borderId="98" xfId="0" applyFont="1" applyFill="1" applyBorder="1" applyAlignment="1">
      <alignment horizontal="center"/>
    </xf>
    <xf numFmtId="0" fontId="14" fillId="13" borderId="102" xfId="0" applyFont="1" applyFill="1" applyBorder="1" applyAlignment="1">
      <alignment horizontal="center"/>
    </xf>
    <xf numFmtId="164" fontId="14" fillId="13" borderId="101" xfId="0" applyNumberFormat="1" applyFont="1" applyFill="1" applyBorder="1" applyAlignment="1">
      <alignment horizontal="center"/>
    </xf>
    <xf numFmtId="164" fontId="14" fillId="13" borderId="98" xfId="0" applyNumberFormat="1" applyFont="1" applyFill="1" applyBorder="1" applyAlignment="1">
      <alignment horizontal="center"/>
    </xf>
    <xf numFmtId="164" fontId="14" fillId="13" borderId="100" xfId="0" applyNumberFormat="1" applyFont="1" applyFill="1" applyBorder="1" applyAlignment="1">
      <alignment horizontal="center"/>
    </xf>
    <xf numFmtId="0" fontId="2" fillId="10" borderId="39" xfId="0" applyFont="1" applyFill="1" applyBorder="1" applyAlignment="1">
      <alignment horizontal="center" vertical="center" wrapText="1"/>
    </xf>
    <xf numFmtId="0" fontId="4" fillId="11" borderId="40" xfId="0" applyFont="1" applyFill="1" applyBorder="1"/>
    <xf numFmtId="0" fontId="4" fillId="11" borderId="145" xfId="0" applyFont="1" applyFill="1" applyBorder="1"/>
    <xf numFmtId="164" fontId="2" fillId="2" borderId="146" xfId="0" applyNumberFormat="1" applyFont="1" applyFill="1" applyBorder="1" applyAlignment="1">
      <alignment horizontal="center" vertical="center"/>
    </xf>
    <xf numFmtId="0" fontId="4" fillId="0" borderId="147" xfId="0" applyFont="1" applyBorder="1"/>
    <xf numFmtId="0" fontId="3" fillId="8" borderId="44" xfId="0" applyFont="1" applyFill="1" applyBorder="1" applyAlignment="1">
      <alignment horizontal="left" vertical="center"/>
    </xf>
    <xf numFmtId="0" fontId="3" fillId="8" borderId="49" xfId="0" applyFont="1" applyFill="1" applyBorder="1" applyAlignment="1">
      <alignment horizontal="left" vertical="center"/>
    </xf>
    <xf numFmtId="0" fontId="18" fillId="3" borderId="57" xfId="0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center" wrapText="1"/>
    </xf>
    <xf numFmtId="0" fontId="2" fillId="2" borderId="136" xfId="0" applyFont="1" applyFill="1" applyBorder="1" applyAlignment="1">
      <alignment horizontal="center" vertical="center" wrapText="1"/>
    </xf>
    <xf numFmtId="0" fontId="4" fillId="0" borderId="137" xfId="0" applyFont="1" applyBorder="1"/>
    <xf numFmtId="0" fontId="4" fillId="0" borderId="63" xfId="0" applyFont="1" applyBorder="1"/>
    <xf numFmtId="0" fontId="2" fillId="2" borderId="137" xfId="0" applyFont="1" applyFill="1" applyBorder="1" applyAlignment="1">
      <alignment horizontal="center" vertical="center" wrapText="1"/>
    </xf>
    <xf numFmtId="164" fontId="2" fillId="2" borderId="138" xfId="0" applyNumberFormat="1" applyFont="1" applyFill="1" applyBorder="1" applyAlignment="1">
      <alignment horizontal="center" vertical="center" shrinkToFit="1"/>
    </xf>
    <xf numFmtId="0" fontId="4" fillId="0" borderId="60" xfId="0" applyFont="1" applyBorder="1"/>
    <xf numFmtId="0" fontId="0" fillId="0" borderId="35" xfId="0" applyFont="1" applyBorder="1" applyAlignment="1">
      <alignment horizontal="center"/>
    </xf>
    <xf numFmtId="0" fontId="0" fillId="0" borderId="36" xfId="0" applyFont="1" applyBorder="1" applyAlignment="1">
      <alignment horizontal="center"/>
    </xf>
    <xf numFmtId="0" fontId="0" fillId="0" borderId="47" xfId="0" applyFont="1" applyBorder="1" applyAlignment="1">
      <alignment horizontal="center"/>
    </xf>
    <xf numFmtId="0" fontId="2" fillId="2" borderId="23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3" fillId="2" borderId="49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center" vertical="center" wrapText="1"/>
    </xf>
    <xf numFmtId="0" fontId="0" fillId="0" borderId="51" xfId="0" applyFont="1" applyBorder="1" applyAlignment="1">
      <alignment horizontal="center"/>
    </xf>
    <xf numFmtId="0" fontId="0" fillId="0" borderId="52" xfId="0" applyFont="1" applyBorder="1" applyAlignment="1">
      <alignment horizontal="center"/>
    </xf>
    <xf numFmtId="0" fontId="0" fillId="0" borderId="53" xfId="0" applyFont="1" applyBorder="1" applyAlignment="1">
      <alignment horizontal="center"/>
    </xf>
    <xf numFmtId="0" fontId="2" fillId="2" borderId="19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2" borderId="48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left" vertical="center"/>
    </xf>
    <xf numFmtId="0" fontId="3" fillId="2" borderId="40" xfId="0" applyFont="1" applyFill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45" xfId="0" applyFont="1" applyFill="1" applyBorder="1" applyAlignment="1">
      <alignment horizontal="left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2" borderId="44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46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vertical="center" wrapText="1"/>
    </xf>
    <xf numFmtId="0" fontId="8" fillId="0" borderId="26" xfId="0" applyFont="1" applyBorder="1"/>
    <xf numFmtId="0" fontId="8" fillId="0" borderId="12" xfId="0" applyFont="1" applyBorder="1"/>
    <xf numFmtId="0" fontId="7" fillId="2" borderId="13" xfId="0" applyFont="1" applyFill="1" applyBorder="1" applyAlignment="1">
      <alignment vertical="center" wrapText="1"/>
    </xf>
    <xf numFmtId="0" fontId="8" fillId="0" borderId="7" xfId="0" applyFont="1" applyBorder="1"/>
    <xf numFmtId="0" fontId="7" fillId="2" borderId="15" xfId="0" applyFont="1" applyFill="1" applyBorder="1" applyAlignment="1">
      <alignment horizontal="left" vertical="center"/>
    </xf>
    <xf numFmtId="0" fontId="8" fillId="0" borderId="21" xfId="0" applyFont="1" applyBorder="1"/>
    <xf numFmtId="0" fontId="8" fillId="0" borderId="16" xfId="0" applyFont="1" applyBorder="1"/>
    <xf numFmtId="0" fontId="7" fillId="2" borderId="8" xfId="0" applyFont="1" applyFill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6" fillId="2" borderId="4" xfId="0" applyFont="1" applyFill="1" applyBorder="1" applyAlignment="1">
      <alignment horizontal="left" vertical="center" wrapText="1"/>
    </xf>
    <xf numFmtId="0" fontId="8" fillId="0" borderId="5" xfId="0" applyFont="1" applyBorder="1"/>
    <xf numFmtId="0" fontId="8" fillId="0" borderId="6" xfId="0" applyFont="1" applyBorder="1"/>
    <xf numFmtId="0" fontId="7" fillId="2" borderId="4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Font="1" applyAlignment="1"/>
    <xf numFmtId="0" fontId="8" fillId="0" borderId="29" xfId="0" applyFont="1" applyBorder="1"/>
    <xf numFmtId="0" fontId="7" fillId="2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7" fillId="2" borderId="11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 wrapText="1"/>
    </xf>
    <xf numFmtId="164" fontId="3" fillId="2" borderId="93" xfId="0" applyNumberFormat="1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0" fontId="7" fillId="8" borderId="145" xfId="0" applyFont="1" applyFill="1" applyBorder="1" applyAlignment="1">
      <alignment horizontal="center" vertical="center"/>
    </xf>
    <xf numFmtId="165" fontId="7" fillId="3" borderId="13" xfId="0" applyNumberFormat="1" applyFont="1" applyFill="1" applyBorder="1" applyAlignment="1">
      <alignment horizontal="center" vertical="center"/>
    </xf>
    <xf numFmtId="165" fontId="7" fillId="3" borderId="146" xfId="0" applyNumberFormat="1" applyFont="1" applyFill="1" applyBorder="1" applyAlignment="1">
      <alignment horizontal="center" vertical="center"/>
    </xf>
    <xf numFmtId="165" fontId="6" fillId="2" borderId="93" xfId="0" applyNumberFormat="1" applyFont="1" applyFill="1" applyBorder="1" applyAlignment="1">
      <alignment horizontal="center" vertical="center"/>
    </xf>
    <xf numFmtId="165" fontId="6" fillId="2" borderId="24" xfId="0" applyNumberFormat="1" applyFont="1" applyFill="1" applyBorder="1" applyAlignment="1">
      <alignment horizontal="center" vertical="center"/>
    </xf>
    <xf numFmtId="165" fontId="6" fillId="2" borderId="88" xfId="0" applyNumberFormat="1" applyFont="1" applyFill="1" applyBorder="1" applyAlignment="1">
      <alignment horizontal="center" vertical="center"/>
    </xf>
    <xf numFmtId="165" fontId="6" fillId="2" borderId="30" xfId="0" applyNumberFormat="1" applyFont="1" applyFill="1" applyBorder="1" applyAlignment="1">
      <alignment horizontal="center" vertical="center"/>
    </xf>
    <xf numFmtId="165" fontId="7" fillId="2" borderId="95" xfId="0" applyNumberFormat="1" applyFont="1" applyFill="1" applyBorder="1" applyAlignment="1">
      <alignment horizontal="center" vertical="center"/>
    </xf>
    <xf numFmtId="165" fontId="7" fillId="2" borderId="6" xfId="0" applyNumberFormat="1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6" fillId="10" borderId="94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9" xfId="0" applyFont="1" applyFill="1" applyBorder="1" applyAlignment="1">
      <alignment horizontal="center" vertical="center"/>
    </xf>
    <xf numFmtId="0" fontId="6" fillId="10" borderId="87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6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64" fontId="6" fillId="2" borderId="18" xfId="0" applyNumberFormat="1" applyFont="1" applyFill="1" applyBorder="1" applyAlignment="1">
      <alignment horizontal="center" vertical="center"/>
    </xf>
    <xf numFmtId="164" fontId="7" fillId="3" borderId="31" xfId="0" applyNumberFormat="1" applyFont="1" applyFill="1" applyBorder="1" applyAlignment="1">
      <alignment horizontal="center" vertical="center"/>
    </xf>
    <xf numFmtId="164" fontId="7" fillId="3" borderId="35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6" fillId="10" borderId="32" xfId="0" applyFont="1" applyFill="1" applyBorder="1" applyAlignment="1">
      <alignment horizontal="center" vertical="center"/>
    </xf>
    <xf numFmtId="0" fontId="6" fillId="10" borderId="33" xfId="0" applyFont="1" applyFill="1" applyBorder="1" applyAlignment="1">
      <alignment horizontal="center" vertical="center"/>
    </xf>
    <xf numFmtId="0" fontId="6" fillId="10" borderId="148" xfId="0" applyFont="1" applyFill="1" applyBorder="1" applyAlignment="1">
      <alignment horizontal="center" vertical="center"/>
    </xf>
    <xf numFmtId="164" fontId="6" fillId="2" borderId="149" xfId="0" applyNumberFormat="1" applyFont="1" applyFill="1" applyBorder="1" applyAlignment="1">
      <alignment horizontal="center" vertical="center"/>
    </xf>
    <xf numFmtId="164" fontId="6" fillId="2" borderId="34" xfId="0" applyNumberFormat="1" applyFont="1" applyFill="1" applyBorder="1" applyAlignment="1">
      <alignment horizontal="center" vertical="center"/>
    </xf>
    <xf numFmtId="0" fontId="6" fillId="10" borderId="150" xfId="0" applyFont="1" applyFill="1" applyBorder="1" applyAlignment="1">
      <alignment horizontal="center" vertical="center"/>
    </xf>
    <xf numFmtId="164" fontId="6" fillId="2" borderId="45" xfId="0" applyNumberFormat="1" applyFont="1" applyFill="1" applyBorder="1" applyAlignment="1">
      <alignment horizontal="center" vertical="center"/>
    </xf>
    <xf numFmtId="0" fontId="7" fillId="8" borderId="152" xfId="0" applyFont="1" applyFill="1" applyBorder="1" applyAlignment="1">
      <alignment horizontal="center" vertical="center"/>
    </xf>
    <xf numFmtId="0" fontId="7" fillId="8" borderId="44" xfId="0" applyFont="1" applyFill="1" applyBorder="1" applyAlignment="1">
      <alignment horizontal="center" vertical="center"/>
    </xf>
    <xf numFmtId="0" fontId="7" fillId="8" borderId="49" xfId="0" applyFont="1" applyFill="1" applyBorder="1" applyAlignment="1">
      <alignment horizontal="center" vertical="center"/>
    </xf>
    <xf numFmtId="0" fontId="7" fillId="8" borderId="76" xfId="0" applyFont="1" applyFill="1" applyBorder="1" applyAlignment="1">
      <alignment horizontal="center" vertical="center"/>
    </xf>
    <xf numFmtId="164" fontId="7" fillId="2" borderId="93" xfId="0" applyNumberFormat="1" applyFont="1" applyFill="1" applyBorder="1" applyAlignment="1">
      <alignment horizontal="center" vertical="center"/>
    </xf>
    <xf numFmtId="164" fontId="7" fillId="2" borderId="24" xfId="0" applyNumberFormat="1" applyFont="1" applyFill="1" applyBorder="1" applyAlignment="1">
      <alignment horizontal="center" vertical="center"/>
    </xf>
    <xf numFmtId="0" fontId="7" fillId="8" borderId="162" xfId="0" applyFont="1" applyFill="1" applyBorder="1" applyAlignment="1">
      <alignment horizontal="center" vertical="center"/>
    </xf>
    <xf numFmtId="0" fontId="7" fillId="8" borderId="163" xfId="0" applyFont="1" applyFill="1" applyBorder="1" applyAlignment="1">
      <alignment horizontal="center" vertical="center"/>
    </xf>
    <xf numFmtId="0" fontId="7" fillId="8" borderId="164" xfId="0" applyFont="1" applyFill="1" applyBorder="1" applyAlignment="1">
      <alignment horizontal="center" vertical="center"/>
    </xf>
    <xf numFmtId="0" fontId="7" fillId="8" borderId="165" xfId="0" applyFont="1" applyFill="1" applyBorder="1" applyAlignment="1">
      <alignment horizontal="center" vertical="center"/>
    </xf>
    <xf numFmtId="0" fontId="7" fillId="8" borderId="166" xfId="0" applyFont="1" applyFill="1" applyBorder="1" applyAlignment="1">
      <alignment horizontal="center" vertical="center"/>
    </xf>
    <xf numFmtId="0" fontId="7" fillId="8" borderId="143" xfId="0" applyFont="1" applyFill="1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 wrapText="1"/>
    </xf>
    <xf numFmtId="0" fontId="6" fillId="10" borderId="167" xfId="0" applyFont="1" applyFill="1" applyBorder="1" applyAlignment="1">
      <alignment horizontal="center" vertical="center" wrapText="1"/>
    </xf>
    <xf numFmtId="0" fontId="6" fillId="10" borderId="166" xfId="0" applyFont="1" applyFill="1" applyBorder="1" applyAlignment="1">
      <alignment horizontal="center" vertical="center" wrapText="1"/>
    </xf>
    <xf numFmtId="0" fontId="6" fillId="10" borderId="168" xfId="0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center" vertical="center" wrapText="1"/>
    </xf>
    <xf numFmtId="0" fontId="6" fillId="10" borderId="66" xfId="0" applyFont="1" applyFill="1" applyBorder="1" applyAlignment="1">
      <alignment horizontal="center" vertical="center" wrapText="1"/>
    </xf>
    <xf numFmtId="0" fontId="6" fillId="10" borderId="169" xfId="0" applyFont="1" applyFill="1" applyBorder="1" applyAlignment="1">
      <alignment horizontal="center" vertical="center" wrapText="1"/>
    </xf>
    <xf numFmtId="0" fontId="6" fillId="10" borderId="143" xfId="0" applyFont="1" applyFill="1" applyBorder="1" applyAlignment="1">
      <alignment horizontal="center" vertical="center" wrapText="1"/>
    </xf>
    <xf numFmtId="0" fontId="6" fillId="10" borderId="170" xfId="0" applyFont="1" applyFill="1" applyBorder="1" applyAlignment="1">
      <alignment horizontal="center" vertical="center" wrapText="1"/>
    </xf>
    <xf numFmtId="164" fontId="7" fillId="2" borderId="18" xfId="0" applyNumberFormat="1" applyFont="1" applyFill="1" applyBorder="1" applyAlignment="1">
      <alignment horizontal="center" vertical="center"/>
    </xf>
    <xf numFmtId="164" fontId="7" fillId="2" borderId="28" xfId="0" applyNumberFormat="1" applyFont="1" applyFill="1" applyBorder="1" applyAlignment="1">
      <alignment horizontal="center" vertical="center"/>
    </xf>
    <xf numFmtId="9" fontId="8" fillId="0" borderId="162" xfId="0" applyNumberFormat="1" applyFont="1" applyBorder="1" applyAlignment="1">
      <alignment horizontal="center"/>
    </xf>
    <xf numFmtId="9" fontId="8" fillId="0" borderId="163" xfId="0" applyNumberFormat="1" applyFont="1" applyBorder="1" applyAlignment="1">
      <alignment horizontal="center"/>
    </xf>
    <xf numFmtId="9" fontId="8" fillId="0" borderId="164" xfId="0" applyNumberFormat="1" applyFont="1" applyBorder="1" applyAlignment="1">
      <alignment horizontal="center"/>
    </xf>
    <xf numFmtId="9" fontId="8" fillId="0" borderId="165" xfId="0" applyNumberFormat="1" applyFont="1" applyBorder="1" applyAlignment="1">
      <alignment horizontal="center"/>
    </xf>
    <xf numFmtId="0" fontId="6" fillId="10" borderId="167" xfId="0" applyFont="1" applyFill="1" applyBorder="1" applyAlignment="1">
      <alignment horizontal="center" vertical="center"/>
    </xf>
    <xf numFmtId="0" fontId="6" fillId="10" borderId="166" xfId="0" applyFont="1" applyFill="1" applyBorder="1" applyAlignment="1">
      <alignment horizontal="center" vertical="center"/>
    </xf>
    <xf numFmtId="0" fontId="6" fillId="10" borderId="168" xfId="0" applyFont="1" applyFill="1" applyBorder="1" applyAlignment="1">
      <alignment horizontal="center" vertical="center"/>
    </xf>
    <xf numFmtId="0" fontId="6" fillId="10" borderId="169" xfId="0" applyFont="1" applyFill="1" applyBorder="1" applyAlignment="1">
      <alignment horizontal="center" vertical="center"/>
    </xf>
    <xf numFmtId="0" fontId="6" fillId="10" borderId="143" xfId="0" applyFont="1" applyFill="1" applyBorder="1" applyAlignment="1">
      <alignment horizontal="center" vertical="center"/>
    </xf>
    <xf numFmtId="0" fontId="6" fillId="10" borderId="170" xfId="0" applyFont="1" applyFill="1" applyBorder="1" applyAlignment="1">
      <alignment horizontal="center" vertical="center"/>
    </xf>
    <xf numFmtId="166" fontId="7" fillId="3" borderId="31" xfId="0" applyNumberFormat="1" applyFont="1" applyFill="1" applyBorder="1" applyAlignment="1">
      <alignment vertical="center"/>
    </xf>
    <xf numFmtId="0" fontId="6" fillId="10" borderId="31" xfId="0" applyFont="1" applyFill="1" applyBorder="1" applyAlignment="1">
      <alignment horizontal="center" vertical="center"/>
    </xf>
    <xf numFmtId="166" fontId="6" fillId="8" borderId="31" xfId="0" applyNumberFormat="1" applyFont="1" applyFill="1" applyBorder="1" applyAlignment="1">
      <alignment horizontal="center" vertical="center"/>
    </xf>
    <xf numFmtId="166" fontId="6" fillId="8" borderId="31" xfId="0" applyNumberFormat="1" applyFont="1" applyFill="1" applyBorder="1" applyAlignment="1">
      <alignment vertical="center"/>
    </xf>
    <xf numFmtId="164" fontId="6" fillId="8" borderId="31" xfId="0" applyNumberFormat="1" applyFont="1" applyFill="1" applyBorder="1" applyAlignment="1">
      <alignment horizontal="center" vertical="center"/>
    </xf>
    <xf numFmtId="164" fontId="6" fillId="2" borderId="31" xfId="0" applyNumberFormat="1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164" fontId="7" fillId="2" borderId="31" xfId="0" applyNumberFormat="1" applyFont="1" applyFill="1" applyBorder="1" applyAlignment="1">
      <alignment horizontal="center" vertical="center"/>
    </xf>
    <xf numFmtId="0" fontId="3" fillId="0" borderId="162" xfId="0" applyFont="1" applyBorder="1" applyAlignment="1">
      <alignment horizontal="center" vertical="center"/>
    </xf>
    <xf numFmtId="0" fontId="3" fillId="0" borderId="166" xfId="0" applyFont="1" applyBorder="1" applyAlignment="1">
      <alignment horizontal="center" vertical="center"/>
    </xf>
    <xf numFmtId="0" fontId="3" fillId="0" borderId="163" xfId="0" applyFont="1" applyBorder="1" applyAlignment="1">
      <alignment horizontal="center" vertical="center"/>
    </xf>
    <xf numFmtId="0" fontId="6" fillId="10" borderId="136" xfId="0" applyFont="1" applyFill="1" applyBorder="1" applyAlignment="1">
      <alignment horizontal="center" vertical="center"/>
    </xf>
    <xf numFmtId="0" fontId="6" fillId="10" borderId="137" xfId="0" applyFont="1" applyFill="1" applyBorder="1" applyAlignment="1">
      <alignment horizontal="center" vertical="center"/>
    </xf>
    <xf numFmtId="0" fontId="6" fillId="10" borderId="138" xfId="0" applyFont="1" applyFill="1" applyBorder="1" applyAlignment="1">
      <alignment horizontal="center" vertical="center"/>
    </xf>
    <xf numFmtId="0" fontId="6" fillId="10" borderId="63" xfId="0" applyFont="1" applyFill="1" applyBorder="1" applyAlignment="1">
      <alignment horizontal="center" vertical="center"/>
    </xf>
    <xf numFmtId="0" fontId="6" fillId="10" borderId="60" xfId="0" applyFont="1" applyFill="1" applyBorder="1" applyAlignment="1">
      <alignment horizontal="center" vertical="center"/>
    </xf>
    <xf numFmtId="166" fontId="6" fillId="8" borderId="63" xfId="0" applyNumberFormat="1" applyFont="1" applyFill="1" applyBorder="1" applyAlignment="1">
      <alignment horizontal="center" vertical="center"/>
    </xf>
    <xf numFmtId="164" fontId="6" fillId="2" borderId="60" xfId="0" applyNumberFormat="1" applyFont="1" applyFill="1" applyBorder="1" applyAlignment="1">
      <alignment horizontal="center" vertical="center"/>
    </xf>
    <xf numFmtId="0" fontId="7" fillId="3" borderId="63" xfId="0" applyFont="1" applyFill="1" applyBorder="1" applyAlignment="1">
      <alignment horizontal="center" vertical="center"/>
    </xf>
    <xf numFmtId="164" fontId="7" fillId="2" borderId="60" xfId="0" applyNumberFormat="1" applyFont="1" applyFill="1" applyBorder="1" applyAlignment="1">
      <alignment horizontal="center" vertical="center"/>
    </xf>
    <xf numFmtId="0" fontId="6" fillId="12" borderId="64" xfId="0" applyFont="1" applyFill="1" applyBorder="1" applyAlignment="1">
      <alignment horizontal="center" vertical="center"/>
    </xf>
    <xf numFmtId="0" fontId="6" fillId="12" borderId="61" xfId="0" applyFont="1" applyFill="1" applyBorder="1" applyAlignment="1">
      <alignment horizontal="center" vertical="center"/>
    </xf>
    <xf numFmtId="164" fontId="7" fillId="2" borderId="61" xfId="0" applyNumberFormat="1" applyFont="1" applyFill="1" applyBorder="1" applyAlignment="1">
      <alignment horizontal="center" vertical="center"/>
    </xf>
    <xf numFmtId="164" fontId="7" fillId="2" borderId="62" xfId="0" applyNumberFormat="1" applyFont="1" applyFill="1" applyBorder="1" applyAlignment="1">
      <alignment horizontal="center" vertical="center"/>
    </xf>
    <xf numFmtId="0" fontId="7" fillId="8" borderId="39" xfId="0" applyFont="1" applyFill="1" applyBorder="1" applyAlignment="1">
      <alignment horizontal="center" vertical="center"/>
    </xf>
    <xf numFmtId="165" fontId="7" fillId="3" borderId="147" xfId="0" applyNumberFormat="1" applyFont="1" applyFill="1" applyBorder="1" applyAlignment="1">
      <alignment horizontal="center" vertical="center"/>
    </xf>
    <xf numFmtId="165" fontId="7" fillId="3" borderId="71" xfId="0" applyNumberFormat="1" applyFont="1" applyFill="1" applyBorder="1" applyAlignment="1">
      <alignment horizontal="center" vertical="center"/>
    </xf>
    <xf numFmtId="0" fontId="7" fillId="8" borderId="74" xfId="0" applyFont="1" applyFill="1" applyBorder="1" applyAlignment="1">
      <alignment horizontal="center" vertical="center"/>
    </xf>
    <xf numFmtId="165" fontId="7" fillId="3" borderId="75" xfId="0" applyNumberFormat="1" applyFont="1" applyFill="1" applyBorder="1" applyAlignment="1">
      <alignment horizontal="center" vertical="center"/>
    </xf>
    <xf numFmtId="165" fontId="7" fillId="3" borderId="79" xfId="0" applyNumberFormat="1" applyFont="1" applyFill="1" applyBorder="1" applyAlignment="1">
      <alignment horizontal="center" vertical="center"/>
    </xf>
    <xf numFmtId="164" fontId="7" fillId="3" borderId="47" xfId="0" applyNumberFormat="1" applyFont="1" applyFill="1" applyBorder="1" applyAlignment="1">
      <alignment horizontal="center" vertical="center"/>
    </xf>
    <xf numFmtId="164" fontId="7" fillId="3" borderId="51" xfId="0" applyNumberFormat="1" applyFont="1" applyFill="1" applyBorder="1" applyAlignment="1">
      <alignment horizontal="center" vertical="center"/>
    </xf>
    <xf numFmtId="164" fontId="7" fillId="3" borderId="53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.0%20Plano_trabalho_Ficha_Gest&#227;o_Faurgs_0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o de Trabalho"/>
      <sheetName val="Dado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980"/>
  <sheetViews>
    <sheetView showGridLines="0" tabSelected="1" topLeftCell="A275" zoomScale="85" zoomScaleNormal="85" workbookViewId="0">
      <selection activeCell="K263" sqref="K263:L265"/>
    </sheetView>
  </sheetViews>
  <sheetFormatPr defaultColWidth="14.42578125" defaultRowHeight="15" customHeight="1" x14ac:dyDescent="0.25"/>
  <cols>
    <col min="1" max="1" width="13.7109375" customWidth="1"/>
    <col min="2" max="2" width="22.1406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21.5703125" customWidth="1"/>
    <col min="12" max="12" width="24.5703125" customWidth="1"/>
    <col min="13" max="15" width="8.85546875" customWidth="1"/>
  </cols>
  <sheetData>
    <row r="1" spans="1:15" ht="18.75" customHeight="1" x14ac:dyDescent="0.25">
      <c r="A1" s="411" t="s">
        <v>417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1"/>
      <c r="N1" s="1"/>
      <c r="O1" s="1"/>
    </row>
    <row r="2" spans="1:15" ht="18.75" customHeight="1" x14ac:dyDescent="0.25">
      <c r="A2" s="412"/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1"/>
      <c r="N2" s="1"/>
      <c r="O2" s="1"/>
    </row>
    <row r="3" spans="1:15" ht="18.75" customHeight="1" thickBot="1" x14ac:dyDescent="0.3">
      <c r="A3" s="413"/>
      <c r="B3" s="413"/>
      <c r="C3" s="413"/>
      <c r="D3" s="413"/>
      <c r="E3" s="413"/>
      <c r="F3" s="413"/>
      <c r="G3" s="413"/>
      <c r="H3" s="413"/>
      <c r="I3" s="413"/>
      <c r="J3" s="413"/>
      <c r="K3" s="413"/>
      <c r="L3" s="413"/>
      <c r="M3" s="1"/>
      <c r="N3" s="1"/>
      <c r="O3" s="1"/>
    </row>
    <row r="4" spans="1:15" ht="18.75" customHeight="1" x14ac:dyDescent="0.25">
      <c r="A4" s="414" t="s">
        <v>0</v>
      </c>
      <c r="B4" s="415"/>
      <c r="C4" s="415"/>
      <c r="D4" s="415"/>
      <c r="E4" s="415"/>
      <c r="F4" s="415"/>
      <c r="G4" s="415"/>
      <c r="H4" s="415"/>
      <c r="I4" s="415"/>
      <c r="J4" s="415"/>
      <c r="K4" s="415"/>
      <c r="L4" s="416"/>
      <c r="M4" s="1"/>
      <c r="N4" s="1"/>
      <c r="O4" s="1"/>
    </row>
    <row r="5" spans="1:15" ht="18.75" customHeight="1" thickBot="1" x14ac:dyDescent="0.3">
      <c r="A5" s="417" t="s">
        <v>1</v>
      </c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6"/>
      <c r="M5" s="1"/>
      <c r="N5" s="1"/>
      <c r="O5" s="1"/>
    </row>
    <row r="6" spans="1:15" ht="18.75" customHeight="1" thickBot="1" x14ac:dyDescent="0.3">
      <c r="A6" s="403" t="s">
        <v>2</v>
      </c>
      <c r="B6" s="404"/>
      <c r="C6" s="404"/>
      <c r="D6" s="404"/>
      <c r="E6" s="404"/>
      <c r="F6" s="404"/>
      <c r="G6" s="405"/>
      <c r="H6" s="418" t="s">
        <v>3</v>
      </c>
      <c r="I6" s="393"/>
      <c r="J6" s="393"/>
      <c r="K6" s="393"/>
      <c r="L6" s="396"/>
      <c r="M6" s="1"/>
      <c r="N6" s="1"/>
      <c r="O6" s="1"/>
    </row>
    <row r="7" spans="1:15" ht="18.75" customHeight="1" x14ac:dyDescent="0.25">
      <c r="A7" s="419" t="s">
        <v>4</v>
      </c>
      <c r="B7" s="401"/>
      <c r="C7" s="401"/>
      <c r="D7" s="401"/>
      <c r="E7" s="401"/>
      <c r="F7" s="401"/>
      <c r="G7" s="401"/>
      <c r="H7" s="401"/>
      <c r="I7" s="401"/>
      <c r="J7" s="401"/>
      <c r="K7" s="401"/>
      <c r="L7" s="402"/>
      <c r="M7" s="1"/>
      <c r="N7" s="1"/>
      <c r="O7" s="1"/>
    </row>
    <row r="8" spans="1:15" ht="75" customHeight="1" x14ac:dyDescent="0.25">
      <c r="A8" s="407" t="s">
        <v>5</v>
      </c>
      <c r="B8" s="393"/>
      <c r="C8" s="394"/>
      <c r="D8" s="408" t="s">
        <v>6</v>
      </c>
      <c r="E8" s="394"/>
      <c r="F8" s="24" t="s">
        <v>7</v>
      </c>
      <c r="G8" s="24" t="s">
        <v>8</v>
      </c>
      <c r="H8" s="410" t="s">
        <v>8</v>
      </c>
      <c r="I8" s="393"/>
      <c r="J8" s="393"/>
      <c r="K8" s="393"/>
      <c r="L8" s="396"/>
      <c r="M8" s="1"/>
      <c r="N8" s="1"/>
      <c r="O8" s="1"/>
    </row>
    <row r="9" spans="1:15" ht="37.5" customHeight="1" x14ac:dyDescent="0.25">
      <c r="A9" s="392" t="s">
        <v>9</v>
      </c>
      <c r="B9" s="393"/>
      <c r="C9" s="393"/>
      <c r="D9" s="393"/>
      <c r="E9" s="394"/>
      <c r="F9" s="24" t="s">
        <v>10</v>
      </c>
      <c r="G9" s="24" t="s">
        <v>11</v>
      </c>
      <c r="H9" s="395" t="s">
        <v>12</v>
      </c>
      <c r="I9" s="393"/>
      <c r="J9" s="393"/>
      <c r="K9" s="393"/>
      <c r="L9" s="396"/>
      <c r="M9" s="1"/>
      <c r="N9" s="1"/>
      <c r="O9" s="1"/>
    </row>
    <row r="10" spans="1:15" ht="18.75" customHeight="1" thickBot="1" x14ac:dyDescent="0.3">
      <c r="A10" s="397" t="s">
        <v>13</v>
      </c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9"/>
      <c r="M10" s="1"/>
      <c r="N10" s="1"/>
      <c r="O10" s="1"/>
    </row>
    <row r="11" spans="1:15" ht="18.75" customHeight="1" thickBot="1" x14ac:dyDescent="0.3">
      <c r="A11" s="403" t="s">
        <v>418</v>
      </c>
      <c r="B11" s="404"/>
      <c r="C11" s="404"/>
      <c r="D11" s="404"/>
      <c r="E11" s="404"/>
      <c r="F11" s="404"/>
      <c r="G11" s="405"/>
      <c r="H11" s="406" t="s">
        <v>419</v>
      </c>
      <c r="I11" s="404"/>
      <c r="J11" s="404"/>
      <c r="K11" s="404"/>
      <c r="L11" s="405"/>
      <c r="M11" s="1"/>
      <c r="N11" s="1"/>
      <c r="O11" s="1"/>
    </row>
    <row r="12" spans="1:15" ht="21.75" customHeight="1" x14ac:dyDescent="0.3">
      <c r="A12" s="400" t="s">
        <v>420</v>
      </c>
      <c r="B12" s="401"/>
      <c r="C12" s="401"/>
      <c r="D12" s="401"/>
      <c r="E12" s="401"/>
      <c r="F12" s="401"/>
      <c r="G12" s="401"/>
      <c r="H12" s="401"/>
      <c r="I12" s="401"/>
      <c r="J12" s="401"/>
      <c r="K12" s="401"/>
      <c r="L12" s="402"/>
      <c r="M12" s="1"/>
      <c r="N12" s="1"/>
      <c r="O12" s="1"/>
    </row>
    <row r="13" spans="1:15" ht="36" customHeight="1" x14ac:dyDescent="0.25">
      <c r="A13" s="407" t="s">
        <v>421</v>
      </c>
      <c r="B13" s="393"/>
      <c r="C13" s="394"/>
      <c r="D13" s="408" t="s">
        <v>422</v>
      </c>
      <c r="E13" s="394"/>
      <c r="F13" s="409" t="s">
        <v>423</v>
      </c>
      <c r="G13" s="394"/>
      <c r="H13" s="409" t="s">
        <v>14</v>
      </c>
      <c r="I13" s="393"/>
      <c r="J13" s="393"/>
      <c r="K13" s="393"/>
      <c r="L13" s="396"/>
      <c r="M13" s="1"/>
      <c r="N13" s="1"/>
      <c r="O13" s="1"/>
    </row>
    <row r="14" spans="1:15" ht="32.25" customHeight="1" thickBot="1" x14ac:dyDescent="0.3">
      <c r="A14" s="407" t="s">
        <v>424</v>
      </c>
      <c r="B14" s="393"/>
      <c r="C14" s="393"/>
      <c r="D14" s="393"/>
      <c r="E14" s="393"/>
      <c r="F14" s="394"/>
      <c r="G14" s="408" t="s">
        <v>15</v>
      </c>
      <c r="H14" s="393"/>
      <c r="I14" s="393"/>
      <c r="J14" s="393"/>
      <c r="K14" s="393"/>
      <c r="L14" s="396"/>
      <c r="M14" s="1"/>
      <c r="N14" s="1"/>
      <c r="O14" s="1"/>
    </row>
    <row r="15" spans="1:15" ht="18.75" customHeight="1" x14ac:dyDescent="0.25">
      <c r="A15" s="107" t="s">
        <v>16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9"/>
      <c r="M15" s="1"/>
      <c r="N15" s="1"/>
      <c r="O15" s="1"/>
    </row>
    <row r="16" spans="1:15" ht="18.75" customHeight="1" thickBot="1" x14ac:dyDescent="0.3">
      <c r="A16" s="177"/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9"/>
      <c r="M16" s="1"/>
      <c r="N16" s="1"/>
      <c r="O16" s="1"/>
    </row>
    <row r="17" spans="1:15" ht="15" customHeight="1" x14ac:dyDescent="0.25">
      <c r="A17" s="378" t="s">
        <v>249</v>
      </c>
      <c r="B17" s="379"/>
      <c r="C17" s="380"/>
      <c r="D17" s="381"/>
      <c r="E17" s="381"/>
      <c r="F17" s="381"/>
      <c r="G17" s="381"/>
      <c r="H17" s="381"/>
      <c r="I17" s="381"/>
      <c r="J17" s="381"/>
      <c r="K17" s="381"/>
      <c r="L17" s="382"/>
      <c r="M17" s="1"/>
      <c r="N17" s="1"/>
      <c r="O17" s="1"/>
    </row>
    <row r="18" spans="1:15" ht="15" customHeight="1" x14ac:dyDescent="0.25">
      <c r="A18" s="389" t="s">
        <v>17</v>
      </c>
      <c r="B18" s="390"/>
      <c r="C18" s="383" t="s">
        <v>18</v>
      </c>
      <c r="D18" s="384"/>
      <c r="E18" s="384"/>
      <c r="F18" s="384"/>
      <c r="G18" s="384"/>
      <c r="H18" s="384"/>
      <c r="I18" s="384"/>
      <c r="J18" s="384"/>
      <c r="K18" s="384"/>
      <c r="L18" s="385"/>
      <c r="M18" s="1"/>
      <c r="N18" s="1"/>
      <c r="O18" s="1"/>
    </row>
    <row r="19" spans="1:15" ht="18.75" customHeight="1" x14ac:dyDescent="0.25">
      <c r="A19" s="391" t="s">
        <v>250</v>
      </c>
      <c r="B19" s="265"/>
      <c r="C19" s="386"/>
      <c r="D19" s="387"/>
      <c r="E19" s="387"/>
      <c r="F19" s="387"/>
      <c r="G19" s="387"/>
      <c r="H19" s="387"/>
      <c r="I19" s="387"/>
      <c r="J19" s="387"/>
      <c r="K19" s="387"/>
      <c r="L19" s="388"/>
      <c r="M19" s="1"/>
      <c r="N19" s="1"/>
      <c r="O19" s="1"/>
    </row>
    <row r="20" spans="1:15" ht="18.75" customHeight="1" x14ac:dyDescent="0.25">
      <c r="A20" s="116" t="s">
        <v>19</v>
      </c>
      <c r="B20" s="115"/>
      <c r="C20" s="352"/>
      <c r="D20" s="353"/>
      <c r="E20" s="353"/>
      <c r="F20" s="353"/>
      <c r="G20" s="353"/>
      <c r="H20" s="353"/>
      <c r="I20" s="353"/>
      <c r="J20" s="353"/>
      <c r="K20" s="353"/>
      <c r="L20" s="354"/>
      <c r="M20" s="1"/>
      <c r="N20" s="1"/>
      <c r="O20" s="1"/>
    </row>
    <row r="21" spans="1:15" ht="18.75" customHeight="1" x14ac:dyDescent="0.25">
      <c r="A21" s="116" t="s">
        <v>253</v>
      </c>
      <c r="B21" s="115"/>
      <c r="C21" s="353"/>
      <c r="D21" s="353"/>
      <c r="E21" s="353"/>
      <c r="F21" s="353"/>
      <c r="G21" s="353"/>
      <c r="H21" s="353"/>
      <c r="I21" s="353"/>
      <c r="J21" s="353"/>
      <c r="K21" s="353"/>
      <c r="L21" s="354"/>
      <c r="M21" s="1"/>
      <c r="N21" s="1"/>
      <c r="O21" s="1"/>
    </row>
    <row r="22" spans="1:15" ht="18.75" customHeight="1" x14ac:dyDescent="0.25">
      <c r="A22" s="116" t="s">
        <v>20</v>
      </c>
      <c r="B22" s="115"/>
      <c r="C22" s="352"/>
      <c r="D22" s="353"/>
      <c r="E22" s="353"/>
      <c r="F22" s="353"/>
      <c r="G22" s="353"/>
      <c r="H22" s="353"/>
      <c r="I22" s="353"/>
      <c r="J22" s="353"/>
      <c r="K22" s="353"/>
      <c r="L22" s="354"/>
      <c r="M22" s="1"/>
      <c r="N22" s="1"/>
      <c r="O22" s="1"/>
    </row>
    <row r="23" spans="1:15" ht="18.75" customHeight="1" x14ac:dyDescent="0.25">
      <c r="A23" s="116" t="s">
        <v>253</v>
      </c>
      <c r="B23" s="115"/>
      <c r="C23" s="352"/>
      <c r="D23" s="353"/>
      <c r="E23" s="353"/>
      <c r="F23" s="353"/>
      <c r="G23" s="353"/>
      <c r="H23" s="353"/>
      <c r="I23" s="353"/>
      <c r="J23" s="353"/>
      <c r="K23" s="353"/>
      <c r="L23" s="354"/>
      <c r="M23" s="1"/>
      <c r="N23" s="1"/>
      <c r="O23" s="1"/>
    </row>
    <row r="24" spans="1:15" ht="18.75" customHeight="1" x14ac:dyDescent="0.25">
      <c r="A24" s="376" t="s">
        <v>254</v>
      </c>
      <c r="B24" s="377"/>
      <c r="C24" s="352"/>
      <c r="D24" s="353"/>
      <c r="E24" s="353"/>
      <c r="F24" s="353"/>
      <c r="G24" s="353"/>
      <c r="H24" s="353"/>
      <c r="I24" s="353"/>
      <c r="J24" s="353"/>
      <c r="K24" s="353"/>
      <c r="L24" s="354"/>
      <c r="M24" s="1"/>
      <c r="N24" s="1"/>
      <c r="O24" s="1"/>
    </row>
    <row r="25" spans="1:15" ht="18.75" customHeight="1" x14ac:dyDescent="0.25">
      <c r="A25" s="376" t="s">
        <v>253</v>
      </c>
      <c r="B25" s="377"/>
      <c r="C25" s="352"/>
      <c r="D25" s="353"/>
      <c r="E25" s="353"/>
      <c r="F25" s="353"/>
      <c r="G25" s="353"/>
      <c r="H25" s="353"/>
      <c r="I25" s="353"/>
      <c r="J25" s="353"/>
      <c r="K25" s="353"/>
      <c r="L25" s="354"/>
      <c r="M25" s="1"/>
      <c r="N25" s="1"/>
      <c r="O25" s="1"/>
    </row>
    <row r="26" spans="1:15" ht="18.75" customHeight="1" x14ac:dyDescent="0.25">
      <c r="A26" s="372" t="s">
        <v>251</v>
      </c>
      <c r="B26" s="373"/>
      <c r="C26" s="352"/>
      <c r="D26" s="353"/>
      <c r="E26" s="353"/>
      <c r="F26" s="353"/>
      <c r="G26" s="353"/>
      <c r="H26" s="353"/>
      <c r="I26" s="353"/>
      <c r="J26" s="353"/>
      <c r="K26" s="353"/>
      <c r="L26" s="354"/>
      <c r="M26" s="1"/>
      <c r="N26" s="1"/>
      <c r="O26" s="1"/>
    </row>
    <row r="27" spans="1:15" ht="18.75" customHeight="1" x14ac:dyDescent="0.25">
      <c r="A27" s="374" t="s">
        <v>21</v>
      </c>
      <c r="B27" s="375"/>
      <c r="C27" s="352"/>
      <c r="D27" s="353"/>
      <c r="E27" s="353"/>
      <c r="F27" s="353"/>
      <c r="G27" s="353"/>
      <c r="H27" s="353"/>
      <c r="I27" s="353"/>
      <c r="J27" s="353"/>
      <c r="K27" s="353"/>
      <c r="L27" s="354"/>
      <c r="M27" s="1"/>
      <c r="N27" s="1"/>
      <c r="O27" s="1"/>
    </row>
    <row r="28" spans="1:15" ht="20.25" customHeight="1" thickBot="1" x14ac:dyDescent="0.3">
      <c r="A28" s="361" t="s">
        <v>252</v>
      </c>
      <c r="B28" s="362"/>
      <c r="C28" s="363"/>
      <c r="D28" s="364"/>
      <c r="E28" s="364"/>
      <c r="F28" s="364"/>
      <c r="G28" s="364"/>
      <c r="H28" s="364"/>
      <c r="I28" s="364"/>
      <c r="J28" s="364"/>
      <c r="K28" s="364"/>
      <c r="L28" s="365"/>
      <c r="M28" s="1"/>
      <c r="N28" s="1"/>
      <c r="O28" s="1"/>
    </row>
    <row r="29" spans="1:15" ht="15" customHeight="1" thickBot="1" x14ac:dyDescent="0.3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1"/>
      <c r="N29" s="1"/>
      <c r="O29" s="1"/>
    </row>
    <row r="30" spans="1:15" ht="18.75" customHeight="1" x14ac:dyDescent="0.25">
      <c r="A30" s="355" t="s">
        <v>435</v>
      </c>
      <c r="B30" s="356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M30" s="1"/>
      <c r="N30" s="1"/>
      <c r="O30" s="1"/>
    </row>
    <row r="31" spans="1:15" ht="18.75" customHeight="1" thickBot="1" x14ac:dyDescent="0.3">
      <c r="A31" s="366"/>
      <c r="B31" s="367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"/>
      <c r="N31" s="1"/>
      <c r="O31" s="1"/>
    </row>
    <row r="32" spans="1:15" ht="18.75" customHeight="1" thickBot="1" x14ac:dyDescent="0.3">
      <c r="A32" s="369"/>
      <c r="B32" s="370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"/>
      <c r="N32" s="1"/>
      <c r="O32" s="1"/>
    </row>
    <row r="33" spans="1:15" ht="17.25" customHeight="1" thickBot="1" x14ac:dyDescent="0.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1"/>
      <c r="N33" s="1"/>
      <c r="O33" s="1"/>
    </row>
    <row r="34" spans="1:15" ht="18.75" customHeight="1" x14ac:dyDescent="0.25">
      <c r="A34" s="355" t="s">
        <v>436</v>
      </c>
      <c r="B34" s="356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1"/>
      <c r="N34" s="1"/>
      <c r="O34" s="1"/>
    </row>
    <row r="35" spans="1:15" ht="18.75" customHeight="1" thickBot="1" x14ac:dyDescent="0.3">
      <c r="A35" s="358"/>
      <c r="B35" s="359"/>
      <c r="C35" s="359"/>
      <c r="D35" s="359"/>
      <c r="E35" s="359"/>
      <c r="F35" s="359"/>
      <c r="G35" s="359"/>
      <c r="H35" s="359"/>
      <c r="I35" s="359"/>
      <c r="J35" s="359"/>
      <c r="K35" s="359"/>
      <c r="L35" s="360"/>
      <c r="M35" s="1"/>
      <c r="N35" s="1"/>
      <c r="O35" s="1"/>
    </row>
    <row r="36" spans="1:15" ht="18.75" customHeight="1" thickBot="1" x14ac:dyDescent="0.3">
      <c r="A36" s="369"/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1"/>
      <c r="M36" s="1"/>
      <c r="N36" s="1"/>
      <c r="O36" s="1"/>
    </row>
    <row r="37" spans="1:15" ht="19.5" customHeight="1" thickBot="1" x14ac:dyDescent="0.3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1"/>
      <c r="N37" s="1"/>
      <c r="O37" s="1"/>
    </row>
    <row r="38" spans="1:15" ht="18.75" customHeight="1" x14ac:dyDescent="0.25">
      <c r="A38" s="355" t="s">
        <v>437</v>
      </c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7"/>
      <c r="M38" s="1"/>
      <c r="N38" s="1"/>
      <c r="O38" s="1"/>
    </row>
    <row r="39" spans="1:15" ht="18.75" customHeight="1" thickBot="1" x14ac:dyDescent="0.3">
      <c r="A39" s="358"/>
      <c r="B39" s="359"/>
      <c r="C39" s="359"/>
      <c r="D39" s="359"/>
      <c r="E39" s="359"/>
      <c r="F39" s="359"/>
      <c r="G39" s="359"/>
      <c r="H39" s="359"/>
      <c r="I39" s="359"/>
      <c r="J39" s="359"/>
      <c r="K39" s="359"/>
      <c r="L39" s="360"/>
      <c r="M39" s="1"/>
      <c r="N39" s="1"/>
      <c r="O39" s="1"/>
    </row>
    <row r="40" spans="1:15" ht="18.75" customHeight="1" thickBot="1" x14ac:dyDescent="0.3">
      <c r="A40" s="369"/>
      <c r="B40" s="370"/>
      <c r="C40" s="370"/>
      <c r="D40" s="370"/>
      <c r="E40" s="370"/>
      <c r="F40" s="370"/>
      <c r="G40" s="370"/>
      <c r="H40" s="370"/>
      <c r="I40" s="370"/>
      <c r="J40" s="370"/>
      <c r="K40" s="370"/>
      <c r="L40" s="371"/>
      <c r="M40" s="1"/>
      <c r="N40" s="1"/>
      <c r="O40" s="1"/>
    </row>
    <row r="41" spans="1:15" ht="18.75" customHeight="1" thickBot="1" x14ac:dyDescent="0.3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1"/>
      <c r="N41" s="1"/>
      <c r="O41" s="1"/>
    </row>
    <row r="42" spans="1:15" ht="18.75" customHeight="1" x14ac:dyDescent="0.25">
      <c r="A42" s="355" t="s">
        <v>438</v>
      </c>
      <c r="B42" s="356"/>
      <c r="C42" s="356"/>
      <c r="D42" s="356"/>
      <c r="E42" s="356"/>
      <c r="F42" s="356"/>
      <c r="G42" s="356"/>
      <c r="H42" s="356"/>
      <c r="I42" s="356"/>
      <c r="J42" s="356"/>
      <c r="K42" s="356"/>
      <c r="L42" s="357"/>
      <c r="M42" s="1"/>
      <c r="N42" s="1"/>
      <c r="O42" s="1"/>
    </row>
    <row r="43" spans="1:15" ht="29.25" customHeight="1" thickBot="1" x14ac:dyDescent="0.3">
      <c r="A43" s="358"/>
      <c r="B43" s="359"/>
      <c r="C43" s="359"/>
      <c r="D43" s="359"/>
      <c r="E43" s="359"/>
      <c r="F43" s="359"/>
      <c r="G43" s="359"/>
      <c r="H43" s="359"/>
      <c r="I43" s="359"/>
      <c r="J43" s="359"/>
      <c r="K43" s="359"/>
      <c r="L43" s="360"/>
      <c r="M43" s="1"/>
      <c r="N43" s="1"/>
      <c r="O43" s="1"/>
    </row>
    <row r="44" spans="1:15" ht="19.5" customHeight="1" thickBot="1" x14ac:dyDescent="0.3">
      <c r="A44" s="369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1"/>
      <c r="M44" s="1"/>
      <c r="N44" s="1"/>
      <c r="O44" s="1"/>
    </row>
    <row r="45" spans="1:15" ht="17.25" customHeight="1" thickBot="1" x14ac:dyDescent="0.3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1"/>
      <c r="N45" s="1"/>
      <c r="O45" s="1"/>
    </row>
    <row r="46" spans="1:15" ht="17.25" customHeight="1" thickBot="1" x14ac:dyDescent="0.3">
      <c r="A46" s="255" t="s">
        <v>439</v>
      </c>
      <c r="B46" s="256"/>
      <c r="C46" s="256"/>
      <c r="D46" s="256"/>
      <c r="E46" s="256"/>
      <c r="F46" s="256"/>
      <c r="G46" s="256"/>
      <c r="H46" s="256"/>
      <c r="I46" s="256"/>
      <c r="J46" s="256"/>
      <c r="K46" s="256"/>
      <c r="L46" s="257"/>
      <c r="M46" s="1"/>
      <c r="N46" s="1"/>
      <c r="O46" s="1"/>
    </row>
    <row r="47" spans="1:15" ht="20.25" customHeight="1" x14ac:dyDescent="0.25">
      <c r="A47" s="258" t="s">
        <v>440</v>
      </c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259"/>
      <c r="M47" s="1"/>
      <c r="N47" s="1"/>
      <c r="O47" s="1"/>
    </row>
    <row r="48" spans="1:15" ht="18" customHeight="1" x14ac:dyDescent="0.25">
      <c r="A48" s="260"/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2"/>
      <c r="M48" s="1"/>
      <c r="N48" s="1"/>
      <c r="O48" s="1"/>
    </row>
    <row r="49" spans="1:15" ht="18.75" customHeight="1" x14ac:dyDescent="0.25">
      <c r="A49" s="263" t="s">
        <v>289</v>
      </c>
      <c r="B49" s="190"/>
      <c r="C49" s="190"/>
      <c r="D49" s="190"/>
      <c r="E49" s="190"/>
      <c r="F49" s="190"/>
      <c r="G49" s="190"/>
      <c r="H49" s="190"/>
      <c r="I49" s="190"/>
      <c r="J49" s="181"/>
      <c r="K49" s="195" t="s">
        <v>282</v>
      </c>
      <c r="L49" s="198"/>
      <c r="M49" s="1"/>
      <c r="N49" s="1"/>
      <c r="O49" s="1"/>
    </row>
    <row r="50" spans="1:15" ht="18.75" customHeight="1" x14ac:dyDescent="0.25">
      <c r="A50" s="264"/>
      <c r="B50" s="265" t="s">
        <v>290</v>
      </c>
      <c r="C50" s="190"/>
      <c r="D50" s="190"/>
      <c r="E50" s="190"/>
      <c r="F50" s="190"/>
      <c r="G50" s="190"/>
      <c r="H50" s="190"/>
      <c r="I50" s="190"/>
      <c r="J50" s="181"/>
      <c r="K50" s="222" t="e">
        <f>K81</f>
        <v>#REF!</v>
      </c>
      <c r="L50" s="223"/>
      <c r="M50" s="1"/>
      <c r="N50" s="1"/>
      <c r="O50" s="1"/>
    </row>
    <row r="51" spans="1:15" ht="18.75" customHeight="1" x14ac:dyDescent="0.25">
      <c r="A51" s="187"/>
      <c r="B51" s="194"/>
      <c r="C51" s="194"/>
      <c r="D51" s="194"/>
      <c r="E51" s="194"/>
      <c r="F51" s="194"/>
      <c r="G51" s="194"/>
      <c r="H51" s="194"/>
      <c r="I51" s="194"/>
      <c r="J51" s="185"/>
      <c r="K51" s="191"/>
      <c r="L51" s="248"/>
      <c r="M51" s="1"/>
      <c r="N51" s="1"/>
      <c r="O51" s="1"/>
    </row>
    <row r="52" spans="1:15" ht="18.75" customHeight="1" x14ac:dyDescent="0.25">
      <c r="A52" s="187"/>
      <c r="B52" s="266" t="s">
        <v>291</v>
      </c>
      <c r="C52" s="190"/>
      <c r="D52" s="190"/>
      <c r="E52" s="190"/>
      <c r="F52" s="190"/>
      <c r="G52" s="190"/>
      <c r="H52" s="190"/>
      <c r="I52" s="190"/>
      <c r="J52" s="181"/>
      <c r="K52" s="191"/>
      <c r="L52" s="248"/>
      <c r="M52" s="1"/>
      <c r="N52" s="1"/>
      <c r="O52" s="1"/>
    </row>
    <row r="53" spans="1:15" ht="18.75" customHeight="1" x14ac:dyDescent="0.25">
      <c r="A53" s="188"/>
      <c r="B53" s="194"/>
      <c r="C53" s="194"/>
      <c r="D53" s="194"/>
      <c r="E53" s="194"/>
      <c r="F53" s="194"/>
      <c r="G53" s="194"/>
      <c r="H53" s="194"/>
      <c r="I53" s="194"/>
      <c r="J53" s="185"/>
      <c r="K53" s="191"/>
      <c r="L53" s="248"/>
      <c r="M53" s="1"/>
      <c r="N53" s="1"/>
      <c r="O53" s="1"/>
    </row>
    <row r="54" spans="1:15" ht="18" customHeight="1" x14ac:dyDescent="0.25">
      <c r="A54" s="267"/>
      <c r="B54" s="242" t="s">
        <v>292</v>
      </c>
      <c r="C54" s="190"/>
      <c r="D54" s="190"/>
      <c r="E54" s="190"/>
      <c r="F54" s="190"/>
      <c r="G54" s="190"/>
      <c r="H54" s="190"/>
      <c r="I54" s="190"/>
      <c r="J54" s="181"/>
      <c r="K54" s="191"/>
      <c r="L54" s="248"/>
      <c r="M54" s="1"/>
      <c r="N54" s="1"/>
      <c r="O54" s="1"/>
    </row>
    <row r="55" spans="1:15" ht="18.75" customHeight="1" x14ac:dyDescent="0.25">
      <c r="A55" s="241"/>
      <c r="B55" s="193"/>
      <c r="C55" s="194"/>
      <c r="D55" s="194"/>
      <c r="E55" s="194"/>
      <c r="F55" s="194"/>
      <c r="G55" s="194"/>
      <c r="H55" s="194"/>
      <c r="I55" s="194"/>
      <c r="J55" s="185"/>
      <c r="K55" s="191"/>
      <c r="L55" s="248"/>
      <c r="M55" s="1"/>
      <c r="N55" s="1"/>
      <c r="O55" s="1"/>
    </row>
    <row r="56" spans="1:15" ht="18.75" customHeight="1" x14ac:dyDescent="0.25">
      <c r="A56" s="240"/>
      <c r="B56" s="242" t="s">
        <v>293</v>
      </c>
      <c r="C56" s="190"/>
      <c r="D56" s="190"/>
      <c r="E56" s="190"/>
      <c r="F56" s="190"/>
      <c r="G56" s="190"/>
      <c r="H56" s="190"/>
      <c r="I56" s="190"/>
      <c r="J56" s="181"/>
      <c r="K56" s="191"/>
      <c r="L56" s="248"/>
      <c r="M56" s="1"/>
      <c r="N56" s="1"/>
      <c r="O56" s="1"/>
    </row>
    <row r="57" spans="1:15" ht="17.25" customHeight="1" x14ac:dyDescent="0.25">
      <c r="A57" s="241"/>
      <c r="B57" s="193"/>
      <c r="C57" s="194"/>
      <c r="D57" s="194"/>
      <c r="E57" s="194"/>
      <c r="F57" s="194"/>
      <c r="G57" s="194"/>
      <c r="H57" s="194"/>
      <c r="I57" s="194"/>
      <c r="J57" s="185"/>
      <c r="K57" s="191"/>
      <c r="L57" s="248"/>
      <c r="M57" s="1"/>
      <c r="N57" s="1"/>
      <c r="O57" s="1"/>
    </row>
    <row r="58" spans="1:15" ht="18.75" customHeight="1" x14ac:dyDescent="0.25">
      <c r="A58" s="240"/>
      <c r="B58" s="268" t="s">
        <v>294</v>
      </c>
      <c r="C58" s="190"/>
      <c r="D58" s="190"/>
      <c r="E58" s="190"/>
      <c r="F58" s="190"/>
      <c r="G58" s="190"/>
      <c r="H58" s="190"/>
      <c r="I58" s="190"/>
      <c r="J58" s="181"/>
      <c r="K58" s="191"/>
      <c r="L58" s="248"/>
      <c r="M58" s="1"/>
      <c r="N58" s="1"/>
      <c r="O58" s="1"/>
    </row>
    <row r="59" spans="1:15" ht="18.75" customHeight="1" x14ac:dyDescent="0.25">
      <c r="A59" s="241"/>
      <c r="B59" s="193"/>
      <c r="C59" s="194"/>
      <c r="D59" s="194"/>
      <c r="E59" s="194"/>
      <c r="F59" s="194"/>
      <c r="G59" s="194"/>
      <c r="H59" s="194"/>
      <c r="I59" s="194"/>
      <c r="J59" s="185"/>
      <c r="K59" s="191"/>
      <c r="L59" s="248"/>
      <c r="M59" s="1"/>
      <c r="N59" s="1"/>
      <c r="O59" s="1"/>
    </row>
    <row r="60" spans="1:15" ht="18.75" customHeight="1" x14ac:dyDescent="0.25">
      <c r="A60" s="240"/>
      <c r="B60" s="242" t="s">
        <v>295</v>
      </c>
      <c r="C60" s="190"/>
      <c r="D60" s="190"/>
      <c r="E60" s="190"/>
      <c r="F60" s="190"/>
      <c r="G60" s="190"/>
      <c r="H60" s="190"/>
      <c r="I60" s="190"/>
      <c r="J60" s="181"/>
      <c r="K60" s="191"/>
      <c r="L60" s="248"/>
      <c r="M60" s="1"/>
      <c r="N60" s="1"/>
      <c r="O60" s="1"/>
    </row>
    <row r="61" spans="1:15" ht="18.75" customHeight="1" x14ac:dyDescent="0.25">
      <c r="A61" s="241"/>
      <c r="B61" s="193"/>
      <c r="C61" s="194"/>
      <c r="D61" s="194"/>
      <c r="E61" s="194"/>
      <c r="F61" s="194"/>
      <c r="G61" s="194"/>
      <c r="H61" s="194"/>
      <c r="I61" s="194"/>
      <c r="J61" s="185"/>
      <c r="K61" s="191"/>
      <c r="L61" s="248"/>
      <c r="M61" s="1"/>
      <c r="N61" s="1"/>
      <c r="O61" s="1"/>
    </row>
    <row r="62" spans="1:15" ht="18.75" customHeight="1" x14ac:dyDescent="0.25">
      <c r="A62" s="240"/>
      <c r="B62" s="242" t="s">
        <v>296</v>
      </c>
      <c r="C62" s="190"/>
      <c r="D62" s="190"/>
      <c r="E62" s="190"/>
      <c r="F62" s="190"/>
      <c r="G62" s="190"/>
      <c r="H62" s="190"/>
      <c r="I62" s="190"/>
      <c r="J62" s="181"/>
      <c r="K62" s="191"/>
      <c r="L62" s="248"/>
      <c r="M62" s="1"/>
      <c r="N62" s="1"/>
      <c r="O62" s="1"/>
    </row>
    <row r="63" spans="1:15" ht="23.25" customHeight="1" x14ac:dyDescent="0.25">
      <c r="A63" s="241"/>
      <c r="B63" s="193"/>
      <c r="C63" s="194"/>
      <c r="D63" s="194"/>
      <c r="E63" s="194"/>
      <c r="F63" s="194"/>
      <c r="G63" s="194"/>
      <c r="H63" s="194"/>
      <c r="I63" s="194"/>
      <c r="J63" s="185"/>
      <c r="K63" s="191"/>
      <c r="L63" s="248"/>
      <c r="M63" s="1"/>
      <c r="N63" s="1"/>
      <c r="O63" s="1"/>
    </row>
    <row r="64" spans="1:15" ht="18.75" customHeight="1" x14ac:dyDescent="0.25">
      <c r="A64" s="240"/>
      <c r="B64" s="242" t="s">
        <v>297</v>
      </c>
      <c r="C64" s="190"/>
      <c r="D64" s="190"/>
      <c r="E64" s="190"/>
      <c r="F64" s="190"/>
      <c r="G64" s="190"/>
      <c r="H64" s="190"/>
      <c r="I64" s="190"/>
      <c r="J64" s="181"/>
      <c r="K64" s="191"/>
      <c r="L64" s="248"/>
      <c r="M64" s="1"/>
      <c r="N64" s="1"/>
      <c r="O64" s="1"/>
    </row>
    <row r="65" spans="1:15" ht="18.75" customHeight="1" x14ac:dyDescent="0.25">
      <c r="A65" s="241"/>
      <c r="B65" s="193"/>
      <c r="C65" s="194"/>
      <c r="D65" s="194"/>
      <c r="E65" s="194"/>
      <c r="F65" s="194"/>
      <c r="G65" s="194"/>
      <c r="H65" s="194"/>
      <c r="I65" s="194"/>
      <c r="J65" s="185"/>
      <c r="K65" s="191"/>
      <c r="L65" s="248"/>
      <c r="M65" s="1"/>
      <c r="N65" s="1"/>
      <c r="O65" s="1"/>
    </row>
    <row r="66" spans="1:15" ht="18.75" customHeight="1" x14ac:dyDescent="0.25">
      <c r="A66" s="240"/>
      <c r="B66" s="242" t="s">
        <v>298</v>
      </c>
      <c r="C66" s="190"/>
      <c r="D66" s="190"/>
      <c r="E66" s="190"/>
      <c r="F66" s="190"/>
      <c r="G66" s="190"/>
      <c r="H66" s="190"/>
      <c r="I66" s="190"/>
      <c r="J66" s="181"/>
      <c r="K66" s="191"/>
      <c r="L66" s="248"/>
      <c r="M66" s="1"/>
      <c r="N66" s="1"/>
      <c r="O66" s="1"/>
    </row>
    <row r="67" spans="1:15" ht="18.75" customHeight="1" thickBot="1" x14ac:dyDescent="0.3">
      <c r="A67" s="243"/>
      <c r="B67" s="208"/>
      <c r="C67" s="229"/>
      <c r="D67" s="229"/>
      <c r="E67" s="229"/>
      <c r="F67" s="229"/>
      <c r="G67" s="229"/>
      <c r="H67" s="229"/>
      <c r="I67" s="229"/>
      <c r="J67" s="230"/>
      <c r="K67" s="208"/>
      <c r="L67" s="209"/>
      <c r="M67" s="1"/>
      <c r="N67" s="1"/>
      <c r="O67" s="1"/>
    </row>
    <row r="68" spans="1:15" ht="18.75" customHeight="1" thickBo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1"/>
      <c r="N68" s="1"/>
      <c r="O68" s="1"/>
    </row>
    <row r="69" spans="1:15" ht="12" customHeight="1" x14ac:dyDescent="0.25">
      <c r="A69" s="244" t="s">
        <v>441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32"/>
      <c r="M69" s="1"/>
      <c r="N69" s="1"/>
      <c r="O69" s="1"/>
    </row>
    <row r="70" spans="1:15" ht="21" customHeight="1" thickBot="1" x14ac:dyDescent="0.3">
      <c r="A70" s="204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233"/>
      <c r="M70" s="1"/>
      <c r="N70" s="1"/>
      <c r="O70" s="1"/>
    </row>
    <row r="71" spans="1:15" ht="18.75" customHeight="1" x14ac:dyDescent="0.25">
      <c r="A71" s="245" t="s">
        <v>299</v>
      </c>
      <c r="B71" s="246"/>
      <c r="C71" s="246"/>
      <c r="D71" s="246"/>
      <c r="E71" s="246"/>
      <c r="F71" s="246"/>
      <c r="G71" s="246"/>
      <c r="H71" s="246"/>
      <c r="I71" s="246"/>
      <c r="J71" s="183"/>
      <c r="K71" s="247" t="s">
        <v>23</v>
      </c>
      <c r="L71" s="248"/>
      <c r="M71" s="1"/>
      <c r="N71" s="1"/>
      <c r="O71" s="1"/>
    </row>
    <row r="72" spans="1:15" ht="18.75" customHeight="1" x14ac:dyDescent="0.25">
      <c r="A72" s="226"/>
      <c r="B72" s="194"/>
      <c r="C72" s="194"/>
      <c r="D72" s="194"/>
      <c r="E72" s="194"/>
      <c r="F72" s="194"/>
      <c r="G72" s="194"/>
      <c r="H72" s="194"/>
      <c r="I72" s="194"/>
      <c r="J72" s="185"/>
      <c r="K72" s="193"/>
      <c r="L72" s="224"/>
      <c r="M72" s="1"/>
      <c r="N72" s="1"/>
      <c r="O72" s="1"/>
    </row>
    <row r="73" spans="1:15" ht="18.75" customHeight="1" x14ac:dyDescent="0.25">
      <c r="A73" s="225" t="s">
        <v>300</v>
      </c>
      <c r="B73" s="190"/>
      <c r="C73" s="190"/>
      <c r="D73" s="190"/>
      <c r="E73" s="190"/>
      <c r="F73" s="190"/>
      <c r="G73" s="190"/>
      <c r="H73" s="190"/>
      <c r="I73" s="190"/>
      <c r="J73" s="181"/>
      <c r="K73" s="222" t="e">
        <f>SUM(#REF!,#REF!,#REF!,#REF!,#REF!,#REF!,#REF!)</f>
        <v>#REF!</v>
      </c>
      <c r="L73" s="223"/>
      <c r="M73" s="1"/>
      <c r="N73" s="1"/>
      <c r="O73" s="1"/>
    </row>
    <row r="74" spans="1:15" ht="12" customHeight="1" x14ac:dyDescent="0.25">
      <c r="A74" s="226"/>
      <c r="B74" s="194"/>
      <c r="C74" s="194"/>
      <c r="D74" s="194"/>
      <c r="E74" s="194"/>
      <c r="F74" s="194"/>
      <c r="G74" s="194"/>
      <c r="H74" s="194"/>
      <c r="I74" s="194"/>
      <c r="J74" s="185"/>
      <c r="K74" s="193"/>
      <c r="L74" s="224"/>
      <c r="M74" s="1"/>
      <c r="N74" s="1"/>
      <c r="O74" s="1"/>
    </row>
    <row r="75" spans="1:15" ht="18.75" customHeight="1" x14ac:dyDescent="0.25">
      <c r="A75" s="225" t="s">
        <v>301</v>
      </c>
      <c r="B75" s="190"/>
      <c r="C75" s="190"/>
      <c r="D75" s="190"/>
      <c r="E75" s="190"/>
      <c r="F75" s="190"/>
      <c r="G75" s="190"/>
      <c r="H75" s="190"/>
      <c r="I75" s="190"/>
      <c r="J75" s="181"/>
      <c r="K75" s="222">
        <f>SUM(K247,K251)</f>
        <v>0</v>
      </c>
      <c r="L75" s="223"/>
      <c r="M75" s="1"/>
      <c r="N75" s="1"/>
      <c r="O75" s="1"/>
    </row>
    <row r="76" spans="1:15" ht="18.75" customHeight="1" x14ac:dyDescent="0.25">
      <c r="A76" s="226"/>
      <c r="B76" s="194"/>
      <c r="C76" s="194"/>
      <c r="D76" s="194"/>
      <c r="E76" s="194"/>
      <c r="F76" s="194"/>
      <c r="G76" s="194"/>
      <c r="H76" s="194"/>
      <c r="I76" s="194"/>
      <c r="J76" s="185"/>
      <c r="K76" s="193"/>
      <c r="L76" s="224"/>
      <c r="M76" s="1"/>
      <c r="N76" s="1"/>
      <c r="O76" s="1"/>
    </row>
    <row r="77" spans="1:15" ht="18.75" customHeight="1" x14ac:dyDescent="0.25">
      <c r="A77" s="225" t="s">
        <v>302</v>
      </c>
      <c r="B77" s="190"/>
      <c r="C77" s="190"/>
      <c r="D77" s="190"/>
      <c r="E77" s="190"/>
      <c r="F77" s="190"/>
      <c r="G77" s="190"/>
      <c r="H77" s="190"/>
      <c r="I77" s="190"/>
      <c r="J77" s="181"/>
      <c r="K77" s="222">
        <f>K259</f>
        <v>0</v>
      </c>
      <c r="L77" s="223"/>
      <c r="M77" s="1"/>
      <c r="N77" s="1"/>
      <c r="O77" s="1"/>
    </row>
    <row r="78" spans="1:15" ht="18.75" customHeight="1" x14ac:dyDescent="0.25">
      <c r="A78" s="226"/>
      <c r="B78" s="194"/>
      <c r="C78" s="194"/>
      <c r="D78" s="194"/>
      <c r="E78" s="194"/>
      <c r="F78" s="194"/>
      <c r="G78" s="194"/>
      <c r="H78" s="194"/>
      <c r="I78" s="194"/>
      <c r="J78" s="185"/>
      <c r="K78" s="193"/>
      <c r="L78" s="224"/>
      <c r="M78" s="1"/>
      <c r="N78" s="1"/>
      <c r="O78" s="1"/>
    </row>
    <row r="79" spans="1:15" ht="18.75" customHeight="1" x14ac:dyDescent="0.25">
      <c r="A79" s="225" t="s">
        <v>303</v>
      </c>
      <c r="B79" s="190"/>
      <c r="C79" s="190"/>
      <c r="D79" s="190"/>
      <c r="E79" s="190"/>
      <c r="F79" s="190"/>
      <c r="G79" s="190"/>
      <c r="H79" s="190"/>
      <c r="I79" s="190"/>
      <c r="J79" s="181"/>
      <c r="K79" s="222" t="e">
        <f>#REF!</f>
        <v>#REF!</v>
      </c>
      <c r="L79" s="223"/>
      <c r="M79" s="1"/>
      <c r="N79" s="1"/>
      <c r="O79" s="1"/>
    </row>
    <row r="80" spans="1:15" ht="18.75" customHeight="1" x14ac:dyDescent="0.25">
      <c r="A80" s="226"/>
      <c r="B80" s="194"/>
      <c r="C80" s="194"/>
      <c r="D80" s="194"/>
      <c r="E80" s="194"/>
      <c r="F80" s="194"/>
      <c r="G80" s="194"/>
      <c r="H80" s="194"/>
      <c r="I80" s="194"/>
      <c r="J80" s="185"/>
      <c r="K80" s="193"/>
      <c r="L80" s="224"/>
      <c r="M80" s="1"/>
      <c r="N80" s="1"/>
      <c r="O80" s="1"/>
    </row>
    <row r="81" spans="1:33" ht="18.75" customHeight="1" x14ac:dyDescent="0.25">
      <c r="A81" s="227" t="s">
        <v>282</v>
      </c>
      <c r="B81" s="190"/>
      <c r="C81" s="190"/>
      <c r="D81" s="190"/>
      <c r="E81" s="190"/>
      <c r="F81" s="190"/>
      <c r="G81" s="190"/>
      <c r="H81" s="190"/>
      <c r="I81" s="190"/>
      <c r="J81" s="181"/>
      <c r="K81" s="231" t="e">
        <f>SUM(K73:L80)</f>
        <v>#REF!</v>
      </c>
      <c r="L81" s="223"/>
      <c r="M81" s="1"/>
      <c r="N81" s="1"/>
      <c r="O81" s="1"/>
    </row>
    <row r="82" spans="1:33" ht="18.75" customHeight="1" thickBot="1" x14ac:dyDescent="0.3">
      <c r="A82" s="228"/>
      <c r="B82" s="229"/>
      <c r="C82" s="229"/>
      <c r="D82" s="229"/>
      <c r="E82" s="229"/>
      <c r="F82" s="229"/>
      <c r="G82" s="229"/>
      <c r="H82" s="229"/>
      <c r="I82" s="229"/>
      <c r="J82" s="230"/>
      <c r="K82" s="208"/>
      <c r="L82" s="209"/>
      <c r="M82" s="1"/>
      <c r="N82" s="1"/>
      <c r="O82" s="1"/>
    </row>
    <row r="83" spans="1:33" ht="18.75" customHeight="1" thickBot="1" x14ac:dyDescent="0.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1"/>
      <c r="N83" s="1"/>
      <c r="O83" s="1"/>
    </row>
    <row r="84" spans="1:33" ht="18.75" customHeight="1" x14ac:dyDescent="0.25">
      <c r="A84" s="201" t="s">
        <v>442</v>
      </c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32"/>
      <c r="M84" s="1"/>
      <c r="N84" s="1"/>
      <c r="O84" s="1"/>
    </row>
    <row r="85" spans="1:33" ht="18.75" customHeight="1" thickBot="1" x14ac:dyDescent="0.3">
      <c r="A85" s="204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233"/>
      <c r="M85" s="1"/>
      <c r="N85" s="1"/>
      <c r="O85" s="1"/>
    </row>
    <row r="86" spans="1:33" ht="18.75" customHeight="1" thickBot="1" x14ac:dyDescent="0.3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1"/>
      <c r="N86" s="1"/>
      <c r="O86" s="1"/>
    </row>
    <row r="87" spans="1:33" ht="18.75" customHeight="1" x14ac:dyDescent="0.25">
      <c r="A87" s="234" t="s">
        <v>412</v>
      </c>
      <c r="B87" s="235"/>
      <c r="C87" s="235"/>
      <c r="D87" s="235"/>
      <c r="E87" s="235"/>
      <c r="F87" s="235"/>
      <c r="G87" s="235"/>
      <c r="H87" s="235"/>
      <c r="I87" s="235"/>
      <c r="J87" s="236"/>
      <c r="K87" s="237"/>
      <c r="L87" s="207"/>
      <c r="M87" s="1"/>
      <c r="N87" s="1"/>
      <c r="O87" s="1"/>
    </row>
    <row r="88" spans="1:33" ht="18.75" customHeight="1" x14ac:dyDescent="0.25">
      <c r="A88" s="226"/>
      <c r="B88" s="194"/>
      <c r="C88" s="194"/>
      <c r="D88" s="194"/>
      <c r="E88" s="194"/>
      <c r="F88" s="194"/>
      <c r="G88" s="194"/>
      <c r="H88" s="194"/>
      <c r="I88" s="194"/>
      <c r="J88" s="185"/>
      <c r="K88" s="193"/>
      <c r="L88" s="224"/>
      <c r="M88" s="1"/>
      <c r="N88" s="1"/>
      <c r="O88" s="1"/>
    </row>
    <row r="89" spans="1:33" ht="18.75" customHeight="1" x14ac:dyDescent="0.25">
      <c r="A89" s="238" t="s">
        <v>413</v>
      </c>
      <c r="B89" s="190"/>
      <c r="C89" s="190"/>
      <c r="D89" s="190"/>
      <c r="E89" s="190"/>
      <c r="F89" s="190"/>
      <c r="G89" s="190"/>
      <c r="H89" s="190"/>
      <c r="I89" s="190"/>
      <c r="J89" s="181"/>
      <c r="K89" s="239"/>
      <c r="L89" s="223"/>
      <c r="M89" s="1"/>
      <c r="N89" s="1"/>
      <c r="O89" s="1"/>
    </row>
    <row r="90" spans="1:33" ht="14.25" customHeight="1" thickBot="1" x14ac:dyDescent="0.3">
      <c r="A90" s="228"/>
      <c r="B90" s="229"/>
      <c r="C90" s="229"/>
      <c r="D90" s="229"/>
      <c r="E90" s="229"/>
      <c r="F90" s="229"/>
      <c r="G90" s="229"/>
      <c r="H90" s="229"/>
      <c r="I90" s="229"/>
      <c r="J90" s="230"/>
      <c r="K90" s="208"/>
      <c r="L90" s="209"/>
      <c r="M90" s="1"/>
      <c r="N90" s="1"/>
      <c r="O90" s="1"/>
    </row>
    <row r="91" spans="1:33" ht="15" customHeight="1" thickBot="1" x14ac:dyDescent="0.3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1"/>
      <c r="N91" s="1"/>
      <c r="O91" s="1"/>
    </row>
    <row r="92" spans="1:33" ht="18.75" customHeight="1" x14ac:dyDescent="0.25">
      <c r="A92" s="107" t="s">
        <v>443</v>
      </c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9"/>
      <c r="M92" s="1"/>
      <c r="N92" s="1"/>
      <c r="O92" s="1"/>
    </row>
    <row r="93" spans="1:33" ht="18" customHeight="1" thickBot="1" x14ac:dyDescent="0.3">
      <c r="A93" s="177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9"/>
      <c r="M93" s="1"/>
      <c r="N93" s="1"/>
      <c r="O93" s="1"/>
    </row>
    <row r="94" spans="1:33" ht="40.5" customHeight="1" x14ac:dyDescent="0.25">
      <c r="A94" s="346" t="s">
        <v>425</v>
      </c>
      <c r="B94" s="347"/>
      <c r="C94" s="349" t="s">
        <v>426</v>
      </c>
      <c r="D94" s="347"/>
      <c r="E94" s="347"/>
      <c r="F94" s="349" t="s">
        <v>427</v>
      </c>
      <c r="G94" s="347"/>
      <c r="H94" s="349" t="s">
        <v>428</v>
      </c>
      <c r="I94" s="349" t="s">
        <v>429</v>
      </c>
      <c r="J94" s="349" t="s">
        <v>430</v>
      </c>
      <c r="K94" s="349" t="s">
        <v>431</v>
      </c>
      <c r="L94" s="350">
        <f>SUM(L96:L126)</f>
        <v>0</v>
      </c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 spans="1:33" ht="18.75" customHeight="1" x14ac:dyDescent="0.25">
      <c r="A95" s="348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351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 spans="1:33" ht="18.75" customHeight="1" x14ac:dyDescent="0.25">
      <c r="A96" s="344"/>
      <c r="B96" s="345"/>
      <c r="C96" s="269"/>
      <c r="D96" s="250"/>
      <c r="E96" s="250"/>
      <c r="F96" s="251"/>
      <c r="G96" s="250"/>
      <c r="H96" s="25"/>
      <c r="I96" s="35"/>
      <c r="J96" s="26"/>
      <c r="K96" s="27"/>
      <c r="L96" s="28">
        <f t="shared" ref="L96:L137" si="0">J96*K96</f>
        <v>0</v>
      </c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 spans="1:33" ht="18.75" customHeight="1" x14ac:dyDescent="0.25">
      <c r="A97" s="344"/>
      <c r="B97" s="345"/>
      <c r="C97" s="269"/>
      <c r="D97" s="250"/>
      <c r="E97" s="250"/>
      <c r="F97" s="251"/>
      <c r="G97" s="250"/>
      <c r="H97" s="25"/>
      <c r="I97" s="35"/>
      <c r="J97" s="26"/>
      <c r="K97" s="27"/>
      <c r="L97" s="28">
        <f t="shared" si="0"/>
        <v>0</v>
      </c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9" t="s">
        <v>57</v>
      </c>
    </row>
    <row r="98" spans="1:33" ht="18.75" customHeight="1" x14ac:dyDescent="0.25">
      <c r="A98" s="344"/>
      <c r="B98" s="345"/>
      <c r="C98" s="269"/>
      <c r="D98" s="250"/>
      <c r="E98" s="250"/>
      <c r="F98" s="251"/>
      <c r="G98" s="250"/>
      <c r="H98" s="25"/>
      <c r="I98" s="35"/>
      <c r="J98" s="26"/>
      <c r="K98" s="27"/>
      <c r="L98" s="28">
        <f t="shared" si="0"/>
        <v>0</v>
      </c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9" t="s">
        <v>61</v>
      </c>
    </row>
    <row r="99" spans="1:33" ht="18.75" customHeight="1" x14ac:dyDescent="0.25">
      <c r="A99" s="329"/>
      <c r="B99" s="250"/>
      <c r="C99" s="269"/>
      <c r="D99" s="250"/>
      <c r="E99" s="250"/>
      <c r="F99" s="251"/>
      <c r="G99" s="250"/>
      <c r="H99" s="25"/>
      <c r="I99" s="35"/>
      <c r="J99" s="26"/>
      <c r="K99" s="27"/>
      <c r="L99" s="28">
        <f t="shared" si="0"/>
        <v>0</v>
      </c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9" t="s">
        <v>65</v>
      </c>
    </row>
    <row r="100" spans="1:33" ht="19.5" customHeight="1" x14ac:dyDescent="0.25">
      <c r="A100" s="329"/>
      <c r="B100" s="250"/>
      <c r="C100" s="269"/>
      <c r="D100" s="250"/>
      <c r="E100" s="250"/>
      <c r="F100" s="251"/>
      <c r="G100" s="250"/>
      <c r="H100" s="25"/>
      <c r="I100" s="35"/>
      <c r="J100" s="26"/>
      <c r="K100" s="27"/>
      <c r="L100" s="28">
        <f t="shared" si="0"/>
        <v>0</v>
      </c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9" t="s">
        <v>69</v>
      </c>
    </row>
    <row r="101" spans="1:33" ht="18.75" customHeight="1" x14ac:dyDescent="0.25">
      <c r="A101" s="329"/>
      <c r="B101" s="250"/>
      <c r="C101" s="269"/>
      <c r="D101" s="250"/>
      <c r="E101" s="250"/>
      <c r="F101" s="251"/>
      <c r="G101" s="250"/>
      <c r="H101" s="25"/>
      <c r="I101" s="35"/>
      <c r="J101" s="26"/>
      <c r="K101" s="27"/>
      <c r="L101" s="28">
        <f t="shared" si="0"/>
        <v>0</v>
      </c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9" t="s">
        <v>73</v>
      </c>
    </row>
    <row r="102" spans="1:33" ht="18.75" customHeight="1" x14ac:dyDescent="0.25">
      <c r="A102" s="329"/>
      <c r="B102" s="250"/>
      <c r="C102" s="269"/>
      <c r="D102" s="250"/>
      <c r="E102" s="250"/>
      <c r="F102" s="251"/>
      <c r="G102" s="250"/>
      <c r="H102" s="25"/>
      <c r="I102" s="35"/>
      <c r="J102" s="26"/>
      <c r="K102" s="27"/>
      <c r="L102" s="28">
        <f t="shared" si="0"/>
        <v>0</v>
      </c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9" t="s">
        <v>77</v>
      </c>
    </row>
    <row r="103" spans="1:33" ht="15.75" customHeight="1" x14ac:dyDescent="0.25">
      <c r="A103" s="329"/>
      <c r="B103" s="250"/>
      <c r="C103" s="269"/>
      <c r="D103" s="250"/>
      <c r="E103" s="250"/>
      <c r="F103" s="251"/>
      <c r="G103" s="250"/>
      <c r="H103" s="25"/>
      <c r="I103" s="35"/>
      <c r="J103" s="26"/>
      <c r="K103" s="27"/>
      <c r="L103" s="28">
        <f t="shared" si="0"/>
        <v>0</v>
      </c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9" t="s">
        <v>81</v>
      </c>
    </row>
    <row r="104" spans="1:33" ht="18.75" customHeight="1" x14ac:dyDescent="0.25">
      <c r="A104" s="329"/>
      <c r="B104" s="250"/>
      <c r="C104" s="269"/>
      <c r="D104" s="250"/>
      <c r="E104" s="250"/>
      <c r="F104" s="251"/>
      <c r="G104" s="250"/>
      <c r="H104" s="25"/>
      <c r="I104" s="35"/>
      <c r="J104" s="26"/>
      <c r="K104" s="27"/>
      <c r="L104" s="28">
        <f t="shared" si="0"/>
        <v>0</v>
      </c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9" t="s">
        <v>85</v>
      </c>
    </row>
    <row r="105" spans="1:33" ht="18.75" customHeight="1" x14ac:dyDescent="0.25">
      <c r="A105" s="329"/>
      <c r="B105" s="250"/>
      <c r="C105" s="269"/>
      <c r="D105" s="250"/>
      <c r="E105" s="250"/>
      <c r="F105" s="251"/>
      <c r="G105" s="250"/>
      <c r="H105" s="25"/>
      <c r="I105" s="35"/>
      <c r="J105" s="26"/>
      <c r="K105" s="27"/>
      <c r="L105" s="28">
        <f t="shared" si="0"/>
        <v>0</v>
      </c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9" t="s">
        <v>89</v>
      </c>
    </row>
    <row r="106" spans="1:33" ht="18.75" customHeight="1" x14ac:dyDescent="0.25">
      <c r="A106" s="329"/>
      <c r="B106" s="250"/>
      <c r="C106" s="269"/>
      <c r="D106" s="250"/>
      <c r="E106" s="250"/>
      <c r="F106" s="251"/>
      <c r="G106" s="250"/>
      <c r="H106" s="25"/>
      <c r="I106" s="35"/>
      <c r="J106" s="26"/>
      <c r="K106" s="27"/>
      <c r="L106" s="28">
        <f t="shared" si="0"/>
        <v>0</v>
      </c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9" t="s">
        <v>93</v>
      </c>
    </row>
    <row r="107" spans="1:33" ht="18.75" customHeight="1" x14ac:dyDescent="0.25">
      <c r="A107" s="329"/>
      <c r="B107" s="250"/>
      <c r="C107" s="269"/>
      <c r="D107" s="250"/>
      <c r="E107" s="250"/>
      <c r="F107" s="251"/>
      <c r="G107" s="250"/>
      <c r="H107" s="25"/>
      <c r="I107" s="35"/>
      <c r="J107" s="26"/>
      <c r="K107" s="27"/>
      <c r="L107" s="28">
        <f t="shared" si="0"/>
        <v>0</v>
      </c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9" t="s">
        <v>97</v>
      </c>
    </row>
    <row r="108" spans="1:33" ht="18.75" customHeight="1" x14ac:dyDescent="0.25">
      <c r="A108" s="329"/>
      <c r="B108" s="250"/>
      <c r="C108" s="249"/>
      <c r="D108" s="250"/>
      <c r="E108" s="250"/>
      <c r="F108" s="251"/>
      <c r="G108" s="250"/>
      <c r="H108" s="36"/>
      <c r="I108" s="35"/>
      <c r="J108" s="26"/>
      <c r="K108" s="30"/>
      <c r="L108" s="28">
        <f t="shared" si="0"/>
        <v>0</v>
      </c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9" t="s">
        <v>101</v>
      </c>
    </row>
    <row r="109" spans="1:33" ht="18.75" customHeight="1" x14ac:dyDescent="0.25">
      <c r="A109" s="329"/>
      <c r="B109" s="250"/>
      <c r="C109" s="249"/>
      <c r="D109" s="250"/>
      <c r="E109" s="250"/>
      <c r="F109" s="251"/>
      <c r="G109" s="250"/>
      <c r="H109" s="36"/>
      <c r="I109" s="35"/>
      <c r="J109" s="26"/>
      <c r="K109" s="30"/>
      <c r="L109" s="28">
        <f t="shared" si="0"/>
        <v>0</v>
      </c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9" t="s">
        <v>105</v>
      </c>
    </row>
    <row r="110" spans="1:33" ht="18.75" customHeight="1" x14ac:dyDescent="0.25">
      <c r="A110" s="329"/>
      <c r="B110" s="250"/>
      <c r="C110" s="249"/>
      <c r="D110" s="250"/>
      <c r="E110" s="250"/>
      <c r="F110" s="251"/>
      <c r="G110" s="250"/>
      <c r="H110" s="36"/>
      <c r="I110" s="35"/>
      <c r="J110" s="26"/>
      <c r="K110" s="30"/>
      <c r="L110" s="28">
        <f t="shared" si="0"/>
        <v>0</v>
      </c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9" t="s">
        <v>109</v>
      </c>
    </row>
    <row r="111" spans="1:33" ht="18.75" customHeight="1" x14ac:dyDescent="0.25">
      <c r="A111" s="329"/>
      <c r="B111" s="250"/>
      <c r="C111" s="249"/>
      <c r="D111" s="250"/>
      <c r="E111" s="250"/>
      <c r="F111" s="251"/>
      <c r="G111" s="250"/>
      <c r="H111" s="36"/>
      <c r="I111" s="35"/>
      <c r="J111" s="26"/>
      <c r="K111" s="30"/>
      <c r="L111" s="28">
        <f t="shared" si="0"/>
        <v>0</v>
      </c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9" t="s">
        <v>113</v>
      </c>
    </row>
    <row r="112" spans="1:33" ht="18.75" customHeight="1" x14ac:dyDescent="0.25">
      <c r="A112" s="329"/>
      <c r="B112" s="250"/>
      <c r="C112" s="249"/>
      <c r="D112" s="250"/>
      <c r="E112" s="250"/>
      <c r="F112" s="251"/>
      <c r="G112" s="250"/>
      <c r="H112" s="36"/>
      <c r="I112" s="35"/>
      <c r="J112" s="26"/>
      <c r="K112" s="30"/>
      <c r="L112" s="28">
        <f t="shared" si="0"/>
        <v>0</v>
      </c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9" t="s">
        <v>117</v>
      </c>
    </row>
    <row r="113" spans="1:33" ht="18.75" customHeight="1" x14ac:dyDescent="0.25">
      <c r="A113" s="329"/>
      <c r="B113" s="250"/>
      <c r="C113" s="249"/>
      <c r="D113" s="250"/>
      <c r="E113" s="250"/>
      <c r="F113" s="251"/>
      <c r="G113" s="250"/>
      <c r="H113" s="36"/>
      <c r="I113" s="35"/>
      <c r="J113" s="26"/>
      <c r="K113" s="30"/>
      <c r="L113" s="28">
        <f t="shared" si="0"/>
        <v>0</v>
      </c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31" t="s">
        <v>432</v>
      </c>
    </row>
    <row r="114" spans="1:33" ht="18.75" customHeight="1" x14ac:dyDescent="0.25">
      <c r="A114" s="329"/>
      <c r="B114" s="250"/>
      <c r="C114" s="249"/>
      <c r="D114" s="250"/>
      <c r="E114" s="250"/>
      <c r="F114" s="251"/>
      <c r="G114" s="250"/>
      <c r="H114" s="36"/>
      <c r="I114" s="35"/>
      <c r="J114" s="26"/>
      <c r="K114" s="30"/>
      <c r="L114" s="28">
        <f t="shared" si="0"/>
        <v>0</v>
      </c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31" t="s">
        <v>433</v>
      </c>
    </row>
    <row r="115" spans="1:33" ht="18.75" customHeight="1" x14ac:dyDescent="0.25">
      <c r="A115" s="329"/>
      <c r="B115" s="250"/>
      <c r="C115" s="249"/>
      <c r="D115" s="250"/>
      <c r="E115" s="250"/>
      <c r="F115" s="251"/>
      <c r="G115" s="250"/>
      <c r="H115" s="36"/>
      <c r="I115" s="35"/>
      <c r="J115" s="26"/>
      <c r="K115" s="30"/>
      <c r="L115" s="28">
        <f t="shared" si="0"/>
        <v>0</v>
      </c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31" t="s">
        <v>434</v>
      </c>
    </row>
    <row r="116" spans="1:33" ht="18.75" customHeight="1" x14ac:dyDescent="0.25">
      <c r="A116" s="329"/>
      <c r="B116" s="250"/>
      <c r="C116" s="249"/>
      <c r="D116" s="250"/>
      <c r="E116" s="250"/>
      <c r="F116" s="251"/>
      <c r="G116" s="250"/>
      <c r="H116" s="36"/>
      <c r="I116" s="35"/>
      <c r="J116" s="26"/>
      <c r="K116" s="30"/>
      <c r="L116" s="28">
        <f t="shared" si="0"/>
        <v>0</v>
      </c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 spans="1:33" ht="18.75" customHeight="1" x14ac:dyDescent="0.25">
      <c r="A117" s="329"/>
      <c r="B117" s="250"/>
      <c r="C117" s="249"/>
      <c r="D117" s="250"/>
      <c r="E117" s="250"/>
      <c r="F117" s="251"/>
      <c r="G117" s="250"/>
      <c r="H117" s="36"/>
      <c r="I117" s="35"/>
      <c r="J117" s="26"/>
      <c r="K117" s="30"/>
      <c r="L117" s="28">
        <f t="shared" si="0"/>
        <v>0</v>
      </c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 spans="1:33" ht="18.75" customHeight="1" x14ac:dyDescent="0.25">
      <c r="A118" s="329"/>
      <c r="B118" s="250"/>
      <c r="C118" s="249"/>
      <c r="D118" s="250"/>
      <c r="E118" s="250"/>
      <c r="F118" s="251"/>
      <c r="G118" s="250"/>
      <c r="H118" s="36"/>
      <c r="I118" s="35"/>
      <c r="J118" s="26"/>
      <c r="K118" s="30"/>
      <c r="L118" s="28">
        <f t="shared" si="0"/>
        <v>0</v>
      </c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 spans="1:33" ht="18.75" customHeight="1" x14ac:dyDescent="0.25">
      <c r="A119" s="329"/>
      <c r="B119" s="250"/>
      <c r="C119" s="249"/>
      <c r="D119" s="250"/>
      <c r="E119" s="250"/>
      <c r="F119" s="251"/>
      <c r="G119" s="250"/>
      <c r="H119" s="36"/>
      <c r="I119" s="35"/>
      <c r="J119" s="26"/>
      <c r="K119" s="30"/>
      <c r="L119" s="28">
        <f t="shared" si="0"/>
        <v>0</v>
      </c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 spans="1:33" ht="18.75" customHeight="1" x14ac:dyDescent="0.25">
      <c r="A120" s="329"/>
      <c r="B120" s="250"/>
      <c r="C120" s="249"/>
      <c r="D120" s="250"/>
      <c r="E120" s="250"/>
      <c r="F120" s="251"/>
      <c r="G120" s="250"/>
      <c r="H120" s="36"/>
      <c r="I120" s="35"/>
      <c r="J120" s="26"/>
      <c r="K120" s="30"/>
      <c r="L120" s="28">
        <f t="shared" si="0"/>
        <v>0</v>
      </c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 spans="1:33" ht="18.75" customHeight="1" x14ac:dyDescent="0.25">
      <c r="A121" s="329"/>
      <c r="B121" s="250"/>
      <c r="C121" s="249"/>
      <c r="D121" s="250"/>
      <c r="E121" s="250"/>
      <c r="F121" s="251"/>
      <c r="G121" s="250"/>
      <c r="H121" s="36"/>
      <c r="I121" s="35"/>
      <c r="J121" s="26"/>
      <c r="K121" s="30"/>
      <c r="L121" s="28">
        <f t="shared" si="0"/>
        <v>0</v>
      </c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 spans="1:33" ht="18.75" customHeight="1" x14ac:dyDescent="0.25">
      <c r="A122" s="329"/>
      <c r="B122" s="250"/>
      <c r="C122" s="249"/>
      <c r="D122" s="250"/>
      <c r="E122" s="250"/>
      <c r="F122" s="251"/>
      <c r="G122" s="250"/>
      <c r="H122" s="36"/>
      <c r="I122" s="35"/>
      <c r="J122" s="26"/>
      <c r="K122" s="30"/>
      <c r="L122" s="28">
        <f t="shared" si="0"/>
        <v>0</v>
      </c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 spans="1:33" ht="18.75" customHeight="1" x14ac:dyDescent="0.25">
      <c r="A123" s="344"/>
      <c r="B123" s="345"/>
      <c r="C123" s="249"/>
      <c r="D123" s="250"/>
      <c r="E123" s="250"/>
      <c r="F123" s="251"/>
      <c r="G123" s="250"/>
      <c r="H123" s="36"/>
      <c r="I123" s="35"/>
      <c r="J123" s="26"/>
      <c r="K123" s="30"/>
      <c r="L123" s="28">
        <f t="shared" si="0"/>
        <v>0</v>
      </c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 spans="1:33" ht="18.75" customHeight="1" x14ac:dyDescent="0.25">
      <c r="A124" s="329"/>
      <c r="B124" s="250"/>
      <c r="C124" s="249"/>
      <c r="D124" s="250"/>
      <c r="E124" s="250"/>
      <c r="F124" s="251"/>
      <c r="G124" s="250"/>
      <c r="H124" s="36"/>
      <c r="I124" s="35"/>
      <c r="J124" s="26"/>
      <c r="K124" s="30"/>
      <c r="L124" s="28">
        <f t="shared" si="0"/>
        <v>0</v>
      </c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 spans="1:33" ht="18.75" customHeight="1" x14ac:dyDescent="0.25">
      <c r="A125" s="329"/>
      <c r="B125" s="250"/>
      <c r="C125" s="249"/>
      <c r="D125" s="250"/>
      <c r="E125" s="250"/>
      <c r="F125" s="251"/>
      <c r="G125" s="250"/>
      <c r="H125" s="36"/>
      <c r="I125" s="35"/>
      <c r="J125" s="26"/>
      <c r="K125" s="30"/>
      <c r="L125" s="28">
        <f t="shared" si="0"/>
        <v>0</v>
      </c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 spans="1:33" ht="18.75" customHeight="1" x14ac:dyDescent="0.25">
      <c r="A126" s="329"/>
      <c r="B126" s="250"/>
      <c r="C126" s="249"/>
      <c r="D126" s="250"/>
      <c r="E126" s="250"/>
      <c r="F126" s="251"/>
      <c r="G126" s="250"/>
      <c r="H126" s="36"/>
      <c r="I126" s="35"/>
      <c r="J126" s="26"/>
      <c r="K126" s="30"/>
      <c r="L126" s="28">
        <f t="shared" si="0"/>
        <v>0</v>
      </c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 spans="1:33" ht="18.75" customHeight="1" x14ac:dyDescent="0.25">
      <c r="A127" s="329"/>
      <c r="B127" s="250"/>
      <c r="C127" s="249"/>
      <c r="D127" s="250"/>
      <c r="E127" s="250"/>
      <c r="F127" s="251"/>
      <c r="G127" s="250"/>
      <c r="H127" s="36"/>
      <c r="I127" s="35"/>
      <c r="J127" s="26"/>
      <c r="K127" s="30"/>
      <c r="L127" s="28">
        <f t="shared" si="0"/>
        <v>0</v>
      </c>
      <c r="M127" s="2"/>
      <c r="N127" s="2"/>
      <c r="O127" s="2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 spans="1:33" ht="18.75" customHeight="1" x14ac:dyDescent="0.25">
      <c r="A128" s="329"/>
      <c r="B128" s="250"/>
      <c r="C128" s="249"/>
      <c r="D128" s="250"/>
      <c r="E128" s="250"/>
      <c r="F128" s="251"/>
      <c r="G128" s="250"/>
      <c r="H128" s="36"/>
      <c r="I128" s="35"/>
      <c r="J128" s="26"/>
      <c r="K128" s="30"/>
      <c r="L128" s="28">
        <f t="shared" si="0"/>
        <v>0</v>
      </c>
      <c r="M128" s="2"/>
      <c r="N128" s="2"/>
      <c r="O128" s="2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 spans="1:33" ht="18.75" customHeight="1" x14ac:dyDescent="0.25">
      <c r="A129" s="329"/>
      <c r="B129" s="250"/>
      <c r="C129" s="249"/>
      <c r="D129" s="250"/>
      <c r="E129" s="250"/>
      <c r="F129" s="251"/>
      <c r="G129" s="250"/>
      <c r="H129" s="36"/>
      <c r="I129" s="35"/>
      <c r="J129" s="26"/>
      <c r="K129" s="30"/>
      <c r="L129" s="28">
        <f t="shared" si="0"/>
        <v>0</v>
      </c>
      <c r="M129" s="2"/>
      <c r="N129" s="2"/>
      <c r="O129" s="2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 spans="1:33" ht="18.75" customHeight="1" x14ac:dyDescent="0.25">
      <c r="A130" s="329"/>
      <c r="B130" s="250"/>
      <c r="C130" s="249"/>
      <c r="D130" s="250"/>
      <c r="E130" s="250"/>
      <c r="F130" s="251"/>
      <c r="G130" s="250"/>
      <c r="H130" s="36"/>
      <c r="I130" s="35"/>
      <c r="J130" s="26"/>
      <c r="K130" s="30"/>
      <c r="L130" s="28">
        <f t="shared" si="0"/>
        <v>0</v>
      </c>
      <c r="M130" s="2"/>
      <c r="N130" s="2"/>
      <c r="O130" s="2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 spans="1:33" ht="18.75" customHeight="1" x14ac:dyDescent="0.25">
      <c r="A131" s="329"/>
      <c r="B131" s="250"/>
      <c r="C131" s="249"/>
      <c r="D131" s="250"/>
      <c r="E131" s="250"/>
      <c r="F131" s="251"/>
      <c r="G131" s="250"/>
      <c r="H131" s="36"/>
      <c r="I131" s="35"/>
      <c r="J131" s="26"/>
      <c r="K131" s="30"/>
      <c r="L131" s="28">
        <f t="shared" si="0"/>
        <v>0</v>
      </c>
      <c r="M131" s="2"/>
      <c r="N131" s="2"/>
      <c r="O131" s="2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 spans="1:33" ht="18.75" customHeight="1" x14ac:dyDescent="0.25">
      <c r="A132" s="329"/>
      <c r="B132" s="250"/>
      <c r="C132" s="249"/>
      <c r="D132" s="250"/>
      <c r="E132" s="250"/>
      <c r="F132" s="251"/>
      <c r="G132" s="250"/>
      <c r="H132" s="36"/>
      <c r="I132" s="35"/>
      <c r="J132" s="26"/>
      <c r="K132" s="30"/>
      <c r="L132" s="28">
        <f t="shared" si="0"/>
        <v>0</v>
      </c>
      <c r="M132" s="2"/>
      <c r="N132" s="2"/>
      <c r="O132" s="2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 spans="1:33" ht="18.75" customHeight="1" x14ac:dyDescent="0.25">
      <c r="A133" s="329"/>
      <c r="B133" s="250"/>
      <c r="C133" s="249"/>
      <c r="D133" s="250"/>
      <c r="E133" s="250"/>
      <c r="F133" s="251"/>
      <c r="G133" s="250"/>
      <c r="H133" s="36"/>
      <c r="I133" s="35"/>
      <c r="J133" s="26"/>
      <c r="K133" s="30"/>
      <c r="L133" s="28">
        <f t="shared" si="0"/>
        <v>0</v>
      </c>
      <c r="M133" s="2"/>
      <c r="N133" s="2"/>
      <c r="O133" s="2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 spans="1:33" ht="18.75" customHeight="1" x14ac:dyDescent="0.25">
      <c r="A134" s="329"/>
      <c r="B134" s="250"/>
      <c r="C134" s="249"/>
      <c r="D134" s="250"/>
      <c r="E134" s="250"/>
      <c r="F134" s="251"/>
      <c r="G134" s="250"/>
      <c r="H134" s="36"/>
      <c r="I134" s="35"/>
      <c r="J134" s="26"/>
      <c r="K134" s="30"/>
      <c r="L134" s="28">
        <f t="shared" si="0"/>
        <v>0</v>
      </c>
      <c r="M134" s="2"/>
      <c r="N134" s="2"/>
      <c r="O134" s="2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 spans="1:33" ht="24.75" customHeight="1" x14ac:dyDescent="0.25">
      <c r="A135" s="329"/>
      <c r="B135" s="250"/>
      <c r="C135" s="249"/>
      <c r="D135" s="250"/>
      <c r="E135" s="250"/>
      <c r="F135" s="251"/>
      <c r="G135" s="250"/>
      <c r="H135" s="36"/>
      <c r="I135" s="35"/>
      <c r="J135" s="26"/>
      <c r="K135" s="30"/>
      <c r="L135" s="28">
        <f t="shared" si="0"/>
        <v>0</v>
      </c>
      <c r="M135" s="2"/>
      <c r="N135" s="2"/>
      <c r="O135" s="2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 spans="1:33" ht="18" customHeight="1" x14ac:dyDescent="0.25">
      <c r="A136" s="329"/>
      <c r="B136" s="250"/>
      <c r="C136" s="249"/>
      <c r="D136" s="250"/>
      <c r="E136" s="250"/>
      <c r="F136" s="251"/>
      <c r="G136" s="250"/>
      <c r="H136" s="36"/>
      <c r="I136" s="35"/>
      <c r="J136" s="26"/>
      <c r="K136" s="30"/>
      <c r="L136" s="28">
        <f t="shared" si="0"/>
        <v>0</v>
      </c>
      <c r="M136" s="1"/>
      <c r="N136" s="1"/>
      <c r="O136" s="1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 spans="1:33" ht="17.25" customHeight="1" thickBot="1" x14ac:dyDescent="0.3">
      <c r="A137" s="330"/>
      <c r="B137" s="253"/>
      <c r="C137" s="252"/>
      <c r="D137" s="253"/>
      <c r="E137" s="253"/>
      <c r="F137" s="254"/>
      <c r="G137" s="253"/>
      <c r="H137" s="38"/>
      <c r="I137" s="37"/>
      <c r="J137" s="32"/>
      <c r="K137" s="33"/>
      <c r="L137" s="34">
        <f t="shared" si="0"/>
        <v>0</v>
      </c>
      <c r="M137" s="1"/>
      <c r="N137" s="1"/>
      <c r="O137" s="1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 spans="1:33" ht="21.75" customHeight="1" thickBot="1" x14ac:dyDescent="0.35">
      <c r="A138" s="331" t="s">
        <v>282</v>
      </c>
      <c r="B138" s="332"/>
      <c r="C138" s="332"/>
      <c r="D138" s="332"/>
      <c r="E138" s="332"/>
      <c r="F138" s="333"/>
      <c r="G138" s="334">
        <f>SUM(L96:L137)</f>
        <v>0</v>
      </c>
      <c r="H138" s="335"/>
      <c r="I138" s="335"/>
      <c r="J138" s="335"/>
      <c r="K138" s="335"/>
      <c r="L138" s="336"/>
      <c r="M138" s="1"/>
      <c r="N138" s="1"/>
      <c r="O138" s="1"/>
    </row>
    <row r="139" spans="1:33" ht="18.75" customHeight="1" thickBot="1" x14ac:dyDescent="0.3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1"/>
      <c r="N139" s="1"/>
      <c r="O139" s="1"/>
    </row>
    <row r="140" spans="1:33" ht="18.75" customHeight="1" x14ac:dyDescent="0.25">
      <c r="A140" s="337" t="s">
        <v>444</v>
      </c>
      <c r="B140" s="338"/>
      <c r="C140" s="338"/>
      <c r="D140" s="338"/>
      <c r="E140" s="338"/>
      <c r="F140" s="338"/>
      <c r="G140" s="338"/>
      <c r="H140" s="338"/>
      <c r="I140" s="338"/>
      <c r="J140" s="339"/>
      <c r="K140" s="340">
        <f>SUM(K141,K142,K143,K144)</f>
        <v>0</v>
      </c>
      <c r="L140" s="341"/>
      <c r="M140" s="1"/>
      <c r="N140" s="1"/>
      <c r="O140" s="1"/>
    </row>
    <row r="141" spans="1:33" ht="18.75" customHeight="1" x14ac:dyDescent="0.25">
      <c r="A141" s="342" t="s">
        <v>304</v>
      </c>
      <c r="B141" s="118"/>
      <c r="C141" s="118"/>
      <c r="D141" s="118"/>
      <c r="E141" s="118"/>
      <c r="F141" s="118"/>
      <c r="G141" s="118"/>
      <c r="H141" s="118"/>
      <c r="I141" s="118"/>
      <c r="J141" s="119"/>
      <c r="K141" s="197"/>
      <c r="L141" s="157"/>
      <c r="M141" s="1"/>
      <c r="N141" s="1"/>
      <c r="O141" s="1"/>
    </row>
    <row r="142" spans="1:33" ht="18.75" customHeight="1" x14ac:dyDescent="0.25">
      <c r="A142" s="342" t="s">
        <v>305</v>
      </c>
      <c r="B142" s="118"/>
      <c r="C142" s="118"/>
      <c r="D142" s="118"/>
      <c r="E142" s="118"/>
      <c r="F142" s="118"/>
      <c r="G142" s="118"/>
      <c r="H142" s="118"/>
      <c r="I142" s="118"/>
      <c r="J142" s="119"/>
      <c r="K142" s="197"/>
      <c r="L142" s="157"/>
      <c r="M142" s="1"/>
      <c r="N142" s="1"/>
      <c r="O142" s="1"/>
    </row>
    <row r="143" spans="1:33" ht="18.75" customHeight="1" x14ac:dyDescent="0.25">
      <c r="A143" s="342" t="s">
        <v>306</v>
      </c>
      <c r="B143" s="118"/>
      <c r="C143" s="118"/>
      <c r="D143" s="118"/>
      <c r="E143" s="118"/>
      <c r="F143" s="118"/>
      <c r="G143" s="118"/>
      <c r="H143" s="118"/>
      <c r="I143" s="118"/>
      <c r="J143" s="119"/>
      <c r="K143" s="197"/>
      <c r="L143" s="157"/>
      <c r="M143" s="1"/>
      <c r="N143" s="1"/>
      <c r="O143" s="1"/>
    </row>
    <row r="144" spans="1:33" ht="18.75" customHeight="1" thickBot="1" x14ac:dyDescent="0.3">
      <c r="A144" s="343" t="s">
        <v>307</v>
      </c>
      <c r="B144" s="98"/>
      <c r="C144" s="98"/>
      <c r="D144" s="98"/>
      <c r="E144" s="98"/>
      <c r="F144" s="98"/>
      <c r="G144" s="98"/>
      <c r="H144" s="98"/>
      <c r="I144" s="98"/>
      <c r="J144" s="99"/>
      <c r="K144" s="219"/>
      <c r="L144" s="220"/>
      <c r="M144" s="1"/>
      <c r="N144" s="1"/>
      <c r="O144" s="1"/>
    </row>
    <row r="145" spans="1:15" ht="18.75" customHeight="1" thickBot="1" x14ac:dyDescent="0.3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1"/>
      <c r="N145" s="1"/>
      <c r="O145" s="1"/>
    </row>
    <row r="146" spans="1:15" ht="18.75" customHeight="1" x14ac:dyDescent="0.25">
      <c r="A146" s="313" t="s">
        <v>445</v>
      </c>
      <c r="B146" s="102"/>
      <c r="C146" s="102"/>
      <c r="D146" s="102"/>
      <c r="E146" s="102"/>
      <c r="F146" s="102"/>
      <c r="G146" s="102"/>
      <c r="H146" s="102"/>
      <c r="I146" s="102"/>
      <c r="J146" s="314"/>
      <c r="K146" s="327">
        <f>SUM(K148:L190)</f>
        <v>0</v>
      </c>
      <c r="L146" s="317"/>
      <c r="M146" s="1"/>
      <c r="N146" s="1"/>
      <c r="O146" s="1"/>
    </row>
    <row r="147" spans="1:15" ht="18.75" customHeight="1" thickBot="1" x14ac:dyDescent="0.3">
      <c r="A147" s="104"/>
      <c r="B147" s="105"/>
      <c r="C147" s="105"/>
      <c r="D147" s="105"/>
      <c r="E147" s="105"/>
      <c r="F147" s="105"/>
      <c r="G147" s="105"/>
      <c r="H147" s="105"/>
      <c r="I147" s="105"/>
      <c r="J147" s="205"/>
      <c r="K147" s="208"/>
      <c r="L147" s="328"/>
      <c r="M147" s="1"/>
      <c r="N147" s="1"/>
      <c r="O147" s="1"/>
    </row>
    <row r="148" spans="1:15" ht="18.75" customHeight="1" x14ac:dyDescent="0.25">
      <c r="A148" s="48" t="s">
        <v>308</v>
      </c>
      <c r="B148" s="49"/>
      <c r="C148" s="49"/>
      <c r="D148" s="49"/>
      <c r="E148" s="49"/>
      <c r="F148" s="49"/>
      <c r="G148" s="49"/>
      <c r="H148" s="49"/>
      <c r="I148" s="49"/>
      <c r="J148" s="50"/>
      <c r="K148" s="217"/>
      <c r="L148" s="279"/>
      <c r="M148" s="1"/>
      <c r="N148" s="1"/>
      <c r="O148" s="1"/>
    </row>
    <row r="149" spans="1:15" ht="18.75" customHeight="1" x14ac:dyDescent="0.25">
      <c r="A149" s="51" t="s">
        <v>309</v>
      </c>
      <c r="B149" s="52"/>
      <c r="C149" s="52"/>
      <c r="D149" s="52"/>
      <c r="E149" s="52"/>
      <c r="F149" s="52"/>
      <c r="G149" s="52"/>
      <c r="H149" s="52"/>
      <c r="I149" s="52"/>
      <c r="J149" s="53"/>
      <c r="K149" s="197"/>
      <c r="L149" s="157"/>
      <c r="M149" s="1"/>
      <c r="N149" s="1"/>
      <c r="O149" s="1"/>
    </row>
    <row r="150" spans="1:15" ht="18.75" customHeight="1" x14ac:dyDescent="0.25">
      <c r="A150" s="51" t="s">
        <v>310</v>
      </c>
      <c r="B150" s="52"/>
      <c r="C150" s="52"/>
      <c r="D150" s="52"/>
      <c r="E150" s="52"/>
      <c r="F150" s="52"/>
      <c r="G150" s="52"/>
      <c r="H150" s="52"/>
      <c r="I150" s="52"/>
      <c r="J150" s="53"/>
      <c r="K150" s="197"/>
      <c r="L150" s="157"/>
      <c r="M150" s="1"/>
      <c r="N150" s="1"/>
      <c r="O150" s="1"/>
    </row>
    <row r="151" spans="1:15" ht="18.75" customHeight="1" x14ac:dyDescent="0.25">
      <c r="A151" s="51" t="s">
        <v>311</v>
      </c>
      <c r="B151" s="52"/>
      <c r="C151" s="52"/>
      <c r="D151" s="52"/>
      <c r="E151" s="52"/>
      <c r="F151" s="52"/>
      <c r="G151" s="52"/>
      <c r="H151" s="52"/>
      <c r="I151" s="52"/>
      <c r="J151" s="53"/>
      <c r="K151" s="197"/>
      <c r="L151" s="157"/>
      <c r="M151" s="1"/>
      <c r="N151" s="1"/>
      <c r="O151" s="1"/>
    </row>
    <row r="152" spans="1:15" ht="18.75" customHeight="1" x14ac:dyDescent="0.25">
      <c r="A152" s="51" t="s">
        <v>312</v>
      </c>
      <c r="B152" s="52"/>
      <c r="C152" s="52"/>
      <c r="D152" s="52"/>
      <c r="E152" s="52"/>
      <c r="F152" s="52"/>
      <c r="G152" s="52"/>
      <c r="H152" s="52"/>
      <c r="I152" s="52"/>
      <c r="J152" s="53"/>
      <c r="K152" s="197"/>
      <c r="L152" s="157"/>
      <c r="M152" s="1"/>
      <c r="N152" s="1"/>
      <c r="O152" s="1"/>
    </row>
    <row r="153" spans="1:15" ht="18.75" customHeight="1" x14ac:dyDescent="0.25">
      <c r="A153" s="51" t="s">
        <v>313</v>
      </c>
      <c r="B153" s="52"/>
      <c r="C153" s="52"/>
      <c r="D153" s="52"/>
      <c r="E153" s="52"/>
      <c r="F153" s="52"/>
      <c r="G153" s="52"/>
      <c r="H153" s="52"/>
      <c r="I153" s="52"/>
      <c r="J153" s="53"/>
      <c r="K153" s="197"/>
      <c r="L153" s="157"/>
      <c r="M153" s="1"/>
      <c r="N153" s="1"/>
      <c r="O153" s="1"/>
    </row>
    <row r="154" spans="1:15" ht="18.75" customHeight="1" x14ac:dyDescent="0.25">
      <c r="A154" s="51" t="s">
        <v>314</v>
      </c>
      <c r="B154" s="52"/>
      <c r="C154" s="52"/>
      <c r="D154" s="52"/>
      <c r="E154" s="52"/>
      <c r="F154" s="52"/>
      <c r="G154" s="52"/>
      <c r="H154" s="52"/>
      <c r="I154" s="52"/>
      <c r="J154" s="53"/>
      <c r="K154" s="197"/>
      <c r="L154" s="157"/>
      <c r="M154" s="1"/>
      <c r="N154" s="1"/>
      <c r="O154" s="1"/>
    </row>
    <row r="155" spans="1:15" ht="18.75" customHeight="1" x14ac:dyDescent="0.25">
      <c r="A155" s="51" t="s">
        <v>315</v>
      </c>
      <c r="B155" s="52"/>
      <c r="C155" s="52"/>
      <c r="D155" s="52"/>
      <c r="E155" s="52"/>
      <c r="F155" s="52"/>
      <c r="G155" s="52"/>
      <c r="H155" s="52"/>
      <c r="I155" s="52"/>
      <c r="J155" s="53"/>
      <c r="K155" s="197"/>
      <c r="L155" s="157"/>
      <c r="M155" s="1"/>
      <c r="N155" s="1"/>
      <c r="O155" s="1"/>
    </row>
    <row r="156" spans="1:15" ht="18.75" customHeight="1" x14ac:dyDescent="0.25">
      <c r="A156" s="51" t="s">
        <v>316</v>
      </c>
      <c r="B156" s="52"/>
      <c r="C156" s="52"/>
      <c r="D156" s="52"/>
      <c r="E156" s="52"/>
      <c r="F156" s="52"/>
      <c r="G156" s="52"/>
      <c r="H156" s="52"/>
      <c r="I156" s="52"/>
      <c r="J156" s="53"/>
      <c r="K156" s="197"/>
      <c r="L156" s="157"/>
      <c r="M156" s="1"/>
      <c r="N156" s="1"/>
      <c r="O156" s="1"/>
    </row>
    <row r="157" spans="1:15" ht="18.75" customHeight="1" x14ac:dyDescent="0.25">
      <c r="A157" s="51" t="s">
        <v>317</v>
      </c>
      <c r="B157" s="52"/>
      <c r="C157" s="52"/>
      <c r="D157" s="52"/>
      <c r="E157" s="52"/>
      <c r="F157" s="52"/>
      <c r="G157" s="52"/>
      <c r="H157" s="52"/>
      <c r="I157" s="52"/>
      <c r="J157" s="53"/>
      <c r="K157" s="197"/>
      <c r="L157" s="157"/>
      <c r="M157" s="1"/>
      <c r="N157" s="1"/>
      <c r="O157" s="1"/>
    </row>
    <row r="158" spans="1:15" ht="18.75" customHeight="1" x14ac:dyDescent="0.25">
      <c r="A158" s="51" t="s">
        <v>318</v>
      </c>
      <c r="B158" s="52"/>
      <c r="C158" s="52"/>
      <c r="D158" s="52"/>
      <c r="E158" s="52"/>
      <c r="F158" s="52"/>
      <c r="G158" s="52"/>
      <c r="H158" s="52"/>
      <c r="I158" s="52"/>
      <c r="J158" s="53"/>
      <c r="K158" s="197"/>
      <c r="L158" s="157"/>
      <c r="M158" s="1"/>
      <c r="N158" s="1"/>
      <c r="O158" s="1"/>
    </row>
    <row r="159" spans="1:15" ht="18.75" customHeight="1" x14ac:dyDescent="0.25">
      <c r="A159" s="51" t="s">
        <v>319</v>
      </c>
      <c r="B159" s="52"/>
      <c r="C159" s="52"/>
      <c r="D159" s="52"/>
      <c r="E159" s="52"/>
      <c r="F159" s="52"/>
      <c r="G159" s="52"/>
      <c r="H159" s="52"/>
      <c r="I159" s="52"/>
      <c r="J159" s="53"/>
      <c r="K159" s="197"/>
      <c r="L159" s="157"/>
      <c r="M159" s="1"/>
      <c r="N159" s="1"/>
      <c r="O159" s="1"/>
    </row>
    <row r="160" spans="1:15" ht="18.75" customHeight="1" x14ac:dyDescent="0.25">
      <c r="A160" s="51" t="s">
        <v>320</v>
      </c>
      <c r="B160" s="52"/>
      <c r="C160" s="52"/>
      <c r="D160" s="52"/>
      <c r="E160" s="52"/>
      <c r="F160" s="52"/>
      <c r="G160" s="52"/>
      <c r="H160" s="52"/>
      <c r="I160" s="52"/>
      <c r="J160" s="53"/>
      <c r="K160" s="197"/>
      <c r="L160" s="157"/>
      <c r="M160" s="1"/>
      <c r="N160" s="1"/>
      <c r="O160" s="1"/>
    </row>
    <row r="161" spans="1:15" ht="18.75" customHeight="1" x14ac:dyDescent="0.25">
      <c r="A161" s="51" t="s">
        <v>321</v>
      </c>
      <c r="B161" s="52"/>
      <c r="C161" s="52"/>
      <c r="D161" s="52"/>
      <c r="E161" s="52"/>
      <c r="F161" s="52"/>
      <c r="G161" s="52"/>
      <c r="H161" s="52"/>
      <c r="I161" s="52"/>
      <c r="J161" s="53"/>
      <c r="K161" s="197"/>
      <c r="L161" s="157"/>
      <c r="M161" s="1"/>
      <c r="N161" s="1"/>
      <c r="O161" s="1"/>
    </row>
    <row r="162" spans="1:15" ht="18.75" customHeight="1" x14ac:dyDescent="0.25">
      <c r="A162" s="51" t="s">
        <v>322</v>
      </c>
      <c r="B162" s="52"/>
      <c r="C162" s="52"/>
      <c r="D162" s="52"/>
      <c r="E162" s="52"/>
      <c r="F162" s="52"/>
      <c r="G162" s="52"/>
      <c r="H162" s="52"/>
      <c r="I162" s="52"/>
      <c r="J162" s="53"/>
      <c r="K162" s="197"/>
      <c r="L162" s="157"/>
      <c r="M162" s="1"/>
      <c r="N162" s="1"/>
      <c r="O162" s="1"/>
    </row>
    <row r="163" spans="1:15" ht="18.75" customHeight="1" x14ac:dyDescent="0.25">
      <c r="A163" s="51" t="s">
        <v>323</v>
      </c>
      <c r="B163" s="52"/>
      <c r="C163" s="52"/>
      <c r="D163" s="52"/>
      <c r="E163" s="52"/>
      <c r="F163" s="52"/>
      <c r="G163" s="52"/>
      <c r="H163" s="52"/>
      <c r="I163" s="52"/>
      <c r="J163" s="53"/>
      <c r="K163" s="197"/>
      <c r="L163" s="157"/>
      <c r="M163" s="1"/>
      <c r="N163" s="1"/>
      <c r="O163" s="1"/>
    </row>
    <row r="164" spans="1:15" ht="18.75" customHeight="1" x14ac:dyDescent="0.25">
      <c r="A164" s="51" t="s">
        <v>324</v>
      </c>
      <c r="B164" s="52"/>
      <c r="C164" s="52"/>
      <c r="D164" s="52"/>
      <c r="E164" s="52"/>
      <c r="F164" s="52"/>
      <c r="G164" s="52"/>
      <c r="H164" s="52"/>
      <c r="I164" s="52"/>
      <c r="J164" s="53"/>
      <c r="K164" s="197"/>
      <c r="L164" s="157"/>
      <c r="M164" s="1"/>
      <c r="N164" s="1"/>
      <c r="O164" s="1"/>
    </row>
    <row r="165" spans="1:15" ht="18.75" customHeight="1" x14ac:dyDescent="0.25">
      <c r="A165" s="51" t="s">
        <v>325</v>
      </c>
      <c r="B165" s="52"/>
      <c r="C165" s="52"/>
      <c r="D165" s="52"/>
      <c r="E165" s="52"/>
      <c r="F165" s="52"/>
      <c r="G165" s="52"/>
      <c r="H165" s="52"/>
      <c r="I165" s="52"/>
      <c r="J165" s="53"/>
      <c r="K165" s="197"/>
      <c r="L165" s="157"/>
      <c r="M165" s="1"/>
      <c r="N165" s="1"/>
      <c r="O165" s="1"/>
    </row>
    <row r="166" spans="1:15" ht="18.75" customHeight="1" x14ac:dyDescent="0.25">
      <c r="A166" s="51" t="s">
        <v>326</v>
      </c>
      <c r="B166" s="52"/>
      <c r="C166" s="52"/>
      <c r="D166" s="52"/>
      <c r="E166" s="52"/>
      <c r="F166" s="52"/>
      <c r="G166" s="52"/>
      <c r="H166" s="52"/>
      <c r="I166" s="52"/>
      <c r="J166" s="53"/>
      <c r="K166" s="197"/>
      <c r="L166" s="157"/>
      <c r="M166" s="1"/>
      <c r="N166" s="1"/>
      <c r="O166" s="1"/>
    </row>
    <row r="167" spans="1:15" ht="18.75" customHeight="1" x14ac:dyDescent="0.25">
      <c r="A167" s="51" t="s">
        <v>327</v>
      </c>
      <c r="B167" s="52"/>
      <c r="C167" s="52"/>
      <c r="D167" s="52"/>
      <c r="E167" s="52"/>
      <c r="F167" s="52"/>
      <c r="G167" s="52"/>
      <c r="H167" s="52"/>
      <c r="I167" s="52"/>
      <c r="J167" s="53"/>
      <c r="K167" s="197"/>
      <c r="L167" s="157"/>
      <c r="M167" s="1"/>
      <c r="N167" s="1"/>
      <c r="O167" s="1"/>
    </row>
    <row r="168" spans="1:15" ht="18.75" customHeight="1" x14ac:dyDescent="0.25">
      <c r="A168" s="51" t="s">
        <v>328</v>
      </c>
      <c r="B168" s="52"/>
      <c r="C168" s="52"/>
      <c r="D168" s="52"/>
      <c r="E168" s="52"/>
      <c r="F168" s="52"/>
      <c r="G168" s="52"/>
      <c r="H168" s="52"/>
      <c r="I168" s="52"/>
      <c r="J168" s="53"/>
      <c r="K168" s="197"/>
      <c r="L168" s="157"/>
      <c r="M168" s="1"/>
      <c r="N168" s="1"/>
      <c r="O168" s="1"/>
    </row>
    <row r="169" spans="1:15" ht="18.75" customHeight="1" x14ac:dyDescent="0.25">
      <c r="A169" s="51" t="s">
        <v>329</v>
      </c>
      <c r="B169" s="52"/>
      <c r="C169" s="52"/>
      <c r="D169" s="52"/>
      <c r="E169" s="52"/>
      <c r="F169" s="52"/>
      <c r="G169" s="52"/>
      <c r="H169" s="52"/>
      <c r="I169" s="52"/>
      <c r="J169" s="53"/>
      <c r="K169" s="197"/>
      <c r="L169" s="157"/>
      <c r="M169" s="1"/>
      <c r="N169" s="1"/>
      <c r="O169" s="1"/>
    </row>
    <row r="170" spans="1:15" ht="18.75" customHeight="1" x14ac:dyDescent="0.25">
      <c r="A170" s="51" t="s">
        <v>330</v>
      </c>
      <c r="B170" s="52"/>
      <c r="C170" s="52"/>
      <c r="D170" s="52"/>
      <c r="E170" s="52"/>
      <c r="F170" s="52"/>
      <c r="G170" s="52"/>
      <c r="H170" s="52"/>
      <c r="I170" s="52"/>
      <c r="J170" s="53"/>
      <c r="K170" s="197"/>
      <c r="L170" s="157"/>
      <c r="M170" s="1"/>
      <c r="N170" s="1"/>
      <c r="O170" s="1"/>
    </row>
    <row r="171" spans="1:15" ht="18.75" customHeight="1" x14ac:dyDescent="0.25">
      <c r="A171" s="51" t="s">
        <v>331</v>
      </c>
      <c r="B171" s="52"/>
      <c r="C171" s="52"/>
      <c r="D171" s="52"/>
      <c r="E171" s="52"/>
      <c r="F171" s="52"/>
      <c r="G171" s="52"/>
      <c r="H171" s="52"/>
      <c r="I171" s="52"/>
      <c r="J171" s="53"/>
      <c r="K171" s="197"/>
      <c r="L171" s="157"/>
      <c r="M171" s="1"/>
      <c r="N171" s="1"/>
      <c r="O171" s="1"/>
    </row>
    <row r="172" spans="1:15" ht="18.75" customHeight="1" x14ac:dyDescent="0.25">
      <c r="A172" s="51" t="s">
        <v>332</v>
      </c>
      <c r="B172" s="52"/>
      <c r="C172" s="52"/>
      <c r="D172" s="52"/>
      <c r="E172" s="52"/>
      <c r="F172" s="52"/>
      <c r="G172" s="52"/>
      <c r="H172" s="52"/>
      <c r="I172" s="52"/>
      <c r="J172" s="53"/>
      <c r="K172" s="197"/>
      <c r="L172" s="157"/>
      <c r="M172" s="1"/>
      <c r="N172" s="1"/>
      <c r="O172" s="1"/>
    </row>
    <row r="173" spans="1:15" ht="18.75" customHeight="1" x14ac:dyDescent="0.25">
      <c r="A173" s="51" t="s">
        <v>333</v>
      </c>
      <c r="B173" s="52"/>
      <c r="C173" s="52"/>
      <c r="D173" s="52"/>
      <c r="E173" s="52"/>
      <c r="F173" s="52"/>
      <c r="G173" s="52"/>
      <c r="H173" s="52"/>
      <c r="I173" s="52"/>
      <c r="J173" s="53"/>
      <c r="K173" s="197"/>
      <c r="L173" s="157"/>
      <c r="M173" s="1"/>
      <c r="N173" s="1"/>
      <c r="O173" s="1"/>
    </row>
    <row r="174" spans="1:15" ht="18.75" customHeight="1" x14ac:dyDescent="0.25">
      <c r="A174" s="51" t="s">
        <v>334</v>
      </c>
      <c r="B174" s="52"/>
      <c r="C174" s="52"/>
      <c r="D174" s="52"/>
      <c r="E174" s="52"/>
      <c r="F174" s="52"/>
      <c r="G174" s="52"/>
      <c r="H174" s="52"/>
      <c r="I174" s="52"/>
      <c r="J174" s="53"/>
      <c r="K174" s="197"/>
      <c r="L174" s="157"/>
      <c r="M174" s="1"/>
      <c r="N174" s="1"/>
      <c r="O174" s="1"/>
    </row>
    <row r="175" spans="1:15" ht="18.75" customHeight="1" x14ac:dyDescent="0.25">
      <c r="A175" s="51" t="s">
        <v>335</v>
      </c>
      <c r="B175" s="52"/>
      <c r="C175" s="52"/>
      <c r="D175" s="52"/>
      <c r="E175" s="52"/>
      <c r="F175" s="52"/>
      <c r="G175" s="52"/>
      <c r="H175" s="52"/>
      <c r="I175" s="52"/>
      <c r="J175" s="53"/>
      <c r="K175" s="197"/>
      <c r="L175" s="157"/>
      <c r="M175" s="1"/>
      <c r="N175" s="1"/>
      <c r="O175" s="1"/>
    </row>
    <row r="176" spans="1:15" ht="18.75" customHeight="1" x14ac:dyDescent="0.25">
      <c r="A176" s="51" t="s">
        <v>336</v>
      </c>
      <c r="B176" s="52"/>
      <c r="C176" s="52"/>
      <c r="D176" s="52"/>
      <c r="E176" s="52"/>
      <c r="F176" s="52"/>
      <c r="G176" s="52"/>
      <c r="H176" s="52"/>
      <c r="I176" s="52"/>
      <c r="J176" s="53"/>
      <c r="K176" s="197"/>
      <c r="L176" s="157"/>
      <c r="M176" s="1"/>
      <c r="N176" s="1"/>
      <c r="O176" s="1"/>
    </row>
    <row r="177" spans="1:15" ht="18.75" customHeight="1" x14ac:dyDescent="0.25">
      <c r="A177" s="51" t="s">
        <v>337</v>
      </c>
      <c r="B177" s="52"/>
      <c r="C177" s="52"/>
      <c r="D177" s="52"/>
      <c r="E177" s="52"/>
      <c r="F177" s="52"/>
      <c r="G177" s="52"/>
      <c r="H177" s="52"/>
      <c r="I177" s="52"/>
      <c r="J177" s="53"/>
      <c r="K177" s="197"/>
      <c r="L177" s="157"/>
      <c r="M177" s="1"/>
      <c r="N177" s="1"/>
      <c r="O177" s="1"/>
    </row>
    <row r="178" spans="1:15" ht="18.75" customHeight="1" x14ac:dyDescent="0.25">
      <c r="A178" s="51" t="s">
        <v>338</v>
      </c>
      <c r="B178" s="52"/>
      <c r="C178" s="52"/>
      <c r="D178" s="52"/>
      <c r="E178" s="52"/>
      <c r="F178" s="52"/>
      <c r="G178" s="52"/>
      <c r="H178" s="52"/>
      <c r="I178" s="52"/>
      <c r="J178" s="53"/>
      <c r="K178" s="197"/>
      <c r="L178" s="157"/>
      <c r="M178" s="1"/>
      <c r="N178" s="1"/>
      <c r="O178" s="1"/>
    </row>
    <row r="179" spans="1:15" ht="18.75" customHeight="1" x14ac:dyDescent="0.25">
      <c r="A179" s="51" t="s">
        <v>339</v>
      </c>
      <c r="B179" s="52"/>
      <c r="C179" s="52"/>
      <c r="D179" s="52"/>
      <c r="E179" s="52"/>
      <c r="F179" s="52"/>
      <c r="G179" s="52"/>
      <c r="H179" s="52"/>
      <c r="I179" s="52"/>
      <c r="J179" s="53"/>
      <c r="K179" s="197"/>
      <c r="L179" s="157"/>
      <c r="M179" s="1"/>
      <c r="N179" s="1"/>
      <c r="O179" s="1"/>
    </row>
    <row r="180" spans="1:15" ht="18.75" customHeight="1" x14ac:dyDescent="0.25">
      <c r="A180" s="51" t="s">
        <v>340</v>
      </c>
      <c r="B180" s="52"/>
      <c r="C180" s="52"/>
      <c r="D180" s="52"/>
      <c r="E180" s="52"/>
      <c r="F180" s="52"/>
      <c r="G180" s="52"/>
      <c r="H180" s="52"/>
      <c r="I180" s="52"/>
      <c r="J180" s="53"/>
      <c r="K180" s="197"/>
      <c r="L180" s="157"/>
      <c r="M180" s="1"/>
      <c r="N180" s="1"/>
      <c r="O180" s="1"/>
    </row>
    <row r="181" spans="1:15" ht="18.75" customHeight="1" x14ac:dyDescent="0.25">
      <c r="A181" s="51" t="s">
        <v>341</v>
      </c>
      <c r="B181" s="52"/>
      <c r="C181" s="52"/>
      <c r="D181" s="52"/>
      <c r="E181" s="52"/>
      <c r="F181" s="52"/>
      <c r="G181" s="52"/>
      <c r="H181" s="52"/>
      <c r="I181" s="52"/>
      <c r="J181" s="53"/>
      <c r="K181" s="197"/>
      <c r="L181" s="157"/>
      <c r="M181" s="1"/>
      <c r="N181" s="1"/>
      <c r="O181" s="1"/>
    </row>
    <row r="182" spans="1:15" ht="18.75" customHeight="1" x14ac:dyDescent="0.25">
      <c r="A182" s="51" t="s">
        <v>342</v>
      </c>
      <c r="B182" s="52"/>
      <c r="C182" s="52"/>
      <c r="D182" s="52"/>
      <c r="E182" s="52"/>
      <c r="F182" s="52"/>
      <c r="G182" s="52"/>
      <c r="H182" s="52"/>
      <c r="I182" s="52"/>
      <c r="J182" s="53"/>
      <c r="K182" s="197"/>
      <c r="L182" s="157"/>
      <c r="M182" s="1"/>
      <c r="N182" s="1"/>
      <c r="O182" s="1"/>
    </row>
    <row r="183" spans="1:15" ht="18.75" customHeight="1" x14ac:dyDescent="0.25">
      <c r="A183" s="51" t="s">
        <v>343</v>
      </c>
      <c r="B183" s="52"/>
      <c r="C183" s="52"/>
      <c r="D183" s="52"/>
      <c r="E183" s="52"/>
      <c r="F183" s="52"/>
      <c r="G183" s="52"/>
      <c r="H183" s="52"/>
      <c r="I183" s="52"/>
      <c r="J183" s="53"/>
      <c r="K183" s="197"/>
      <c r="L183" s="157"/>
      <c r="M183" s="1"/>
      <c r="N183" s="1"/>
      <c r="O183" s="1"/>
    </row>
    <row r="184" spans="1:15" ht="18.75" customHeight="1" x14ac:dyDescent="0.25">
      <c r="A184" s="51" t="s">
        <v>344</v>
      </c>
      <c r="B184" s="52"/>
      <c r="C184" s="52"/>
      <c r="D184" s="52"/>
      <c r="E184" s="52"/>
      <c r="F184" s="52"/>
      <c r="G184" s="52"/>
      <c r="H184" s="52"/>
      <c r="I184" s="52"/>
      <c r="J184" s="53"/>
      <c r="K184" s="197"/>
      <c r="L184" s="157"/>
      <c r="M184" s="1"/>
      <c r="N184" s="1"/>
      <c r="O184" s="1"/>
    </row>
    <row r="185" spans="1:15" ht="18.75" customHeight="1" x14ac:dyDescent="0.25">
      <c r="A185" s="51" t="s">
        <v>345</v>
      </c>
      <c r="B185" s="52"/>
      <c r="C185" s="52"/>
      <c r="D185" s="52"/>
      <c r="E185" s="52"/>
      <c r="F185" s="52"/>
      <c r="G185" s="52"/>
      <c r="H185" s="52"/>
      <c r="I185" s="52"/>
      <c r="J185" s="53"/>
      <c r="K185" s="197"/>
      <c r="L185" s="157"/>
      <c r="M185" s="1"/>
      <c r="N185" s="1"/>
      <c r="O185" s="1"/>
    </row>
    <row r="186" spans="1:15" ht="18.75" customHeight="1" x14ac:dyDescent="0.25">
      <c r="A186" s="51" t="s">
        <v>346</v>
      </c>
      <c r="B186" s="52"/>
      <c r="C186" s="52"/>
      <c r="D186" s="52"/>
      <c r="E186" s="52"/>
      <c r="F186" s="52"/>
      <c r="G186" s="52"/>
      <c r="H186" s="52"/>
      <c r="I186" s="52"/>
      <c r="J186" s="53"/>
      <c r="K186" s="197"/>
      <c r="L186" s="157"/>
      <c r="M186" s="1"/>
      <c r="N186" s="1"/>
      <c r="O186" s="1"/>
    </row>
    <row r="187" spans="1:15" ht="18.75" customHeight="1" x14ac:dyDescent="0.25">
      <c r="A187" s="51" t="s">
        <v>347</v>
      </c>
      <c r="B187" s="52"/>
      <c r="C187" s="52"/>
      <c r="D187" s="52"/>
      <c r="E187" s="52"/>
      <c r="F187" s="52"/>
      <c r="G187" s="52"/>
      <c r="H187" s="52"/>
      <c r="I187" s="52"/>
      <c r="J187" s="53"/>
      <c r="K187" s="197"/>
      <c r="L187" s="157"/>
      <c r="M187" s="1"/>
      <c r="N187" s="1"/>
      <c r="O187" s="1"/>
    </row>
    <row r="188" spans="1:15" ht="18.75" customHeight="1" x14ac:dyDescent="0.25">
      <c r="A188" s="51" t="s">
        <v>348</v>
      </c>
      <c r="B188" s="52"/>
      <c r="C188" s="52"/>
      <c r="D188" s="52"/>
      <c r="E188" s="52"/>
      <c r="F188" s="52"/>
      <c r="G188" s="52"/>
      <c r="H188" s="52"/>
      <c r="I188" s="52"/>
      <c r="J188" s="53"/>
      <c r="K188" s="197"/>
      <c r="L188" s="157"/>
      <c r="M188" s="1"/>
      <c r="N188" s="1"/>
      <c r="O188" s="1"/>
    </row>
    <row r="189" spans="1:15" ht="18.75" customHeight="1" x14ac:dyDescent="0.25">
      <c r="A189" s="51" t="s">
        <v>349</v>
      </c>
      <c r="B189" s="52"/>
      <c r="C189" s="52"/>
      <c r="D189" s="52"/>
      <c r="E189" s="52"/>
      <c r="F189" s="52"/>
      <c r="G189" s="52"/>
      <c r="H189" s="52"/>
      <c r="I189" s="52"/>
      <c r="J189" s="53"/>
      <c r="K189" s="197"/>
      <c r="L189" s="157"/>
      <c r="M189" s="1"/>
      <c r="N189" s="1"/>
      <c r="O189" s="1"/>
    </row>
    <row r="190" spans="1:15" ht="18.75" customHeight="1" thickBot="1" x14ac:dyDescent="0.3">
      <c r="A190" s="54" t="s">
        <v>350</v>
      </c>
      <c r="B190" s="55"/>
      <c r="C190" s="55"/>
      <c r="D190" s="55"/>
      <c r="E190" s="55"/>
      <c r="F190" s="55"/>
      <c r="G190" s="55"/>
      <c r="H190" s="55"/>
      <c r="I190" s="55"/>
      <c r="J190" s="56"/>
      <c r="K190" s="219"/>
      <c r="L190" s="220"/>
      <c r="M190" s="1"/>
      <c r="N190" s="1"/>
      <c r="O190" s="1"/>
    </row>
    <row r="191" spans="1:15" ht="18.75" customHeight="1" thickBot="1" x14ac:dyDescent="0.3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1"/>
      <c r="N191" s="1"/>
      <c r="O191" s="1"/>
    </row>
    <row r="192" spans="1:15" ht="18.75" customHeight="1" x14ac:dyDescent="0.25">
      <c r="A192" s="201" t="s">
        <v>446</v>
      </c>
      <c r="B192" s="202"/>
      <c r="C192" s="202"/>
      <c r="D192" s="202"/>
      <c r="E192" s="202"/>
      <c r="F192" s="202"/>
      <c r="G192" s="202"/>
      <c r="H192" s="202"/>
      <c r="I192" s="202"/>
      <c r="J192" s="203"/>
      <c r="K192" s="216">
        <f>SUM(K194:L198)</f>
        <v>0</v>
      </c>
      <c r="L192" s="207"/>
      <c r="M192" s="1"/>
      <c r="N192" s="1"/>
      <c r="O192" s="1"/>
    </row>
    <row r="193" spans="1:15" ht="18.75" customHeight="1" thickBot="1" x14ac:dyDescent="0.3">
      <c r="A193" s="204"/>
      <c r="B193" s="105"/>
      <c r="C193" s="105"/>
      <c r="D193" s="105"/>
      <c r="E193" s="105"/>
      <c r="F193" s="105"/>
      <c r="G193" s="105"/>
      <c r="H193" s="105"/>
      <c r="I193" s="105"/>
      <c r="J193" s="205"/>
      <c r="K193" s="208"/>
      <c r="L193" s="209"/>
      <c r="M193" s="1"/>
      <c r="N193" s="1"/>
      <c r="O193" s="1"/>
    </row>
    <row r="194" spans="1:15" ht="18.75" customHeight="1" x14ac:dyDescent="0.25">
      <c r="A194" s="57" t="s">
        <v>309</v>
      </c>
      <c r="B194" s="58"/>
      <c r="C194" s="58"/>
      <c r="D194" s="58"/>
      <c r="E194" s="58"/>
      <c r="F194" s="58"/>
      <c r="G194" s="58"/>
      <c r="H194" s="58"/>
      <c r="I194" s="58"/>
      <c r="J194" s="59"/>
      <c r="K194" s="221"/>
      <c r="L194" s="218"/>
      <c r="M194" s="1"/>
      <c r="N194" s="1"/>
      <c r="O194" s="1"/>
    </row>
    <row r="195" spans="1:15" ht="18.75" customHeight="1" x14ac:dyDescent="0.25">
      <c r="A195" s="60" t="s">
        <v>310</v>
      </c>
      <c r="B195" s="52"/>
      <c r="C195" s="52"/>
      <c r="D195" s="52"/>
      <c r="E195" s="52"/>
      <c r="F195" s="52"/>
      <c r="G195" s="52"/>
      <c r="H195" s="52"/>
      <c r="I195" s="52"/>
      <c r="J195" s="53"/>
      <c r="K195" s="120"/>
      <c r="L195" s="198"/>
      <c r="M195" s="1"/>
      <c r="N195" s="1"/>
      <c r="O195" s="1"/>
    </row>
    <row r="196" spans="1:15" ht="18.75" customHeight="1" x14ac:dyDescent="0.25">
      <c r="A196" s="60" t="s">
        <v>351</v>
      </c>
      <c r="B196" s="52"/>
      <c r="C196" s="52"/>
      <c r="D196" s="52"/>
      <c r="E196" s="52"/>
      <c r="F196" s="52"/>
      <c r="G196" s="52"/>
      <c r="H196" s="52"/>
      <c r="I196" s="52"/>
      <c r="J196" s="53"/>
      <c r="K196" s="120"/>
      <c r="L196" s="198"/>
      <c r="M196" s="1"/>
      <c r="N196" s="1"/>
      <c r="O196" s="1"/>
    </row>
    <row r="197" spans="1:15" ht="18.75" customHeight="1" x14ac:dyDescent="0.25">
      <c r="A197" s="60" t="s">
        <v>352</v>
      </c>
      <c r="B197" s="52"/>
      <c r="C197" s="52"/>
      <c r="D197" s="52"/>
      <c r="E197" s="52"/>
      <c r="F197" s="52"/>
      <c r="G197" s="52"/>
      <c r="H197" s="52"/>
      <c r="I197" s="52"/>
      <c r="J197" s="53"/>
      <c r="K197" s="120"/>
      <c r="L197" s="198"/>
      <c r="M197" s="1"/>
      <c r="N197" s="1"/>
      <c r="O197" s="1"/>
    </row>
    <row r="198" spans="1:15" ht="18.75" customHeight="1" thickBot="1" x14ac:dyDescent="0.3">
      <c r="A198" s="61" t="s">
        <v>353</v>
      </c>
      <c r="B198" s="62"/>
      <c r="C198" s="62"/>
      <c r="D198" s="62"/>
      <c r="E198" s="62"/>
      <c r="F198" s="62"/>
      <c r="G198" s="62"/>
      <c r="H198" s="62"/>
      <c r="I198" s="62"/>
      <c r="J198" s="63"/>
      <c r="K198" s="96"/>
      <c r="L198" s="200"/>
      <c r="M198" s="1"/>
      <c r="N198" s="1"/>
      <c r="O198" s="1"/>
    </row>
    <row r="199" spans="1:15" ht="18.75" customHeight="1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8.75" customHeight="1" x14ac:dyDescent="0.25">
      <c r="A200" s="201" t="s">
        <v>447</v>
      </c>
      <c r="B200" s="202"/>
      <c r="C200" s="202"/>
      <c r="D200" s="202"/>
      <c r="E200" s="202"/>
      <c r="F200" s="202"/>
      <c r="G200" s="202"/>
      <c r="H200" s="202"/>
      <c r="I200" s="202"/>
      <c r="J200" s="203"/>
      <c r="K200" s="420">
        <f>SUM(K202:L206)</f>
        <v>0</v>
      </c>
      <c r="L200" s="207"/>
      <c r="M200" s="1"/>
      <c r="N200" s="1"/>
      <c r="O200" s="1"/>
    </row>
    <row r="201" spans="1:15" ht="18.75" customHeight="1" thickBot="1" x14ac:dyDescent="0.3">
      <c r="A201" s="204"/>
      <c r="B201" s="105"/>
      <c r="C201" s="105"/>
      <c r="D201" s="105"/>
      <c r="E201" s="105"/>
      <c r="F201" s="105"/>
      <c r="G201" s="105"/>
      <c r="H201" s="105"/>
      <c r="I201" s="105"/>
      <c r="J201" s="205"/>
      <c r="K201" s="208"/>
      <c r="L201" s="209"/>
      <c r="M201" s="1"/>
      <c r="N201" s="1"/>
      <c r="O201" s="1"/>
    </row>
    <row r="202" spans="1:15" ht="18.75" customHeight="1" x14ac:dyDescent="0.25">
      <c r="A202" s="57" t="s">
        <v>354</v>
      </c>
      <c r="B202" s="58"/>
      <c r="C202" s="58"/>
      <c r="D202" s="58"/>
      <c r="E202" s="58"/>
      <c r="F202" s="58"/>
      <c r="G202" s="58"/>
      <c r="H202" s="58"/>
      <c r="I202" s="58"/>
      <c r="J202" s="59"/>
      <c r="K202" s="217"/>
      <c r="L202" s="218"/>
      <c r="M202" s="1"/>
      <c r="N202" s="1"/>
      <c r="O202" s="1"/>
    </row>
    <row r="203" spans="1:15" ht="18.75" customHeight="1" x14ac:dyDescent="0.25">
      <c r="A203" s="60" t="s">
        <v>355</v>
      </c>
      <c r="B203" s="52"/>
      <c r="C203" s="52"/>
      <c r="D203" s="52"/>
      <c r="E203" s="52"/>
      <c r="F203" s="52"/>
      <c r="G203" s="52"/>
      <c r="H203" s="52"/>
      <c r="I203" s="52"/>
      <c r="J203" s="53"/>
      <c r="K203" s="197"/>
      <c r="L203" s="198"/>
      <c r="M203" s="1"/>
      <c r="N203" s="1"/>
      <c r="O203" s="1"/>
    </row>
    <row r="204" spans="1:15" ht="18.75" customHeight="1" x14ac:dyDescent="0.25">
      <c r="A204" s="60" t="s">
        <v>356</v>
      </c>
      <c r="B204" s="52"/>
      <c r="C204" s="52"/>
      <c r="D204" s="52"/>
      <c r="E204" s="52"/>
      <c r="F204" s="52"/>
      <c r="G204" s="52"/>
      <c r="H204" s="52"/>
      <c r="I204" s="52"/>
      <c r="J204" s="53"/>
      <c r="K204" s="197"/>
      <c r="L204" s="198"/>
      <c r="M204" s="1"/>
      <c r="N204" s="1"/>
      <c r="O204" s="1"/>
    </row>
    <row r="205" spans="1:15" ht="18.75" customHeight="1" x14ac:dyDescent="0.25">
      <c r="A205" s="60" t="s">
        <v>357</v>
      </c>
      <c r="B205" s="52"/>
      <c r="C205" s="52"/>
      <c r="D205" s="52"/>
      <c r="E205" s="52"/>
      <c r="F205" s="52"/>
      <c r="G205" s="52"/>
      <c r="H205" s="52"/>
      <c r="I205" s="52"/>
      <c r="J205" s="53"/>
      <c r="K205" s="197"/>
      <c r="L205" s="198"/>
      <c r="M205" s="1"/>
      <c r="N205" s="1"/>
      <c r="O205" s="1"/>
    </row>
    <row r="206" spans="1:15" ht="18.75" customHeight="1" thickBot="1" x14ac:dyDescent="0.3">
      <c r="A206" s="61" t="s">
        <v>358</v>
      </c>
      <c r="B206" s="62"/>
      <c r="C206" s="62"/>
      <c r="D206" s="62"/>
      <c r="E206" s="62"/>
      <c r="F206" s="62"/>
      <c r="G206" s="62"/>
      <c r="H206" s="62"/>
      <c r="I206" s="62"/>
      <c r="J206" s="63"/>
      <c r="K206" s="199"/>
      <c r="L206" s="200"/>
      <c r="M206" s="1"/>
      <c r="N206" s="1"/>
      <c r="O206" s="1"/>
    </row>
    <row r="207" spans="1:15" ht="18.75" customHeight="1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8.75" customHeight="1" x14ac:dyDescent="0.25">
      <c r="A208" s="201" t="s">
        <v>448</v>
      </c>
      <c r="B208" s="202"/>
      <c r="C208" s="202"/>
      <c r="D208" s="202"/>
      <c r="E208" s="202"/>
      <c r="F208" s="202"/>
      <c r="G208" s="202"/>
      <c r="H208" s="202"/>
      <c r="I208" s="202"/>
      <c r="J208" s="203"/>
      <c r="K208" s="216">
        <f>SUM(K210:L245)</f>
        <v>0</v>
      </c>
      <c r="L208" s="207"/>
      <c r="M208" s="1"/>
      <c r="N208" s="1"/>
      <c r="O208" s="1"/>
    </row>
    <row r="209" spans="1:15" ht="18.75" customHeight="1" thickBot="1" x14ac:dyDescent="0.3">
      <c r="A209" s="204"/>
      <c r="B209" s="105"/>
      <c r="C209" s="105"/>
      <c r="D209" s="105"/>
      <c r="E209" s="105"/>
      <c r="F209" s="105"/>
      <c r="G209" s="105"/>
      <c r="H209" s="105"/>
      <c r="I209" s="105"/>
      <c r="J209" s="205"/>
      <c r="K209" s="208"/>
      <c r="L209" s="209"/>
      <c r="M209" s="1"/>
      <c r="N209" s="1"/>
      <c r="O209" s="1"/>
    </row>
    <row r="210" spans="1:15" ht="18.75" customHeight="1" x14ac:dyDescent="0.25">
      <c r="A210" s="57" t="s">
        <v>359</v>
      </c>
      <c r="B210" s="58"/>
      <c r="C210" s="58"/>
      <c r="D210" s="58"/>
      <c r="E210" s="58"/>
      <c r="F210" s="58"/>
      <c r="G210" s="58"/>
      <c r="H210" s="58"/>
      <c r="I210" s="58"/>
      <c r="J210" s="59"/>
      <c r="K210" s="217"/>
      <c r="L210" s="218"/>
      <c r="M210" s="1"/>
      <c r="N210" s="1"/>
      <c r="O210" s="1"/>
    </row>
    <row r="211" spans="1:15" ht="18.75" customHeight="1" x14ac:dyDescent="0.25">
      <c r="A211" s="60" t="s">
        <v>360</v>
      </c>
      <c r="B211" s="52"/>
      <c r="C211" s="52"/>
      <c r="D211" s="52"/>
      <c r="E211" s="52"/>
      <c r="F211" s="52"/>
      <c r="G211" s="52"/>
      <c r="H211" s="52"/>
      <c r="I211" s="52"/>
      <c r="J211" s="53"/>
      <c r="K211" s="197"/>
      <c r="L211" s="198"/>
      <c r="M211" s="1"/>
      <c r="N211" s="1"/>
      <c r="O211" s="1"/>
    </row>
    <row r="212" spans="1:15" ht="18.75" customHeight="1" x14ac:dyDescent="0.25">
      <c r="A212" s="60" t="s">
        <v>361</v>
      </c>
      <c r="B212" s="52"/>
      <c r="C212" s="52"/>
      <c r="D212" s="52"/>
      <c r="E212" s="52"/>
      <c r="F212" s="52"/>
      <c r="G212" s="52"/>
      <c r="H212" s="52"/>
      <c r="I212" s="52"/>
      <c r="J212" s="53"/>
      <c r="K212" s="197"/>
      <c r="L212" s="198"/>
      <c r="M212" s="1"/>
      <c r="N212" s="1"/>
      <c r="O212" s="1"/>
    </row>
    <row r="213" spans="1:15" ht="18.75" customHeight="1" x14ac:dyDescent="0.25">
      <c r="A213" s="60" t="s">
        <v>362</v>
      </c>
      <c r="B213" s="52"/>
      <c r="C213" s="52"/>
      <c r="D213" s="52"/>
      <c r="E213" s="52"/>
      <c r="F213" s="52"/>
      <c r="G213" s="52"/>
      <c r="H213" s="52"/>
      <c r="I213" s="52"/>
      <c r="J213" s="53"/>
      <c r="K213" s="197"/>
      <c r="L213" s="198"/>
      <c r="M213" s="1"/>
      <c r="N213" s="1"/>
      <c r="O213" s="1"/>
    </row>
    <row r="214" spans="1:15" ht="18.75" customHeight="1" x14ac:dyDescent="0.25">
      <c r="A214" s="60" t="s">
        <v>363</v>
      </c>
      <c r="B214" s="52"/>
      <c r="C214" s="52"/>
      <c r="D214" s="52"/>
      <c r="E214" s="52"/>
      <c r="F214" s="52"/>
      <c r="G214" s="52"/>
      <c r="H214" s="52"/>
      <c r="I214" s="52"/>
      <c r="J214" s="53"/>
      <c r="K214" s="197"/>
      <c r="L214" s="198"/>
      <c r="M214" s="1"/>
      <c r="N214" s="1"/>
      <c r="O214" s="1"/>
    </row>
    <row r="215" spans="1:15" ht="18.75" customHeight="1" x14ac:dyDescent="0.25">
      <c r="A215" s="60" t="s">
        <v>364</v>
      </c>
      <c r="B215" s="52"/>
      <c r="C215" s="52"/>
      <c r="D215" s="52"/>
      <c r="E215" s="52"/>
      <c r="F215" s="52"/>
      <c r="G215" s="52"/>
      <c r="H215" s="52"/>
      <c r="I215" s="52"/>
      <c r="J215" s="53"/>
      <c r="K215" s="197"/>
      <c r="L215" s="198"/>
      <c r="M215" s="1"/>
      <c r="N215" s="1"/>
      <c r="O215" s="1"/>
    </row>
    <row r="216" spans="1:15" ht="18.75" customHeight="1" x14ac:dyDescent="0.25">
      <c r="A216" s="60" t="s">
        <v>365</v>
      </c>
      <c r="B216" s="52"/>
      <c r="C216" s="52"/>
      <c r="D216" s="52"/>
      <c r="E216" s="52"/>
      <c r="F216" s="52"/>
      <c r="G216" s="52"/>
      <c r="H216" s="52"/>
      <c r="I216" s="52"/>
      <c r="J216" s="53"/>
      <c r="K216" s="197"/>
      <c r="L216" s="198"/>
      <c r="M216" s="1"/>
      <c r="N216" s="1"/>
      <c r="O216" s="1"/>
    </row>
    <row r="217" spans="1:15" ht="18.75" customHeight="1" x14ac:dyDescent="0.25">
      <c r="A217" s="215" t="s">
        <v>366</v>
      </c>
      <c r="B217" s="118"/>
      <c r="C217" s="118"/>
      <c r="D217" s="118"/>
      <c r="E217" s="118"/>
      <c r="F217" s="118"/>
      <c r="G217" s="118"/>
      <c r="H217" s="118"/>
      <c r="I217" s="118"/>
      <c r="J217" s="119"/>
      <c r="K217" s="197"/>
      <c r="L217" s="198"/>
      <c r="M217" s="1"/>
      <c r="N217" s="1"/>
      <c r="O217" s="1"/>
    </row>
    <row r="218" spans="1:15" ht="18.75" customHeight="1" x14ac:dyDescent="0.25">
      <c r="A218" s="60" t="s">
        <v>367</v>
      </c>
      <c r="B218" s="52"/>
      <c r="C218" s="52"/>
      <c r="D218" s="52"/>
      <c r="E218" s="52"/>
      <c r="F218" s="52"/>
      <c r="G218" s="52"/>
      <c r="H218" s="52"/>
      <c r="I218" s="52"/>
      <c r="J218" s="53"/>
      <c r="K218" s="197"/>
      <c r="L218" s="198"/>
      <c r="M218" s="1"/>
      <c r="N218" s="1"/>
      <c r="O218" s="1"/>
    </row>
    <row r="219" spans="1:15" ht="18.75" customHeight="1" x14ac:dyDescent="0.25">
      <c r="A219" s="60" t="s">
        <v>368</v>
      </c>
      <c r="B219" s="52"/>
      <c r="C219" s="52"/>
      <c r="D219" s="52"/>
      <c r="E219" s="52"/>
      <c r="F219" s="52"/>
      <c r="G219" s="52"/>
      <c r="H219" s="52"/>
      <c r="I219" s="52"/>
      <c r="J219" s="53"/>
      <c r="K219" s="197"/>
      <c r="L219" s="198"/>
      <c r="M219" s="1"/>
      <c r="N219" s="1"/>
      <c r="O219" s="1"/>
    </row>
    <row r="220" spans="1:15" ht="18.75" customHeight="1" x14ac:dyDescent="0.25">
      <c r="A220" s="60" t="s">
        <v>369</v>
      </c>
      <c r="B220" s="52"/>
      <c r="C220" s="52"/>
      <c r="D220" s="52"/>
      <c r="E220" s="52"/>
      <c r="F220" s="52"/>
      <c r="G220" s="52"/>
      <c r="H220" s="52"/>
      <c r="I220" s="52"/>
      <c r="J220" s="53"/>
      <c r="K220" s="197"/>
      <c r="L220" s="198"/>
      <c r="M220" s="1"/>
      <c r="N220" s="1"/>
      <c r="O220" s="1"/>
    </row>
    <row r="221" spans="1:15" ht="18.75" customHeight="1" x14ac:dyDescent="0.25">
      <c r="A221" s="60" t="s">
        <v>370</v>
      </c>
      <c r="B221" s="52"/>
      <c r="C221" s="52"/>
      <c r="D221" s="52"/>
      <c r="E221" s="52"/>
      <c r="F221" s="52"/>
      <c r="G221" s="52"/>
      <c r="H221" s="52"/>
      <c r="I221" s="52"/>
      <c r="J221" s="53"/>
      <c r="K221" s="197"/>
      <c r="L221" s="198"/>
      <c r="M221" s="1"/>
      <c r="N221" s="1"/>
      <c r="O221" s="1"/>
    </row>
    <row r="222" spans="1:15" ht="18.75" customHeight="1" x14ac:dyDescent="0.25">
      <c r="A222" s="60" t="s">
        <v>371</v>
      </c>
      <c r="B222" s="52"/>
      <c r="C222" s="52"/>
      <c r="D222" s="52"/>
      <c r="E222" s="52"/>
      <c r="F222" s="52"/>
      <c r="G222" s="52"/>
      <c r="H222" s="52"/>
      <c r="I222" s="52"/>
      <c r="J222" s="53"/>
      <c r="K222" s="197"/>
      <c r="L222" s="198"/>
      <c r="M222" s="1"/>
      <c r="N222" s="1"/>
      <c r="O222" s="1"/>
    </row>
    <row r="223" spans="1:15" ht="18.75" customHeight="1" x14ac:dyDescent="0.25">
      <c r="A223" s="60" t="s">
        <v>372</v>
      </c>
      <c r="B223" s="52"/>
      <c r="C223" s="52"/>
      <c r="D223" s="52"/>
      <c r="E223" s="52"/>
      <c r="F223" s="52"/>
      <c r="G223" s="52"/>
      <c r="H223" s="52"/>
      <c r="I223" s="52"/>
      <c r="J223" s="53"/>
      <c r="K223" s="197"/>
      <c r="L223" s="198"/>
      <c r="M223" s="1"/>
      <c r="N223" s="1"/>
      <c r="O223" s="1"/>
    </row>
    <row r="224" spans="1:15" ht="18.75" customHeight="1" x14ac:dyDescent="0.25">
      <c r="A224" s="60" t="s">
        <v>373</v>
      </c>
      <c r="B224" s="52"/>
      <c r="C224" s="52"/>
      <c r="D224" s="52"/>
      <c r="E224" s="52"/>
      <c r="F224" s="52"/>
      <c r="G224" s="52"/>
      <c r="H224" s="52"/>
      <c r="I224" s="52"/>
      <c r="J224" s="53"/>
      <c r="K224" s="197"/>
      <c r="L224" s="198"/>
      <c r="M224" s="1"/>
      <c r="N224" s="1"/>
      <c r="O224" s="1"/>
    </row>
    <row r="225" spans="1:15" ht="18.75" customHeight="1" x14ac:dyDescent="0.25">
      <c r="A225" s="60" t="s">
        <v>374</v>
      </c>
      <c r="B225" s="52"/>
      <c r="C225" s="52"/>
      <c r="D225" s="52"/>
      <c r="E225" s="52"/>
      <c r="F225" s="52"/>
      <c r="G225" s="52"/>
      <c r="H225" s="52"/>
      <c r="I225" s="52"/>
      <c r="J225" s="53"/>
      <c r="K225" s="197"/>
      <c r="L225" s="198"/>
      <c r="M225" s="1"/>
      <c r="N225" s="1"/>
      <c r="O225" s="1"/>
    </row>
    <row r="226" spans="1:15" ht="18.75" customHeight="1" x14ac:dyDescent="0.25">
      <c r="A226" s="60" t="s">
        <v>375</v>
      </c>
      <c r="B226" s="52"/>
      <c r="C226" s="52"/>
      <c r="D226" s="52"/>
      <c r="E226" s="52"/>
      <c r="F226" s="52"/>
      <c r="G226" s="52"/>
      <c r="H226" s="52"/>
      <c r="I226" s="52"/>
      <c r="J226" s="53"/>
      <c r="K226" s="197"/>
      <c r="L226" s="198"/>
      <c r="M226" s="1"/>
      <c r="N226" s="1"/>
      <c r="O226" s="1"/>
    </row>
    <row r="227" spans="1:15" ht="18.75" customHeight="1" x14ac:dyDescent="0.25">
      <c r="A227" s="60" t="s">
        <v>376</v>
      </c>
      <c r="B227" s="52"/>
      <c r="C227" s="52"/>
      <c r="D227" s="52"/>
      <c r="E227" s="52"/>
      <c r="F227" s="52"/>
      <c r="G227" s="52"/>
      <c r="H227" s="52"/>
      <c r="I227" s="52"/>
      <c r="J227" s="53"/>
      <c r="K227" s="197"/>
      <c r="L227" s="198"/>
      <c r="M227" s="1"/>
      <c r="N227" s="1"/>
      <c r="O227" s="1"/>
    </row>
    <row r="228" spans="1:15" ht="18.75" customHeight="1" x14ac:dyDescent="0.25">
      <c r="A228" s="60" t="s">
        <v>377</v>
      </c>
      <c r="B228" s="52"/>
      <c r="C228" s="52"/>
      <c r="D228" s="52"/>
      <c r="E228" s="52"/>
      <c r="F228" s="52"/>
      <c r="G228" s="52"/>
      <c r="H228" s="52"/>
      <c r="I228" s="52"/>
      <c r="J228" s="53"/>
      <c r="K228" s="197"/>
      <c r="L228" s="198"/>
      <c r="M228" s="1"/>
      <c r="N228" s="1"/>
      <c r="O228" s="1"/>
    </row>
    <row r="229" spans="1:15" ht="18.75" customHeight="1" x14ac:dyDescent="0.25">
      <c r="A229" s="60" t="s">
        <v>378</v>
      </c>
      <c r="B229" s="52"/>
      <c r="C229" s="52"/>
      <c r="D229" s="52"/>
      <c r="E229" s="52"/>
      <c r="F229" s="52"/>
      <c r="G229" s="52"/>
      <c r="H229" s="52"/>
      <c r="I229" s="52"/>
      <c r="J229" s="53"/>
      <c r="K229" s="197"/>
      <c r="L229" s="198"/>
      <c r="M229" s="1"/>
      <c r="N229" s="1"/>
      <c r="O229" s="1"/>
    </row>
    <row r="230" spans="1:15" ht="18.75" customHeight="1" x14ac:dyDescent="0.25">
      <c r="A230" s="60" t="s">
        <v>379</v>
      </c>
      <c r="B230" s="52"/>
      <c r="C230" s="52"/>
      <c r="D230" s="52"/>
      <c r="E230" s="52"/>
      <c r="F230" s="52"/>
      <c r="G230" s="52"/>
      <c r="H230" s="52"/>
      <c r="I230" s="52"/>
      <c r="J230" s="53"/>
      <c r="K230" s="197"/>
      <c r="L230" s="198"/>
      <c r="M230" s="1"/>
      <c r="N230" s="1"/>
      <c r="O230" s="1"/>
    </row>
    <row r="231" spans="1:15" ht="18.75" customHeight="1" x14ac:dyDescent="0.25">
      <c r="A231" s="60" t="s">
        <v>380</v>
      </c>
      <c r="B231" s="52"/>
      <c r="C231" s="52"/>
      <c r="D231" s="52"/>
      <c r="E231" s="52"/>
      <c r="F231" s="52"/>
      <c r="G231" s="52"/>
      <c r="H231" s="52"/>
      <c r="I231" s="52"/>
      <c r="J231" s="53"/>
      <c r="K231" s="197"/>
      <c r="L231" s="198"/>
      <c r="M231" s="1"/>
      <c r="N231" s="1"/>
      <c r="O231" s="1"/>
    </row>
    <row r="232" spans="1:15" ht="18.75" customHeight="1" x14ac:dyDescent="0.25">
      <c r="A232" s="60" t="s">
        <v>381</v>
      </c>
      <c r="B232" s="52"/>
      <c r="C232" s="52"/>
      <c r="D232" s="52"/>
      <c r="E232" s="52"/>
      <c r="F232" s="52"/>
      <c r="G232" s="52"/>
      <c r="H232" s="52"/>
      <c r="I232" s="52"/>
      <c r="J232" s="53"/>
      <c r="K232" s="197"/>
      <c r="L232" s="198"/>
      <c r="M232" s="1"/>
      <c r="N232" s="1"/>
      <c r="O232" s="1"/>
    </row>
    <row r="233" spans="1:15" ht="18.75" customHeight="1" x14ac:dyDescent="0.25">
      <c r="A233" s="60" t="s">
        <v>382</v>
      </c>
      <c r="B233" s="52"/>
      <c r="C233" s="52"/>
      <c r="D233" s="52"/>
      <c r="E233" s="52"/>
      <c r="F233" s="52"/>
      <c r="G233" s="52"/>
      <c r="H233" s="52"/>
      <c r="I233" s="52"/>
      <c r="J233" s="53"/>
      <c r="K233" s="197"/>
      <c r="L233" s="198"/>
      <c r="M233" s="1"/>
      <c r="N233" s="1"/>
      <c r="O233" s="1"/>
    </row>
    <row r="234" spans="1:15" ht="18.75" customHeight="1" x14ac:dyDescent="0.25">
      <c r="A234" s="60" t="s">
        <v>383</v>
      </c>
      <c r="B234" s="52"/>
      <c r="C234" s="52"/>
      <c r="D234" s="52"/>
      <c r="E234" s="52"/>
      <c r="F234" s="52"/>
      <c r="G234" s="52"/>
      <c r="H234" s="52"/>
      <c r="I234" s="52"/>
      <c r="J234" s="53"/>
      <c r="K234" s="197"/>
      <c r="L234" s="198"/>
      <c r="M234" s="1"/>
      <c r="N234" s="1"/>
      <c r="O234" s="1"/>
    </row>
    <row r="235" spans="1:15" ht="18.75" customHeight="1" x14ac:dyDescent="0.25">
      <c r="A235" s="60" t="s">
        <v>384</v>
      </c>
      <c r="B235" s="52"/>
      <c r="C235" s="52"/>
      <c r="D235" s="52"/>
      <c r="E235" s="52"/>
      <c r="F235" s="52"/>
      <c r="G235" s="52"/>
      <c r="H235" s="52"/>
      <c r="I235" s="52"/>
      <c r="J235" s="53"/>
      <c r="K235" s="197"/>
      <c r="L235" s="198"/>
      <c r="M235" s="1"/>
      <c r="N235" s="1"/>
      <c r="O235" s="1"/>
    </row>
    <row r="236" spans="1:15" ht="18.75" customHeight="1" x14ac:dyDescent="0.25">
      <c r="A236" s="60" t="s">
        <v>385</v>
      </c>
      <c r="B236" s="52"/>
      <c r="C236" s="52"/>
      <c r="D236" s="52"/>
      <c r="E236" s="52"/>
      <c r="F236" s="52"/>
      <c r="G236" s="52"/>
      <c r="H236" s="52"/>
      <c r="I236" s="52"/>
      <c r="J236" s="53"/>
      <c r="K236" s="197"/>
      <c r="L236" s="198"/>
      <c r="M236" s="1"/>
      <c r="N236" s="1"/>
      <c r="O236" s="1"/>
    </row>
    <row r="237" spans="1:15" ht="18.75" customHeight="1" x14ac:dyDescent="0.25">
      <c r="A237" s="60" t="s">
        <v>386</v>
      </c>
      <c r="B237" s="52"/>
      <c r="C237" s="52"/>
      <c r="D237" s="52"/>
      <c r="E237" s="52"/>
      <c r="F237" s="52"/>
      <c r="G237" s="52"/>
      <c r="H237" s="52"/>
      <c r="I237" s="52"/>
      <c r="J237" s="53"/>
      <c r="K237" s="197"/>
      <c r="L237" s="198"/>
      <c r="M237" s="1"/>
      <c r="N237" s="1"/>
      <c r="O237" s="1"/>
    </row>
    <row r="238" spans="1:15" ht="18.75" customHeight="1" x14ac:dyDescent="0.25">
      <c r="A238" s="60" t="s">
        <v>387</v>
      </c>
      <c r="B238" s="52"/>
      <c r="C238" s="52"/>
      <c r="D238" s="52"/>
      <c r="E238" s="52"/>
      <c r="F238" s="52"/>
      <c r="G238" s="52"/>
      <c r="H238" s="52"/>
      <c r="I238" s="52"/>
      <c r="J238" s="53"/>
      <c r="K238" s="197"/>
      <c r="L238" s="198"/>
      <c r="M238" s="1"/>
      <c r="N238" s="1"/>
    </row>
    <row r="239" spans="1:15" ht="18.75" customHeight="1" x14ac:dyDescent="0.25">
      <c r="A239" s="60" t="s">
        <v>388</v>
      </c>
      <c r="B239" s="52"/>
      <c r="C239" s="52"/>
      <c r="D239" s="52"/>
      <c r="E239" s="52"/>
      <c r="F239" s="52"/>
      <c r="G239" s="52"/>
      <c r="H239" s="52"/>
      <c r="I239" s="52"/>
      <c r="J239" s="53"/>
      <c r="K239" s="197"/>
      <c r="L239" s="198"/>
      <c r="M239" s="1"/>
      <c r="N239" s="1"/>
    </row>
    <row r="240" spans="1:15" ht="18.75" customHeight="1" x14ac:dyDescent="0.25">
      <c r="A240" s="60" t="s">
        <v>389</v>
      </c>
      <c r="B240" s="52"/>
      <c r="C240" s="52"/>
      <c r="D240" s="52"/>
      <c r="E240" s="52"/>
      <c r="F240" s="52"/>
      <c r="G240" s="52"/>
      <c r="H240" s="52"/>
      <c r="I240" s="52"/>
      <c r="J240" s="53"/>
      <c r="K240" s="197"/>
      <c r="L240" s="198"/>
      <c r="M240" s="1"/>
      <c r="N240" s="1"/>
      <c r="O240" s="1"/>
    </row>
    <row r="241" spans="1:13" ht="18.75" customHeight="1" x14ac:dyDescent="0.25">
      <c r="A241" s="60" t="s">
        <v>390</v>
      </c>
      <c r="B241" s="52"/>
      <c r="C241" s="52"/>
      <c r="D241" s="52"/>
      <c r="E241" s="52"/>
      <c r="F241" s="52"/>
      <c r="G241" s="52"/>
      <c r="H241" s="52"/>
      <c r="I241" s="52"/>
      <c r="J241" s="53"/>
      <c r="K241" s="197"/>
      <c r="L241" s="198"/>
      <c r="M241" s="1"/>
    </row>
    <row r="242" spans="1:13" ht="18.75" customHeight="1" x14ac:dyDescent="0.25">
      <c r="A242" s="60" t="s">
        <v>391</v>
      </c>
      <c r="B242" s="52"/>
      <c r="C242" s="52"/>
      <c r="D242" s="52"/>
      <c r="E242" s="52"/>
      <c r="F242" s="52"/>
      <c r="G242" s="52"/>
      <c r="H242" s="52"/>
      <c r="I242" s="52"/>
      <c r="J242" s="53"/>
      <c r="K242" s="197"/>
      <c r="L242" s="198"/>
      <c r="M242" s="1"/>
    </row>
    <row r="243" spans="1:13" ht="18.75" customHeight="1" x14ac:dyDescent="0.25">
      <c r="A243" s="60" t="s">
        <v>392</v>
      </c>
      <c r="B243" s="52"/>
      <c r="C243" s="52"/>
      <c r="D243" s="52"/>
      <c r="E243" s="52"/>
      <c r="F243" s="52"/>
      <c r="G243" s="52"/>
      <c r="H243" s="52"/>
      <c r="I243" s="52"/>
      <c r="J243" s="53"/>
      <c r="K243" s="197"/>
      <c r="L243" s="198"/>
      <c r="M243" s="1"/>
    </row>
    <row r="244" spans="1:13" ht="18.75" customHeight="1" x14ac:dyDescent="0.25">
      <c r="A244" s="60" t="s">
        <v>393</v>
      </c>
      <c r="B244" s="52"/>
      <c r="C244" s="52"/>
      <c r="D244" s="52"/>
      <c r="E244" s="52"/>
      <c r="F244" s="52"/>
      <c r="G244" s="52"/>
      <c r="H244" s="52"/>
      <c r="I244" s="52"/>
      <c r="J244" s="53"/>
      <c r="K244" s="197"/>
      <c r="L244" s="198"/>
      <c r="M244" s="1"/>
    </row>
    <row r="245" spans="1:13" ht="18.75" customHeight="1" thickBot="1" x14ac:dyDescent="0.3">
      <c r="A245" s="61" t="s">
        <v>394</v>
      </c>
      <c r="B245" s="62"/>
      <c r="C245" s="62"/>
      <c r="D245" s="62"/>
      <c r="E245" s="62"/>
      <c r="F245" s="62"/>
      <c r="G245" s="62"/>
      <c r="H245" s="62"/>
      <c r="I245" s="62"/>
      <c r="J245" s="63"/>
      <c r="K245" s="199"/>
      <c r="L245" s="200"/>
      <c r="M245" s="1"/>
    </row>
    <row r="246" spans="1:13" ht="18.75" customHeight="1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8.75" customHeight="1" x14ac:dyDescent="0.25">
      <c r="A247" s="201" t="s">
        <v>449</v>
      </c>
      <c r="B247" s="202"/>
      <c r="C247" s="202"/>
      <c r="D247" s="202"/>
      <c r="E247" s="202"/>
      <c r="F247" s="202"/>
      <c r="G247" s="202"/>
      <c r="H247" s="202"/>
      <c r="I247" s="202"/>
      <c r="J247" s="203"/>
      <c r="K247" s="206">
        <f>K249</f>
        <v>0</v>
      </c>
      <c r="L247" s="207"/>
      <c r="M247" s="1"/>
    </row>
    <row r="248" spans="1:13" ht="18.75" customHeight="1" thickBot="1" x14ac:dyDescent="0.3">
      <c r="A248" s="204"/>
      <c r="B248" s="105"/>
      <c r="C248" s="105"/>
      <c r="D248" s="105"/>
      <c r="E248" s="105"/>
      <c r="F248" s="105"/>
      <c r="G248" s="105"/>
      <c r="H248" s="105"/>
      <c r="I248" s="105"/>
      <c r="J248" s="205"/>
      <c r="K248" s="208"/>
      <c r="L248" s="209"/>
      <c r="M248" s="1"/>
    </row>
    <row r="249" spans="1:13" ht="18.75" customHeight="1" thickBot="1" x14ac:dyDescent="0.3">
      <c r="A249" s="210" t="s">
        <v>395</v>
      </c>
      <c r="B249" s="211"/>
      <c r="C249" s="211"/>
      <c r="D249" s="211"/>
      <c r="E249" s="211"/>
      <c r="F249" s="211"/>
      <c r="G249" s="211"/>
      <c r="H249" s="211"/>
      <c r="I249" s="211"/>
      <c r="J249" s="212"/>
      <c r="K249" s="213">
        <f>K382</f>
        <v>0</v>
      </c>
      <c r="L249" s="214"/>
      <c r="M249" s="1"/>
    </row>
    <row r="250" spans="1:13" ht="18.75" customHeight="1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8.75" customHeight="1" x14ac:dyDescent="0.25">
      <c r="A251" s="201" t="s">
        <v>450</v>
      </c>
      <c r="B251" s="202"/>
      <c r="C251" s="202"/>
      <c r="D251" s="202"/>
      <c r="E251" s="202"/>
      <c r="F251" s="202"/>
      <c r="G251" s="202"/>
      <c r="H251" s="202"/>
      <c r="I251" s="202"/>
      <c r="J251" s="203"/>
      <c r="K251" s="326">
        <f>SUM(K253:L257)</f>
        <v>0</v>
      </c>
      <c r="L251" s="207"/>
      <c r="M251" s="1"/>
    </row>
    <row r="252" spans="1:13" ht="18.75" customHeight="1" thickBot="1" x14ac:dyDescent="0.3">
      <c r="A252" s="204"/>
      <c r="B252" s="105"/>
      <c r="C252" s="105"/>
      <c r="D252" s="105"/>
      <c r="E252" s="105"/>
      <c r="F252" s="105"/>
      <c r="G252" s="105"/>
      <c r="H252" s="105"/>
      <c r="I252" s="105"/>
      <c r="J252" s="205"/>
      <c r="K252" s="208"/>
      <c r="L252" s="209"/>
      <c r="M252" s="1"/>
    </row>
    <row r="253" spans="1:13" ht="18.75" customHeight="1" x14ac:dyDescent="0.25">
      <c r="A253" s="57" t="s">
        <v>396</v>
      </c>
      <c r="B253" s="58"/>
      <c r="C253" s="58"/>
      <c r="D253" s="58"/>
      <c r="E253" s="58"/>
      <c r="F253" s="58"/>
      <c r="G253" s="58"/>
      <c r="H253" s="58"/>
      <c r="I253" s="58"/>
      <c r="J253" s="59"/>
      <c r="K253" s="221"/>
      <c r="L253" s="218"/>
      <c r="M253" s="1"/>
    </row>
    <row r="254" spans="1:13" ht="18.75" customHeight="1" x14ac:dyDescent="0.25">
      <c r="A254" s="60" t="s">
        <v>397</v>
      </c>
      <c r="B254" s="52"/>
      <c r="C254" s="52"/>
      <c r="D254" s="52"/>
      <c r="E254" s="52"/>
      <c r="F254" s="52"/>
      <c r="G254" s="52"/>
      <c r="H254" s="52"/>
      <c r="I254" s="52"/>
      <c r="J254" s="53"/>
      <c r="K254" s="120"/>
      <c r="L254" s="198"/>
      <c r="M254" s="1"/>
    </row>
    <row r="255" spans="1:13" ht="18.75" customHeight="1" x14ac:dyDescent="0.25">
      <c r="A255" s="60" t="s">
        <v>398</v>
      </c>
      <c r="B255" s="52"/>
      <c r="C255" s="52"/>
      <c r="D255" s="52"/>
      <c r="E255" s="52"/>
      <c r="F255" s="52"/>
      <c r="G255" s="52"/>
      <c r="H255" s="52"/>
      <c r="I255" s="52"/>
      <c r="J255" s="53"/>
      <c r="K255" s="120"/>
      <c r="L255" s="198"/>
      <c r="M255" s="1"/>
    </row>
    <row r="256" spans="1:13" ht="18.75" customHeight="1" x14ac:dyDescent="0.25">
      <c r="A256" s="60" t="s">
        <v>399</v>
      </c>
      <c r="B256" s="52"/>
      <c r="C256" s="52"/>
      <c r="D256" s="52"/>
      <c r="E256" s="52"/>
      <c r="F256" s="52"/>
      <c r="G256" s="52"/>
      <c r="H256" s="52"/>
      <c r="I256" s="52"/>
      <c r="J256" s="53"/>
      <c r="K256" s="120"/>
      <c r="L256" s="198"/>
      <c r="M256" s="1"/>
    </row>
    <row r="257" spans="1:13" ht="18.75" customHeight="1" thickBot="1" x14ac:dyDescent="0.3">
      <c r="A257" s="61" t="s">
        <v>400</v>
      </c>
      <c r="B257" s="62"/>
      <c r="C257" s="62"/>
      <c r="D257" s="62"/>
      <c r="E257" s="62"/>
      <c r="F257" s="62"/>
      <c r="G257" s="62"/>
      <c r="H257" s="62"/>
      <c r="I257" s="62"/>
      <c r="J257" s="63"/>
      <c r="K257" s="96"/>
      <c r="L257" s="200"/>
      <c r="M257" s="1"/>
    </row>
    <row r="258" spans="1:13" ht="18.75" customHeight="1" thickBot="1" x14ac:dyDescent="0.3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1"/>
    </row>
    <row r="259" spans="1:13" ht="18.75" customHeight="1" x14ac:dyDescent="0.25">
      <c r="A259" s="313" t="s">
        <v>451</v>
      </c>
      <c r="B259" s="102"/>
      <c r="C259" s="102"/>
      <c r="D259" s="102"/>
      <c r="E259" s="102"/>
      <c r="F259" s="102"/>
      <c r="G259" s="102"/>
      <c r="H259" s="102"/>
      <c r="I259" s="102"/>
      <c r="J259" s="314"/>
      <c r="K259" s="316">
        <f>(+K140+J138+K146+K192+K200+K208)*K261</f>
        <v>0</v>
      </c>
      <c r="L259" s="317"/>
      <c r="M259" s="1"/>
    </row>
    <row r="260" spans="1:13" ht="18.75" customHeight="1" x14ac:dyDescent="0.25">
      <c r="A260" s="315"/>
      <c r="B260" s="168"/>
      <c r="C260" s="168"/>
      <c r="D260" s="168"/>
      <c r="E260" s="168"/>
      <c r="F260" s="168"/>
      <c r="G260" s="168"/>
      <c r="H260" s="168"/>
      <c r="I260" s="168"/>
      <c r="J260" s="169"/>
      <c r="K260" s="191"/>
      <c r="L260" s="174"/>
      <c r="M260" s="1"/>
    </row>
    <row r="261" spans="1:13" ht="18.75" customHeight="1" x14ac:dyDescent="0.25">
      <c r="A261" s="318" t="s">
        <v>401</v>
      </c>
      <c r="B261" s="319"/>
      <c r="C261" s="319"/>
      <c r="D261" s="319"/>
      <c r="E261" s="319"/>
      <c r="F261" s="319"/>
      <c r="G261" s="319"/>
      <c r="H261" s="319"/>
      <c r="I261" s="319"/>
      <c r="J261" s="319"/>
      <c r="K261" s="319">
        <f>IF(((+K140+J138+K146+K192+K200+K208)&gt;200000),8%,5%)</f>
        <v>0.05</v>
      </c>
      <c r="L261" s="320"/>
      <c r="M261" s="1"/>
    </row>
    <row r="262" spans="1:13" ht="18.75" customHeight="1" x14ac:dyDescent="0.25">
      <c r="A262" s="318"/>
      <c r="B262" s="319"/>
      <c r="C262" s="319"/>
      <c r="D262" s="319"/>
      <c r="E262" s="319"/>
      <c r="F262" s="319"/>
      <c r="G262" s="319"/>
      <c r="H262" s="319"/>
      <c r="I262" s="319"/>
      <c r="J262" s="319"/>
      <c r="K262" s="319"/>
      <c r="L262" s="320"/>
      <c r="M262" s="1"/>
    </row>
    <row r="263" spans="1:13" ht="18.75" customHeight="1" x14ac:dyDescent="0.25">
      <c r="A263" s="321" t="s">
        <v>452</v>
      </c>
      <c r="B263" s="168"/>
      <c r="C263" s="168"/>
      <c r="D263" s="168"/>
      <c r="E263" s="168"/>
      <c r="F263" s="168"/>
      <c r="G263" s="168"/>
      <c r="H263" s="168"/>
      <c r="I263" s="168"/>
      <c r="J263" s="169"/>
      <c r="K263" s="173">
        <f>((K251+K251+K247+K208+K200+K192+K146+K140+G138)*K266)</f>
        <v>0</v>
      </c>
      <c r="L263" s="174"/>
      <c r="M263" s="1"/>
    </row>
    <row r="264" spans="1:13" ht="18.75" customHeight="1" x14ac:dyDescent="0.25">
      <c r="A264" s="315"/>
      <c r="B264" s="322"/>
      <c r="C264" s="322"/>
      <c r="D264" s="322"/>
      <c r="E264" s="322"/>
      <c r="F264" s="322"/>
      <c r="G264" s="322"/>
      <c r="H264" s="322"/>
      <c r="I264" s="322"/>
      <c r="J264" s="169"/>
      <c r="K264" s="191"/>
      <c r="L264" s="174"/>
      <c r="M264" s="1"/>
    </row>
    <row r="265" spans="1:13" ht="18.75" customHeight="1" x14ac:dyDescent="0.25">
      <c r="A265" s="315"/>
      <c r="B265" s="168"/>
      <c r="C265" s="168"/>
      <c r="D265" s="168"/>
      <c r="E265" s="168"/>
      <c r="F265" s="168"/>
      <c r="G265" s="168"/>
      <c r="H265" s="168"/>
      <c r="I265" s="168"/>
      <c r="J265" s="169"/>
      <c r="K265" s="191"/>
      <c r="L265" s="174"/>
      <c r="M265" s="1"/>
    </row>
    <row r="266" spans="1:13" ht="18.75" customHeight="1" x14ac:dyDescent="0.25">
      <c r="A266" s="318" t="s">
        <v>416</v>
      </c>
      <c r="B266" s="319"/>
      <c r="C266" s="319"/>
      <c r="D266" s="319"/>
      <c r="E266" s="319"/>
      <c r="F266" s="319"/>
      <c r="G266" s="319"/>
      <c r="H266" s="319"/>
      <c r="I266" s="319"/>
      <c r="J266" s="319"/>
      <c r="K266" s="323">
        <v>0.05</v>
      </c>
      <c r="L266" s="324"/>
      <c r="M266" s="1"/>
    </row>
    <row r="267" spans="1:13" ht="18.75" customHeight="1" x14ac:dyDescent="0.25">
      <c r="A267" s="318"/>
      <c r="B267" s="319"/>
      <c r="C267" s="319"/>
      <c r="D267" s="319"/>
      <c r="E267" s="319"/>
      <c r="F267" s="319"/>
      <c r="G267" s="319"/>
      <c r="H267" s="319"/>
      <c r="I267" s="319"/>
      <c r="J267" s="319"/>
      <c r="K267" s="325"/>
      <c r="L267" s="324"/>
      <c r="M267" s="1"/>
    </row>
    <row r="268" spans="1:13" ht="18.75" customHeight="1" x14ac:dyDescent="0.25">
      <c r="A268" s="167" t="s">
        <v>402</v>
      </c>
      <c r="B268" s="168"/>
      <c r="C268" s="168"/>
      <c r="D268" s="168"/>
      <c r="E268" s="168"/>
      <c r="F268" s="168"/>
      <c r="G268" s="168"/>
      <c r="H268" s="168"/>
      <c r="I268" s="168"/>
      <c r="J268" s="169"/>
      <c r="K268" s="173">
        <f>(SUM(K140,K146,K192,K200,K208,,K247,K251,K259,K263))</f>
        <v>0</v>
      </c>
      <c r="L268" s="174"/>
      <c r="M268" s="1"/>
    </row>
    <row r="269" spans="1:13" ht="18.75" customHeight="1" thickBot="1" x14ac:dyDescent="0.3">
      <c r="A269" s="170"/>
      <c r="B269" s="171"/>
      <c r="C269" s="171"/>
      <c r="D269" s="171"/>
      <c r="E269" s="171"/>
      <c r="F269" s="171"/>
      <c r="G269" s="171"/>
      <c r="H269" s="171"/>
      <c r="I269" s="171"/>
      <c r="J269" s="172"/>
      <c r="K269" s="175"/>
      <c r="L269" s="176"/>
      <c r="M269" s="1"/>
    </row>
    <row r="270" spans="1:13" ht="18.75" customHeight="1" thickBot="1" x14ac:dyDescent="0.3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1"/>
    </row>
    <row r="271" spans="1:13" ht="18.75" customHeight="1" x14ac:dyDescent="0.25">
      <c r="A271" s="107" t="s">
        <v>453</v>
      </c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9"/>
      <c r="M271" s="1"/>
    </row>
    <row r="272" spans="1:13" ht="18.75" customHeight="1" x14ac:dyDescent="0.25">
      <c r="A272" s="177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9"/>
      <c r="M272" s="1"/>
    </row>
    <row r="273" spans="1:15" ht="18.75" customHeight="1" x14ac:dyDescent="0.25">
      <c r="A273" s="180" t="s">
        <v>260</v>
      </c>
      <c r="B273" s="181"/>
      <c r="C273" s="186" t="s">
        <v>261</v>
      </c>
      <c r="D273" s="189" t="s">
        <v>262</v>
      </c>
      <c r="E273" s="190"/>
      <c r="F273" s="190"/>
      <c r="G273" s="190"/>
      <c r="H273" s="190"/>
      <c r="I273" s="190"/>
      <c r="J273" s="181"/>
      <c r="K273" s="195" t="s">
        <v>263</v>
      </c>
      <c r="L273" s="157"/>
      <c r="M273" s="1"/>
    </row>
    <row r="274" spans="1:15" ht="18.75" customHeight="1" x14ac:dyDescent="0.25">
      <c r="A274" s="182"/>
      <c r="B274" s="183"/>
      <c r="C274" s="187"/>
      <c r="D274" s="191"/>
      <c r="E274" s="192"/>
      <c r="F274" s="192"/>
      <c r="G274" s="192"/>
      <c r="H274" s="192"/>
      <c r="I274" s="192"/>
      <c r="J274" s="183"/>
      <c r="K274" s="196" t="s">
        <v>264</v>
      </c>
      <c r="L274" s="157"/>
      <c r="M274" s="1"/>
    </row>
    <row r="275" spans="1:15" ht="18.75" customHeight="1" x14ac:dyDescent="0.25">
      <c r="A275" s="184"/>
      <c r="B275" s="185"/>
      <c r="C275" s="188"/>
      <c r="D275" s="193"/>
      <c r="E275" s="194"/>
      <c r="F275" s="194"/>
      <c r="G275" s="194"/>
      <c r="H275" s="194"/>
      <c r="I275" s="194"/>
      <c r="J275" s="185"/>
      <c r="K275" s="64" t="s">
        <v>24</v>
      </c>
      <c r="L275" s="65" t="s">
        <v>25</v>
      </c>
      <c r="M275" s="1"/>
    </row>
    <row r="276" spans="1:15" ht="18.75" customHeight="1" x14ac:dyDescent="0.25">
      <c r="A276" s="117"/>
      <c r="B276" s="119"/>
      <c r="C276" s="8"/>
      <c r="D276" s="156" t="s">
        <v>265</v>
      </c>
      <c r="E276" s="118"/>
      <c r="F276" s="118"/>
      <c r="G276" s="118"/>
      <c r="H276" s="118"/>
      <c r="I276" s="118"/>
      <c r="J276" s="119"/>
      <c r="K276" s="9"/>
      <c r="L276" s="10"/>
      <c r="M276" s="1"/>
    </row>
    <row r="277" spans="1:15" ht="18.75" customHeight="1" x14ac:dyDescent="0.25">
      <c r="A277" s="117"/>
      <c r="B277" s="119"/>
      <c r="C277" s="8"/>
      <c r="D277" s="156" t="s">
        <v>265</v>
      </c>
      <c r="E277" s="118"/>
      <c r="F277" s="118"/>
      <c r="G277" s="118"/>
      <c r="H277" s="118"/>
      <c r="I277" s="118"/>
      <c r="J277" s="119"/>
      <c r="K277" s="9"/>
      <c r="L277" s="10"/>
      <c r="M277" s="1"/>
    </row>
    <row r="278" spans="1:15" ht="18.75" customHeight="1" x14ac:dyDescent="0.25">
      <c r="A278" s="117"/>
      <c r="B278" s="119"/>
      <c r="C278" s="8"/>
      <c r="D278" s="156" t="s">
        <v>265</v>
      </c>
      <c r="E278" s="118"/>
      <c r="F278" s="118"/>
      <c r="G278" s="118"/>
      <c r="H278" s="118"/>
      <c r="I278" s="118"/>
      <c r="J278" s="119"/>
      <c r="K278" s="9"/>
      <c r="L278" s="10"/>
      <c r="M278" s="1"/>
      <c r="N278" s="1"/>
      <c r="O278" s="1"/>
    </row>
    <row r="279" spans="1:15" ht="18.75" customHeight="1" x14ac:dyDescent="0.25">
      <c r="A279" s="117"/>
      <c r="B279" s="119"/>
      <c r="C279" s="8"/>
      <c r="D279" s="156" t="s">
        <v>265</v>
      </c>
      <c r="E279" s="118"/>
      <c r="F279" s="118"/>
      <c r="G279" s="118"/>
      <c r="H279" s="118"/>
      <c r="I279" s="118"/>
      <c r="J279" s="119"/>
      <c r="K279" s="9"/>
      <c r="L279" s="10"/>
      <c r="M279" s="1"/>
      <c r="N279" s="1"/>
      <c r="O279" s="1"/>
    </row>
    <row r="280" spans="1:15" ht="18.75" customHeight="1" x14ac:dyDescent="0.25">
      <c r="A280" s="117"/>
      <c r="B280" s="119"/>
      <c r="C280" s="8"/>
      <c r="D280" s="156" t="s">
        <v>265</v>
      </c>
      <c r="E280" s="118"/>
      <c r="F280" s="118"/>
      <c r="G280" s="118"/>
      <c r="H280" s="118"/>
      <c r="I280" s="118"/>
      <c r="J280" s="119"/>
      <c r="K280" s="9"/>
      <c r="L280" s="10"/>
      <c r="M280" s="1"/>
      <c r="N280" s="1"/>
      <c r="O280" s="1"/>
    </row>
    <row r="281" spans="1:15" ht="18.75" customHeight="1" x14ac:dyDescent="0.25">
      <c r="A281" s="117"/>
      <c r="B281" s="119"/>
      <c r="C281" s="8"/>
      <c r="D281" s="156" t="s">
        <v>265</v>
      </c>
      <c r="E281" s="118"/>
      <c r="F281" s="118"/>
      <c r="G281" s="118"/>
      <c r="H281" s="118"/>
      <c r="I281" s="118"/>
      <c r="J281" s="119"/>
      <c r="K281" s="9"/>
      <c r="L281" s="10"/>
      <c r="M281" s="1"/>
      <c r="N281" s="1"/>
      <c r="O281" s="1"/>
    </row>
    <row r="282" spans="1:15" ht="18.75" customHeight="1" x14ac:dyDescent="0.25">
      <c r="A282" s="117"/>
      <c r="B282" s="119"/>
      <c r="C282" s="8"/>
      <c r="D282" s="156" t="s">
        <v>265</v>
      </c>
      <c r="E282" s="118"/>
      <c r="F282" s="118"/>
      <c r="G282" s="118"/>
      <c r="H282" s="118"/>
      <c r="I282" s="118"/>
      <c r="J282" s="119"/>
      <c r="K282" s="9"/>
      <c r="L282" s="10"/>
      <c r="M282" s="1"/>
      <c r="N282" s="1"/>
      <c r="O282" s="1"/>
    </row>
    <row r="283" spans="1:15" ht="18.75" customHeight="1" x14ac:dyDescent="0.25">
      <c r="A283" s="117"/>
      <c r="B283" s="119"/>
      <c r="C283" s="8"/>
      <c r="D283" s="156" t="s">
        <v>265</v>
      </c>
      <c r="E283" s="118"/>
      <c r="F283" s="118"/>
      <c r="G283" s="118"/>
      <c r="H283" s="118"/>
      <c r="I283" s="118"/>
      <c r="J283" s="119"/>
      <c r="K283" s="9"/>
      <c r="L283" s="10"/>
      <c r="M283" s="1"/>
      <c r="N283" s="1"/>
      <c r="O283" s="1"/>
    </row>
    <row r="284" spans="1:15" ht="18.75" customHeight="1" x14ac:dyDescent="0.25">
      <c r="A284" s="117"/>
      <c r="B284" s="119"/>
      <c r="C284" s="8"/>
      <c r="D284" s="156" t="s">
        <v>265</v>
      </c>
      <c r="E284" s="118"/>
      <c r="F284" s="118"/>
      <c r="G284" s="118"/>
      <c r="H284" s="118"/>
      <c r="I284" s="118"/>
      <c r="J284" s="119"/>
      <c r="K284" s="9"/>
      <c r="L284" s="10"/>
      <c r="M284" s="1"/>
      <c r="N284" s="1"/>
      <c r="O284" s="1"/>
    </row>
    <row r="285" spans="1:15" ht="18.75" customHeight="1" x14ac:dyDescent="0.25">
      <c r="A285" s="117"/>
      <c r="B285" s="119"/>
      <c r="C285" s="8"/>
      <c r="D285" s="156" t="s">
        <v>265</v>
      </c>
      <c r="E285" s="118"/>
      <c r="F285" s="118"/>
      <c r="G285" s="118"/>
      <c r="H285" s="118"/>
      <c r="I285" s="118"/>
      <c r="J285" s="119"/>
      <c r="K285" s="9"/>
      <c r="L285" s="10"/>
      <c r="M285" s="1"/>
      <c r="N285" s="1"/>
      <c r="O285" s="1"/>
    </row>
    <row r="286" spans="1:15" ht="18.75" customHeight="1" x14ac:dyDescent="0.25">
      <c r="A286" s="117"/>
      <c r="B286" s="119"/>
      <c r="C286" s="8"/>
      <c r="D286" s="156" t="s">
        <v>265</v>
      </c>
      <c r="E286" s="118"/>
      <c r="F286" s="118"/>
      <c r="G286" s="118"/>
      <c r="H286" s="118"/>
      <c r="I286" s="118"/>
      <c r="J286" s="119"/>
      <c r="K286" s="9"/>
      <c r="L286" s="10"/>
      <c r="M286" s="1"/>
      <c r="N286" s="1"/>
      <c r="O286" s="1"/>
    </row>
    <row r="287" spans="1:15" ht="18.75" customHeight="1" x14ac:dyDescent="0.25">
      <c r="A287" s="117"/>
      <c r="B287" s="119"/>
      <c r="C287" s="8"/>
      <c r="D287" s="156" t="s">
        <v>265</v>
      </c>
      <c r="E287" s="118"/>
      <c r="F287" s="118"/>
      <c r="G287" s="118"/>
      <c r="H287" s="118"/>
      <c r="I287" s="118"/>
      <c r="J287" s="119"/>
      <c r="K287" s="9"/>
      <c r="L287" s="10"/>
      <c r="M287" s="1"/>
      <c r="N287" s="1"/>
      <c r="O287" s="1"/>
    </row>
    <row r="288" spans="1:15" ht="18.75" customHeight="1" thickBot="1" x14ac:dyDescent="0.3">
      <c r="A288" s="158"/>
      <c r="B288" s="99"/>
      <c r="C288" s="11"/>
      <c r="D288" s="159" t="s">
        <v>265</v>
      </c>
      <c r="E288" s="98"/>
      <c r="F288" s="98"/>
      <c r="G288" s="98"/>
      <c r="H288" s="98"/>
      <c r="I288" s="98"/>
      <c r="J288" s="99"/>
      <c r="K288" s="12"/>
      <c r="L288" s="13"/>
      <c r="M288" s="1"/>
      <c r="N288" s="1"/>
      <c r="O288" s="1"/>
    </row>
    <row r="289" spans="1:15" ht="18.75" customHeight="1" thickBot="1" x14ac:dyDescent="0.3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1"/>
      <c r="N289" s="1"/>
      <c r="O289" s="1"/>
    </row>
    <row r="290" spans="1:15" ht="18.75" customHeight="1" x14ac:dyDescent="0.25">
      <c r="A290" s="160" t="s">
        <v>454</v>
      </c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2"/>
      <c r="M290" s="1"/>
      <c r="N290" s="1"/>
      <c r="O290" s="1"/>
    </row>
    <row r="291" spans="1:15" ht="18.75" customHeight="1" x14ac:dyDescent="0.25">
      <c r="A291" s="163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5"/>
      <c r="M291" s="1"/>
      <c r="N291" s="1"/>
      <c r="O291" s="1"/>
    </row>
    <row r="292" spans="1:15" ht="18.75" customHeight="1" x14ac:dyDescent="0.25">
      <c r="A292" s="166" t="s">
        <v>266</v>
      </c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57"/>
      <c r="M292" s="1"/>
      <c r="N292" s="1"/>
      <c r="O292" s="1"/>
    </row>
    <row r="293" spans="1:15" ht="18.75" customHeight="1" x14ac:dyDescent="0.25">
      <c r="A293" s="46" t="s">
        <v>267</v>
      </c>
      <c r="B293" s="156" t="s">
        <v>268</v>
      </c>
      <c r="C293" s="118"/>
      <c r="D293" s="118"/>
      <c r="E293" s="118"/>
      <c r="F293" s="118"/>
      <c r="G293" s="118"/>
      <c r="H293" s="118"/>
      <c r="I293" s="118"/>
      <c r="J293" s="118"/>
      <c r="K293" s="118"/>
      <c r="L293" s="157"/>
      <c r="M293" s="1"/>
      <c r="N293" s="1"/>
      <c r="O293" s="1"/>
    </row>
    <row r="294" spans="1:15" ht="18" customHeight="1" x14ac:dyDescent="0.25">
      <c r="A294" s="46" t="s">
        <v>267</v>
      </c>
      <c r="B294" s="156" t="s">
        <v>268</v>
      </c>
      <c r="C294" s="118"/>
      <c r="D294" s="118"/>
      <c r="E294" s="118"/>
      <c r="F294" s="118"/>
      <c r="G294" s="118"/>
      <c r="H294" s="118"/>
      <c r="I294" s="118"/>
      <c r="J294" s="118"/>
      <c r="K294" s="118"/>
      <c r="L294" s="157"/>
      <c r="M294" s="1"/>
      <c r="N294" s="1"/>
      <c r="O294" s="1"/>
    </row>
    <row r="295" spans="1:15" ht="18.75" customHeight="1" x14ac:dyDescent="0.25">
      <c r="A295" s="46" t="s">
        <v>267</v>
      </c>
      <c r="B295" s="156" t="s">
        <v>268</v>
      </c>
      <c r="C295" s="118"/>
      <c r="D295" s="118"/>
      <c r="E295" s="118"/>
      <c r="F295" s="118"/>
      <c r="G295" s="118"/>
      <c r="H295" s="118"/>
      <c r="I295" s="118"/>
      <c r="J295" s="118"/>
      <c r="K295" s="118"/>
      <c r="L295" s="157"/>
      <c r="M295" s="1"/>
      <c r="N295" s="1"/>
      <c r="O295" s="1"/>
    </row>
    <row r="296" spans="1:15" ht="18.75" customHeight="1" x14ac:dyDescent="0.25">
      <c r="A296" s="46" t="s">
        <v>267</v>
      </c>
      <c r="B296" s="156" t="s">
        <v>268</v>
      </c>
      <c r="C296" s="118"/>
      <c r="D296" s="118"/>
      <c r="E296" s="118"/>
      <c r="F296" s="118"/>
      <c r="G296" s="118"/>
      <c r="H296" s="118"/>
      <c r="I296" s="118"/>
      <c r="J296" s="118"/>
      <c r="K296" s="118"/>
      <c r="L296" s="157"/>
      <c r="M296" s="1"/>
      <c r="N296" s="1"/>
      <c r="O296" s="1"/>
    </row>
    <row r="297" spans="1:15" ht="17.25" customHeight="1" x14ac:dyDescent="0.25">
      <c r="A297" s="46" t="s">
        <v>267</v>
      </c>
      <c r="B297" s="156" t="s">
        <v>268</v>
      </c>
      <c r="C297" s="118"/>
      <c r="D297" s="118"/>
      <c r="E297" s="118"/>
      <c r="F297" s="118"/>
      <c r="G297" s="118"/>
      <c r="H297" s="118"/>
      <c r="I297" s="118"/>
      <c r="J297" s="118"/>
      <c r="K297" s="118"/>
      <c r="L297" s="157"/>
      <c r="M297" s="1"/>
      <c r="N297" s="1"/>
      <c r="O297" s="1"/>
    </row>
    <row r="298" spans="1:15" ht="18.75" customHeight="1" x14ac:dyDescent="0.25">
      <c r="A298" s="46" t="s">
        <v>267</v>
      </c>
      <c r="B298" s="156" t="s">
        <v>268</v>
      </c>
      <c r="C298" s="118"/>
      <c r="D298" s="118"/>
      <c r="E298" s="118"/>
      <c r="F298" s="118"/>
      <c r="G298" s="118"/>
      <c r="H298" s="118"/>
      <c r="I298" s="118"/>
      <c r="J298" s="118"/>
      <c r="K298" s="118"/>
      <c r="L298" s="157"/>
      <c r="M298" s="1"/>
      <c r="N298" s="1"/>
      <c r="O298" s="1"/>
    </row>
    <row r="299" spans="1:15" ht="18.75" customHeight="1" x14ac:dyDescent="0.25">
      <c r="A299" s="46" t="s">
        <v>267</v>
      </c>
      <c r="B299" s="156" t="s">
        <v>268</v>
      </c>
      <c r="C299" s="118"/>
      <c r="D299" s="118"/>
      <c r="E299" s="118"/>
      <c r="F299" s="118"/>
      <c r="G299" s="118"/>
      <c r="H299" s="118"/>
      <c r="I299" s="118"/>
      <c r="J299" s="118"/>
      <c r="K299" s="118"/>
      <c r="L299" s="157"/>
      <c r="M299" s="1"/>
      <c r="N299" s="1"/>
      <c r="O299" s="1"/>
    </row>
    <row r="300" spans="1:15" ht="18" customHeight="1" x14ac:dyDescent="0.25">
      <c r="A300" s="46" t="s">
        <v>267</v>
      </c>
      <c r="B300" s="156" t="s">
        <v>268</v>
      </c>
      <c r="C300" s="118"/>
      <c r="D300" s="118"/>
      <c r="E300" s="118"/>
      <c r="F300" s="118"/>
      <c r="G300" s="118"/>
      <c r="H300" s="118"/>
      <c r="I300" s="118"/>
      <c r="J300" s="118"/>
      <c r="K300" s="118"/>
      <c r="L300" s="157"/>
      <c r="M300" s="1"/>
      <c r="N300" s="1"/>
      <c r="O300" s="1"/>
    </row>
    <row r="301" spans="1:15" ht="18" customHeight="1" x14ac:dyDescent="0.25">
      <c r="A301" s="46" t="s">
        <v>267</v>
      </c>
      <c r="B301" s="156" t="s">
        <v>268</v>
      </c>
      <c r="C301" s="118"/>
      <c r="D301" s="118"/>
      <c r="E301" s="118"/>
      <c r="F301" s="118"/>
      <c r="G301" s="118"/>
      <c r="H301" s="118"/>
      <c r="I301" s="118"/>
      <c r="J301" s="118"/>
      <c r="K301" s="118"/>
      <c r="L301" s="157"/>
      <c r="M301" s="1"/>
      <c r="N301" s="1"/>
      <c r="O301" s="1"/>
    </row>
    <row r="302" spans="1:15" ht="18.75" customHeight="1" x14ac:dyDescent="0.25">
      <c r="A302" s="46" t="s">
        <v>267</v>
      </c>
      <c r="B302" s="156" t="s">
        <v>268</v>
      </c>
      <c r="C302" s="118"/>
      <c r="D302" s="118"/>
      <c r="E302" s="118"/>
      <c r="F302" s="118"/>
      <c r="G302" s="118"/>
      <c r="H302" s="118"/>
      <c r="I302" s="118"/>
      <c r="J302" s="118"/>
      <c r="K302" s="118"/>
      <c r="L302" s="157"/>
      <c r="M302" s="1"/>
      <c r="N302" s="1"/>
      <c r="O302" s="1"/>
    </row>
    <row r="303" spans="1:15" ht="18.75" customHeight="1" x14ac:dyDescent="0.25">
      <c r="A303" s="46" t="s">
        <v>267</v>
      </c>
      <c r="B303" s="156" t="s">
        <v>268</v>
      </c>
      <c r="C303" s="118"/>
      <c r="D303" s="118"/>
      <c r="E303" s="118"/>
      <c r="F303" s="118"/>
      <c r="G303" s="118"/>
      <c r="H303" s="118"/>
      <c r="I303" s="118"/>
      <c r="J303" s="118"/>
      <c r="K303" s="118"/>
      <c r="L303" s="157"/>
      <c r="M303" s="1"/>
      <c r="N303" s="1"/>
      <c r="O303" s="1"/>
    </row>
    <row r="304" spans="1:15" ht="24" customHeight="1" x14ac:dyDescent="0.25">
      <c r="A304" s="46" t="s">
        <v>267</v>
      </c>
      <c r="B304" s="156" t="s">
        <v>268</v>
      </c>
      <c r="C304" s="118"/>
      <c r="D304" s="118"/>
      <c r="E304" s="118"/>
      <c r="F304" s="118"/>
      <c r="G304" s="118"/>
      <c r="H304" s="118"/>
      <c r="I304" s="118"/>
      <c r="J304" s="118"/>
      <c r="K304" s="118"/>
      <c r="L304" s="157"/>
      <c r="M304" s="1"/>
      <c r="N304" s="1"/>
      <c r="O304" s="1"/>
    </row>
    <row r="305" spans="1:15" ht="18.75" customHeight="1" x14ac:dyDescent="0.25">
      <c r="A305" s="46" t="s">
        <v>267</v>
      </c>
      <c r="B305" s="156" t="s">
        <v>268</v>
      </c>
      <c r="C305" s="118"/>
      <c r="D305" s="118"/>
      <c r="E305" s="118"/>
      <c r="F305" s="118"/>
      <c r="G305" s="118"/>
      <c r="H305" s="118"/>
      <c r="I305" s="118"/>
      <c r="J305" s="118"/>
      <c r="K305" s="118"/>
      <c r="L305" s="157"/>
      <c r="M305" s="1"/>
      <c r="N305" s="1"/>
      <c r="O305" s="1"/>
    </row>
    <row r="306" spans="1:15" ht="18.75" customHeight="1" thickBot="1" x14ac:dyDescent="0.3">
      <c r="A306" s="66" t="s">
        <v>267</v>
      </c>
      <c r="B306" s="159" t="s">
        <v>268</v>
      </c>
      <c r="C306" s="98"/>
      <c r="D306" s="98"/>
      <c r="E306" s="98"/>
      <c r="F306" s="98"/>
      <c r="G306" s="98"/>
      <c r="H306" s="98"/>
      <c r="I306" s="98"/>
      <c r="J306" s="98"/>
      <c r="K306" s="98"/>
      <c r="L306" s="220"/>
      <c r="M306" s="1"/>
      <c r="N306" s="1"/>
      <c r="O306" s="1"/>
    </row>
    <row r="307" spans="1:15" ht="60.75" customHeight="1" thickBot="1" x14ac:dyDescent="0.3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1"/>
      <c r="N307" s="1"/>
      <c r="O307" s="1"/>
    </row>
    <row r="308" spans="1:15" ht="18.75" customHeight="1" thickBot="1" x14ac:dyDescent="0.3">
      <c r="A308" s="292" t="s">
        <v>269</v>
      </c>
      <c r="B308" s="293"/>
      <c r="C308" s="293"/>
      <c r="D308" s="293"/>
      <c r="E308" s="293"/>
      <c r="F308" s="293"/>
      <c r="G308" s="293"/>
      <c r="H308" s="293"/>
      <c r="I308" s="293"/>
      <c r="J308" s="293"/>
      <c r="K308" s="293"/>
      <c r="L308" s="294"/>
      <c r="M308" s="1"/>
      <c r="N308" s="1"/>
      <c r="O308" s="1"/>
    </row>
    <row r="309" spans="1:15" ht="18.75" customHeight="1" thickBot="1" x14ac:dyDescent="0.3">
      <c r="A309" s="295" t="s">
        <v>270</v>
      </c>
      <c r="B309" s="296"/>
      <c r="C309" s="296"/>
      <c r="D309" s="296"/>
      <c r="E309" s="296"/>
      <c r="F309" s="296"/>
      <c r="G309" s="296"/>
      <c r="H309" s="296"/>
      <c r="I309" s="296"/>
      <c r="J309" s="296"/>
      <c r="K309" s="296"/>
      <c r="L309" s="297"/>
      <c r="M309" s="1"/>
      <c r="N309" s="1"/>
      <c r="O309" s="1"/>
    </row>
    <row r="310" spans="1:15" ht="18.75" customHeight="1" x14ac:dyDescent="0.25">
      <c r="A310" s="298" t="s">
        <v>455</v>
      </c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300"/>
      <c r="M310" s="1"/>
      <c r="N310" s="1"/>
      <c r="O310" s="1"/>
    </row>
    <row r="311" spans="1:15" ht="18.75" customHeight="1" thickBot="1" x14ac:dyDescent="0.3">
      <c r="A311" s="301"/>
      <c r="B311" s="302"/>
      <c r="C311" s="302"/>
      <c r="D311" s="302"/>
      <c r="E311" s="302"/>
      <c r="F311" s="302"/>
      <c r="G311" s="302"/>
      <c r="H311" s="302"/>
      <c r="I311" s="302"/>
      <c r="J311" s="302"/>
      <c r="K311" s="302"/>
      <c r="L311" s="303"/>
      <c r="M311" s="1"/>
      <c r="N311" s="1"/>
      <c r="O311" s="1"/>
    </row>
    <row r="312" spans="1:15" ht="18.75" customHeight="1" thickTop="1" thickBot="1" x14ac:dyDescent="0.3">
      <c r="A312" s="67">
        <f ca="1">A312:L344</f>
        <v>0</v>
      </c>
      <c r="B312" s="304" t="s">
        <v>414</v>
      </c>
      <c r="C312" s="305"/>
      <c r="D312" s="305"/>
      <c r="E312" s="306"/>
      <c r="F312" s="68"/>
      <c r="G312" s="307" t="s">
        <v>271</v>
      </c>
      <c r="H312" s="308"/>
      <c r="I312" s="308"/>
      <c r="J312" s="308"/>
      <c r="K312" s="309"/>
      <c r="L312" s="69"/>
      <c r="M312" s="1"/>
      <c r="N312" s="1"/>
      <c r="O312" s="1"/>
    </row>
    <row r="313" spans="1:15" ht="18.75" customHeight="1" thickTop="1" thickBot="1" x14ac:dyDescent="0.3">
      <c r="A313" s="70"/>
      <c r="B313" s="18" t="s">
        <v>272</v>
      </c>
      <c r="C313" s="18" t="s">
        <v>23</v>
      </c>
      <c r="D313" s="18" t="s">
        <v>272</v>
      </c>
      <c r="E313" s="19" t="s">
        <v>23</v>
      </c>
      <c r="F313" s="71"/>
      <c r="G313" s="20" t="s">
        <v>273</v>
      </c>
      <c r="H313" s="310" t="s">
        <v>274</v>
      </c>
      <c r="I313" s="311"/>
      <c r="J313" s="310" t="s">
        <v>23</v>
      </c>
      <c r="K313" s="312"/>
      <c r="L313" s="72"/>
      <c r="M313" s="1"/>
      <c r="N313" s="1"/>
      <c r="O313" s="1"/>
    </row>
    <row r="314" spans="1:15" ht="18.75" customHeight="1" thickTop="1" thickBot="1" x14ac:dyDescent="0.3">
      <c r="A314" s="70"/>
      <c r="B314" s="21">
        <v>1</v>
      </c>
      <c r="C314" s="73"/>
      <c r="D314" s="21">
        <v>31</v>
      </c>
      <c r="E314" s="74"/>
      <c r="F314" s="71"/>
      <c r="G314" s="140"/>
      <c r="H314" s="141"/>
      <c r="I314" s="141"/>
      <c r="J314" s="141"/>
      <c r="K314" s="142"/>
      <c r="L314" s="72"/>
      <c r="M314" s="1"/>
      <c r="N314" s="1"/>
      <c r="O314" s="1"/>
    </row>
    <row r="315" spans="1:15" ht="18.75" customHeight="1" thickBot="1" x14ac:dyDescent="0.3">
      <c r="A315" s="70"/>
      <c r="B315" s="21">
        <v>2</v>
      </c>
      <c r="C315" s="73"/>
      <c r="D315" s="21">
        <v>32</v>
      </c>
      <c r="E315" s="74"/>
      <c r="F315" s="71"/>
      <c r="G315" s="143"/>
      <c r="H315" s="144"/>
      <c r="I315" s="144"/>
      <c r="J315" s="144"/>
      <c r="K315" s="145"/>
      <c r="L315" s="72"/>
      <c r="M315" s="1"/>
      <c r="N315" s="1"/>
      <c r="O315" s="1"/>
    </row>
    <row r="316" spans="1:15" ht="18.75" customHeight="1" thickBot="1" x14ac:dyDescent="0.3">
      <c r="A316" s="70"/>
      <c r="B316" s="21">
        <v>3</v>
      </c>
      <c r="C316" s="73"/>
      <c r="D316" s="21">
        <v>33</v>
      </c>
      <c r="E316" s="74"/>
      <c r="F316" s="71"/>
      <c r="G316" s="146" t="s">
        <v>275</v>
      </c>
      <c r="H316" s="148" t="s">
        <v>276</v>
      </c>
      <c r="I316" s="149"/>
      <c r="J316" s="150"/>
      <c r="K316" s="151"/>
      <c r="L316" s="72"/>
      <c r="M316" s="1"/>
      <c r="N316" s="1"/>
      <c r="O316" s="1"/>
    </row>
    <row r="317" spans="1:15" ht="18.75" customHeight="1" thickBot="1" x14ac:dyDescent="0.3">
      <c r="A317" s="70"/>
      <c r="B317" s="21">
        <v>4</v>
      </c>
      <c r="C317" s="73"/>
      <c r="D317" s="21">
        <v>34</v>
      </c>
      <c r="E317" s="74"/>
      <c r="F317" s="71"/>
      <c r="G317" s="147"/>
      <c r="H317" s="152" t="s">
        <v>277</v>
      </c>
      <c r="I317" s="153"/>
      <c r="J317" s="154"/>
      <c r="K317" s="155"/>
      <c r="L317" s="72"/>
      <c r="M317" s="1"/>
      <c r="N317" s="1"/>
      <c r="O317" s="1"/>
    </row>
    <row r="318" spans="1:15" ht="18.75" customHeight="1" thickTop="1" thickBot="1" x14ac:dyDescent="0.3">
      <c r="A318" s="70"/>
      <c r="B318" s="21">
        <v>5</v>
      </c>
      <c r="C318" s="73"/>
      <c r="D318" s="21">
        <v>35</v>
      </c>
      <c r="E318" s="74"/>
      <c r="F318" s="71"/>
      <c r="G318" s="140"/>
      <c r="H318" s="141"/>
      <c r="I318" s="141"/>
      <c r="J318" s="141"/>
      <c r="K318" s="142"/>
      <c r="L318" s="72"/>
      <c r="M318" s="1"/>
      <c r="N318" s="1"/>
    </row>
    <row r="319" spans="1:15" ht="18.75" customHeight="1" thickBot="1" x14ac:dyDescent="0.3">
      <c r="A319" s="70"/>
      <c r="B319" s="21">
        <v>6</v>
      </c>
      <c r="C319" s="73"/>
      <c r="D319" s="21">
        <v>36</v>
      </c>
      <c r="E319" s="74"/>
      <c r="F319" s="71"/>
      <c r="G319" s="143"/>
      <c r="H319" s="144"/>
      <c r="I319" s="144"/>
      <c r="J319" s="144"/>
      <c r="K319" s="145"/>
      <c r="L319" s="72"/>
      <c r="M319" s="1"/>
      <c r="N319" s="1"/>
    </row>
    <row r="320" spans="1:15" ht="18.75" customHeight="1" thickBot="1" x14ac:dyDescent="0.3">
      <c r="A320" s="70"/>
      <c r="B320" s="21">
        <v>7</v>
      </c>
      <c r="C320" s="73"/>
      <c r="D320" s="21">
        <v>37</v>
      </c>
      <c r="E320" s="74"/>
      <c r="F320" s="71"/>
      <c r="G320" s="146" t="s">
        <v>278</v>
      </c>
      <c r="H320" s="148" t="s">
        <v>276</v>
      </c>
      <c r="I320" s="149"/>
      <c r="J320" s="150"/>
      <c r="K320" s="151"/>
      <c r="L320" s="72"/>
      <c r="M320" s="1"/>
      <c r="N320" s="1"/>
    </row>
    <row r="321" spans="1:14" ht="18.75" customHeight="1" thickBot="1" x14ac:dyDescent="0.3">
      <c r="A321" s="70"/>
      <c r="B321" s="21">
        <v>8</v>
      </c>
      <c r="C321" s="73"/>
      <c r="D321" s="21">
        <v>38</v>
      </c>
      <c r="E321" s="74"/>
      <c r="F321" s="71"/>
      <c r="G321" s="147"/>
      <c r="H321" s="152" t="s">
        <v>277</v>
      </c>
      <c r="I321" s="153"/>
      <c r="J321" s="154"/>
      <c r="K321" s="155"/>
      <c r="L321" s="72"/>
      <c r="M321" s="1"/>
      <c r="N321" s="1"/>
    </row>
    <row r="322" spans="1:14" ht="18.75" customHeight="1" thickTop="1" thickBot="1" x14ac:dyDescent="0.3">
      <c r="A322" s="70"/>
      <c r="B322" s="21">
        <v>9</v>
      </c>
      <c r="C322" s="73"/>
      <c r="D322" s="21">
        <v>39</v>
      </c>
      <c r="E322" s="74"/>
      <c r="F322" s="71"/>
      <c r="G322" s="140"/>
      <c r="H322" s="141"/>
      <c r="I322" s="141"/>
      <c r="J322" s="141"/>
      <c r="K322" s="142"/>
      <c r="L322" s="72"/>
      <c r="M322" s="1"/>
      <c r="N322" s="1"/>
    </row>
    <row r="323" spans="1:14" ht="18.75" customHeight="1" thickBot="1" x14ac:dyDescent="0.3">
      <c r="A323" s="70"/>
      <c r="B323" s="21">
        <v>10</v>
      </c>
      <c r="C323" s="73"/>
      <c r="D323" s="21">
        <v>40</v>
      </c>
      <c r="E323" s="74"/>
      <c r="F323" s="71"/>
      <c r="G323" s="143"/>
      <c r="H323" s="144"/>
      <c r="I323" s="144"/>
      <c r="J323" s="144"/>
      <c r="K323" s="145"/>
      <c r="L323" s="72"/>
      <c r="M323" s="1"/>
      <c r="N323" s="1"/>
    </row>
    <row r="324" spans="1:14" ht="19.5" customHeight="1" thickBot="1" x14ac:dyDescent="0.3">
      <c r="A324" s="70"/>
      <c r="B324" s="21">
        <v>11</v>
      </c>
      <c r="C324" s="73"/>
      <c r="D324" s="21">
        <v>41</v>
      </c>
      <c r="E324" s="74"/>
      <c r="F324" s="71"/>
      <c r="G324" s="146" t="s">
        <v>279</v>
      </c>
      <c r="H324" s="148" t="s">
        <v>276</v>
      </c>
      <c r="I324" s="149"/>
      <c r="J324" s="150"/>
      <c r="K324" s="151"/>
      <c r="L324" s="72"/>
      <c r="M324" s="1"/>
      <c r="N324" s="1"/>
    </row>
    <row r="325" spans="1:14" ht="18.75" customHeight="1" thickBot="1" x14ac:dyDescent="0.3">
      <c r="A325" s="70"/>
      <c r="B325" s="21">
        <v>12</v>
      </c>
      <c r="C325" s="73"/>
      <c r="D325" s="21">
        <v>42</v>
      </c>
      <c r="E325" s="74"/>
      <c r="F325" s="71"/>
      <c r="G325" s="147"/>
      <c r="H325" s="152" t="s">
        <v>277</v>
      </c>
      <c r="I325" s="153"/>
      <c r="J325" s="154"/>
      <c r="K325" s="155"/>
      <c r="L325" s="72"/>
      <c r="M325" s="1"/>
      <c r="N325" s="1"/>
    </row>
    <row r="326" spans="1:14" ht="18.75" customHeight="1" thickTop="1" thickBot="1" x14ac:dyDescent="0.3">
      <c r="A326" s="70"/>
      <c r="B326" s="21">
        <v>13</v>
      </c>
      <c r="C326" s="73"/>
      <c r="D326" s="21">
        <v>43</v>
      </c>
      <c r="E326" s="74"/>
      <c r="F326" s="71"/>
      <c r="G326" s="140"/>
      <c r="H326" s="141"/>
      <c r="I326" s="141"/>
      <c r="J326" s="141"/>
      <c r="K326" s="142"/>
      <c r="L326" s="72"/>
      <c r="M326" s="1"/>
      <c r="N326" s="1"/>
    </row>
    <row r="327" spans="1:14" ht="18.75" customHeight="1" thickBot="1" x14ac:dyDescent="0.3">
      <c r="A327" s="70"/>
      <c r="B327" s="21">
        <v>14</v>
      </c>
      <c r="C327" s="73"/>
      <c r="D327" s="21">
        <v>44</v>
      </c>
      <c r="E327" s="74"/>
      <c r="F327" s="71"/>
      <c r="G327" s="143"/>
      <c r="H327" s="144"/>
      <c r="I327" s="144"/>
      <c r="J327" s="144"/>
      <c r="K327" s="145"/>
      <c r="L327" s="72"/>
      <c r="M327" s="1"/>
      <c r="N327" s="1"/>
    </row>
    <row r="328" spans="1:14" ht="18.75" customHeight="1" thickBot="1" x14ac:dyDescent="0.3">
      <c r="A328" s="70"/>
      <c r="B328" s="21">
        <v>15</v>
      </c>
      <c r="C328" s="73"/>
      <c r="D328" s="21">
        <v>45</v>
      </c>
      <c r="E328" s="74"/>
      <c r="F328" s="71"/>
      <c r="G328" s="146" t="s">
        <v>280</v>
      </c>
      <c r="H328" s="148" t="s">
        <v>276</v>
      </c>
      <c r="I328" s="149"/>
      <c r="J328" s="150"/>
      <c r="K328" s="151"/>
      <c r="L328" s="72"/>
      <c r="M328" s="1"/>
      <c r="N328" s="1"/>
    </row>
    <row r="329" spans="1:14" ht="18.75" customHeight="1" thickBot="1" x14ac:dyDescent="0.3">
      <c r="A329" s="70"/>
      <c r="B329" s="21">
        <v>16</v>
      </c>
      <c r="C329" s="73"/>
      <c r="D329" s="21">
        <v>46</v>
      </c>
      <c r="E329" s="74"/>
      <c r="F329" s="71"/>
      <c r="G329" s="147"/>
      <c r="H329" s="152" t="s">
        <v>277</v>
      </c>
      <c r="I329" s="153"/>
      <c r="J329" s="154"/>
      <c r="K329" s="155"/>
      <c r="L329" s="72"/>
      <c r="M329" s="1"/>
      <c r="N329" s="1"/>
    </row>
    <row r="330" spans="1:14" ht="18.75" customHeight="1" thickTop="1" thickBot="1" x14ac:dyDescent="0.3">
      <c r="A330" s="70"/>
      <c r="B330" s="21">
        <v>17</v>
      </c>
      <c r="C330" s="73"/>
      <c r="D330" s="21">
        <v>47</v>
      </c>
      <c r="E330" s="74"/>
      <c r="F330" s="75"/>
      <c r="G330" s="280"/>
      <c r="H330" s="141"/>
      <c r="I330" s="141"/>
      <c r="J330" s="141"/>
      <c r="K330" s="281"/>
      <c r="L330" s="72"/>
      <c r="M330" s="1"/>
      <c r="N330" s="1"/>
    </row>
    <row r="331" spans="1:14" ht="18.75" customHeight="1" thickBot="1" x14ac:dyDescent="0.3">
      <c r="A331" s="70"/>
      <c r="B331" s="21">
        <v>18</v>
      </c>
      <c r="C331" s="73"/>
      <c r="D331" s="21">
        <v>48</v>
      </c>
      <c r="E331" s="74"/>
      <c r="F331" s="75"/>
      <c r="G331" s="282"/>
      <c r="H331" s="144"/>
      <c r="I331" s="144"/>
      <c r="J331" s="144"/>
      <c r="K331" s="283"/>
      <c r="L331" s="72"/>
      <c r="M331" s="1"/>
      <c r="N331" s="1"/>
    </row>
    <row r="332" spans="1:14" ht="18.75" customHeight="1" thickBot="1" x14ac:dyDescent="0.3">
      <c r="A332" s="70"/>
      <c r="B332" s="21">
        <v>19</v>
      </c>
      <c r="C332" s="73"/>
      <c r="D332" s="21">
        <v>49</v>
      </c>
      <c r="E332" s="74"/>
      <c r="F332" s="71"/>
      <c r="G332" s="146" t="s">
        <v>281</v>
      </c>
      <c r="H332" s="148" t="s">
        <v>276</v>
      </c>
      <c r="I332" s="149"/>
      <c r="J332" s="150"/>
      <c r="K332" s="151"/>
      <c r="L332" s="72"/>
      <c r="M332" s="1"/>
      <c r="N332" s="1"/>
    </row>
    <row r="333" spans="1:14" ht="18.75" customHeight="1" thickBot="1" x14ac:dyDescent="0.3">
      <c r="A333" s="70"/>
      <c r="B333" s="21">
        <v>20</v>
      </c>
      <c r="C333" s="73"/>
      <c r="D333" s="21">
        <v>50</v>
      </c>
      <c r="E333" s="74"/>
      <c r="F333" s="71"/>
      <c r="G333" s="147"/>
      <c r="H333" s="152" t="s">
        <v>277</v>
      </c>
      <c r="I333" s="153"/>
      <c r="J333" s="154"/>
      <c r="K333" s="155"/>
      <c r="L333" s="72"/>
      <c r="M333" s="1"/>
      <c r="N333" s="1"/>
    </row>
    <row r="334" spans="1:14" ht="18.75" customHeight="1" thickTop="1" thickBot="1" x14ac:dyDescent="0.3">
      <c r="A334" s="70"/>
      <c r="B334" s="21">
        <v>21</v>
      </c>
      <c r="C334" s="73"/>
      <c r="D334" s="21">
        <v>51</v>
      </c>
      <c r="E334" s="74"/>
      <c r="F334" s="71"/>
      <c r="G334" s="284" t="s">
        <v>282</v>
      </c>
      <c r="H334" s="285"/>
      <c r="I334" s="286"/>
      <c r="J334" s="287">
        <f>SUM(J316,J317,J320,J321,J324,J325,J328,J329,J332,J333)</f>
        <v>0</v>
      </c>
      <c r="K334" s="288"/>
      <c r="L334" s="72"/>
      <c r="M334" s="1"/>
      <c r="N334" s="1"/>
    </row>
    <row r="335" spans="1:14" ht="18.75" customHeight="1" thickBot="1" x14ac:dyDescent="0.3">
      <c r="A335" s="70"/>
      <c r="B335" s="21">
        <v>22</v>
      </c>
      <c r="C335" s="73"/>
      <c r="D335" s="21">
        <v>52</v>
      </c>
      <c r="E335" s="74"/>
      <c r="F335" s="76"/>
      <c r="G335" s="77"/>
      <c r="H335" s="77"/>
      <c r="I335" s="77"/>
      <c r="J335" s="77"/>
      <c r="K335" s="78"/>
      <c r="L335" s="15"/>
      <c r="M335" s="1"/>
      <c r="N335" s="1"/>
    </row>
    <row r="336" spans="1:14" ht="18.75" customHeight="1" thickTop="1" thickBot="1" x14ac:dyDescent="0.3">
      <c r="A336" s="70"/>
      <c r="B336" s="21">
        <v>23</v>
      </c>
      <c r="C336" s="73"/>
      <c r="D336" s="21">
        <v>53</v>
      </c>
      <c r="E336" s="74"/>
      <c r="F336" s="71"/>
      <c r="G336" s="289" t="s">
        <v>283</v>
      </c>
      <c r="H336" s="290"/>
      <c r="I336" s="290"/>
      <c r="J336" s="291"/>
      <c r="K336" s="76"/>
      <c r="L336" s="15"/>
      <c r="M336" s="1"/>
      <c r="N336" s="1"/>
    </row>
    <row r="337" spans="1:14" ht="18.75" customHeight="1" thickTop="1" thickBot="1" x14ac:dyDescent="0.3">
      <c r="A337" s="70"/>
      <c r="B337" s="21">
        <v>24</v>
      </c>
      <c r="C337" s="73"/>
      <c r="D337" s="21">
        <v>54</v>
      </c>
      <c r="E337" s="74"/>
      <c r="F337" s="71"/>
      <c r="G337" s="136" t="s">
        <v>273</v>
      </c>
      <c r="H337" s="137"/>
      <c r="I337" s="138" t="s">
        <v>23</v>
      </c>
      <c r="J337" s="139"/>
      <c r="K337" s="76"/>
      <c r="L337" s="15"/>
      <c r="M337" s="1"/>
      <c r="N337" s="1"/>
    </row>
    <row r="338" spans="1:14" ht="18.75" customHeight="1" thickBot="1" x14ac:dyDescent="0.3">
      <c r="A338" s="70"/>
      <c r="B338" s="21">
        <v>25</v>
      </c>
      <c r="C338" s="73"/>
      <c r="D338" s="21">
        <v>55</v>
      </c>
      <c r="E338" s="74"/>
      <c r="F338" s="71"/>
      <c r="G338" s="121" t="s">
        <v>284</v>
      </c>
      <c r="H338" s="122"/>
      <c r="I338" s="123"/>
      <c r="J338" s="124"/>
      <c r="K338" s="76"/>
      <c r="L338" s="15"/>
      <c r="M338" s="1"/>
      <c r="N338" s="1"/>
    </row>
    <row r="339" spans="1:14" ht="18.75" customHeight="1" thickBot="1" x14ac:dyDescent="0.3">
      <c r="A339" s="70"/>
      <c r="B339" s="21">
        <v>26</v>
      </c>
      <c r="C339" s="73"/>
      <c r="D339" s="21">
        <v>56</v>
      </c>
      <c r="E339" s="74"/>
      <c r="F339" s="71"/>
      <c r="G339" s="121" t="s">
        <v>285</v>
      </c>
      <c r="H339" s="122"/>
      <c r="I339" s="123"/>
      <c r="J339" s="124"/>
      <c r="K339" s="76"/>
      <c r="L339" s="15"/>
      <c r="M339" s="1"/>
      <c r="N339" s="1"/>
    </row>
    <row r="340" spans="1:14" ht="18.75" customHeight="1" thickBot="1" x14ac:dyDescent="0.3">
      <c r="A340" s="70"/>
      <c r="B340" s="21">
        <v>27</v>
      </c>
      <c r="C340" s="73"/>
      <c r="D340" s="21">
        <v>57</v>
      </c>
      <c r="E340" s="74"/>
      <c r="F340" s="71"/>
      <c r="G340" s="121" t="s">
        <v>286</v>
      </c>
      <c r="H340" s="122"/>
      <c r="I340" s="123"/>
      <c r="J340" s="124"/>
      <c r="K340" s="76"/>
      <c r="L340" s="15"/>
      <c r="M340" s="1"/>
      <c r="N340" s="1"/>
    </row>
    <row r="341" spans="1:14" ht="18.75" customHeight="1" thickBot="1" x14ac:dyDescent="0.3">
      <c r="A341" s="70"/>
      <c r="B341" s="21">
        <v>28</v>
      </c>
      <c r="C341" s="73"/>
      <c r="D341" s="21">
        <v>58</v>
      </c>
      <c r="E341" s="74"/>
      <c r="F341" s="71"/>
      <c r="G341" s="121" t="s">
        <v>287</v>
      </c>
      <c r="H341" s="122"/>
      <c r="I341" s="123"/>
      <c r="J341" s="124"/>
      <c r="K341" s="76"/>
      <c r="L341" s="15"/>
      <c r="M341" s="1"/>
      <c r="N341" s="1"/>
    </row>
    <row r="342" spans="1:14" ht="18.75" customHeight="1" thickBot="1" x14ac:dyDescent="0.3">
      <c r="A342" s="70"/>
      <c r="B342" s="21">
        <v>29</v>
      </c>
      <c r="C342" s="73"/>
      <c r="D342" s="21">
        <v>59</v>
      </c>
      <c r="E342" s="74"/>
      <c r="F342" s="71"/>
      <c r="G342" s="121" t="s">
        <v>288</v>
      </c>
      <c r="H342" s="122"/>
      <c r="I342" s="123"/>
      <c r="J342" s="124"/>
      <c r="K342" s="76"/>
      <c r="L342" s="15"/>
      <c r="M342" s="1"/>
      <c r="N342" s="1"/>
    </row>
    <row r="343" spans="1:14" ht="18.75" customHeight="1" thickBot="1" x14ac:dyDescent="0.3">
      <c r="A343" s="70"/>
      <c r="B343" s="21">
        <v>30</v>
      </c>
      <c r="C343" s="73"/>
      <c r="D343" s="21">
        <v>60</v>
      </c>
      <c r="E343" s="74"/>
      <c r="F343" s="71"/>
      <c r="G343" s="125" t="s">
        <v>282</v>
      </c>
      <c r="H343" s="126"/>
      <c r="I343" s="127">
        <f>SUM(I338,I339,I340,I341,I342)</f>
        <v>0</v>
      </c>
      <c r="J343" s="128"/>
      <c r="K343" s="76"/>
      <c r="L343" s="15"/>
      <c r="M343" s="1"/>
      <c r="N343" s="1"/>
    </row>
    <row r="344" spans="1:14" ht="18.75" customHeight="1" thickBot="1" x14ac:dyDescent="0.3">
      <c r="A344" s="79"/>
      <c r="B344" s="129" t="s">
        <v>282</v>
      </c>
      <c r="C344" s="130"/>
      <c r="D344" s="131"/>
      <c r="E344" s="22" t="s">
        <v>415</v>
      </c>
      <c r="F344" s="77"/>
      <c r="G344" s="77"/>
      <c r="H344" s="77"/>
      <c r="I344" s="77"/>
      <c r="J344" s="77"/>
      <c r="K344" s="77"/>
      <c r="L344" s="16"/>
      <c r="M344" s="1"/>
      <c r="N344" s="1"/>
    </row>
    <row r="345" spans="1:14" ht="18.75" customHeight="1" thickTop="1" thickBot="1" x14ac:dyDescent="0.3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1"/>
      <c r="N345" s="1"/>
    </row>
    <row r="346" spans="1:14" ht="18.75" customHeight="1" x14ac:dyDescent="0.25">
      <c r="A346" s="101" t="s">
        <v>407</v>
      </c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3"/>
      <c r="M346" s="1"/>
      <c r="N346" s="1"/>
    </row>
    <row r="347" spans="1:14" ht="18.75" customHeight="1" thickBot="1" x14ac:dyDescent="0.3">
      <c r="A347" s="104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6"/>
      <c r="M347" s="1"/>
      <c r="N347" s="1"/>
    </row>
    <row r="348" spans="1:14" ht="18.75" customHeight="1" x14ac:dyDescent="0.25">
      <c r="A348" s="132" t="s">
        <v>299</v>
      </c>
      <c r="B348" s="133"/>
      <c r="C348" s="133"/>
      <c r="D348" s="133"/>
      <c r="E348" s="133"/>
      <c r="F348" s="133"/>
      <c r="G348" s="134"/>
      <c r="H348" s="80" t="s">
        <v>408</v>
      </c>
      <c r="I348" s="135" t="s">
        <v>409</v>
      </c>
      <c r="J348" s="134"/>
      <c r="K348" s="278" t="s">
        <v>410</v>
      </c>
      <c r="L348" s="279"/>
      <c r="M348" s="1"/>
      <c r="N348" s="1"/>
    </row>
    <row r="349" spans="1:14" ht="18.75" customHeight="1" x14ac:dyDescent="0.25">
      <c r="A349" s="117" t="s">
        <v>411</v>
      </c>
      <c r="B349" s="118"/>
      <c r="C349" s="118"/>
      <c r="D349" s="118"/>
      <c r="E349" s="118"/>
      <c r="F349" s="118"/>
      <c r="G349" s="119"/>
      <c r="H349" s="81"/>
      <c r="I349" s="120"/>
      <c r="J349" s="119"/>
      <c r="K349" s="274">
        <f t="shared" ref="K349:K381" si="1">H349*I349</f>
        <v>0</v>
      </c>
      <c r="L349" s="157"/>
      <c r="M349" s="1"/>
      <c r="N349" s="1"/>
    </row>
    <row r="350" spans="1:14" ht="18.75" customHeight="1" x14ac:dyDescent="0.25">
      <c r="A350" s="117" t="s">
        <v>411</v>
      </c>
      <c r="B350" s="118"/>
      <c r="C350" s="118"/>
      <c r="D350" s="118"/>
      <c r="E350" s="118"/>
      <c r="F350" s="118"/>
      <c r="G350" s="119"/>
      <c r="H350" s="81"/>
      <c r="I350" s="120"/>
      <c r="J350" s="119"/>
      <c r="K350" s="274">
        <f t="shared" si="1"/>
        <v>0</v>
      </c>
      <c r="L350" s="157"/>
      <c r="M350" s="1"/>
      <c r="N350" s="1"/>
    </row>
    <row r="351" spans="1:14" ht="18.75" customHeight="1" x14ac:dyDescent="0.25">
      <c r="A351" s="117" t="s">
        <v>411</v>
      </c>
      <c r="B351" s="118"/>
      <c r="C351" s="118"/>
      <c r="D351" s="118"/>
      <c r="E351" s="118"/>
      <c r="F351" s="118"/>
      <c r="G351" s="119"/>
      <c r="H351" s="81"/>
      <c r="I351" s="120"/>
      <c r="J351" s="119"/>
      <c r="K351" s="274">
        <f t="shared" si="1"/>
        <v>0</v>
      </c>
      <c r="L351" s="157"/>
      <c r="M351" s="1"/>
      <c r="N351" s="1"/>
    </row>
    <row r="352" spans="1:14" ht="18.75" customHeight="1" x14ac:dyDescent="0.25">
      <c r="A352" s="117" t="s">
        <v>411</v>
      </c>
      <c r="B352" s="118"/>
      <c r="C352" s="118"/>
      <c r="D352" s="118"/>
      <c r="E352" s="118"/>
      <c r="F352" s="118"/>
      <c r="G352" s="119"/>
      <c r="H352" s="81"/>
      <c r="I352" s="120"/>
      <c r="J352" s="119"/>
      <c r="K352" s="274">
        <f t="shared" si="1"/>
        <v>0</v>
      </c>
      <c r="L352" s="157"/>
      <c r="M352" s="1"/>
      <c r="N352" s="1"/>
    </row>
    <row r="353" spans="1:14" ht="18.75" customHeight="1" x14ac:dyDescent="0.25">
      <c r="A353" s="117" t="s">
        <v>411</v>
      </c>
      <c r="B353" s="118"/>
      <c r="C353" s="118"/>
      <c r="D353" s="118"/>
      <c r="E353" s="118"/>
      <c r="F353" s="118"/>
      <c r="G353" s="119"/>
      <c r="H353" s="81"/>
      <c r="I353" s="120"/>
      <c r="J353" s="119"/>
      <c r="K353" s="274">
        <f t="shared" si="1"/>
        <v>0</v>
      </c>
      <c r="L353" s="157"/>
      <c r="M353" s="1"/>
      <c r="N353" s="1"/>
    </row>
    <row r="354" spans="1:14" ht="18.75" customHeight="1" x14ac:dyDescent="0.25">
      <c r="A354" s="117" t="s">
        <v>411</v>
      </c>
      <c r="B354" s="118"/>
      <c r="C354" s="118"/>
      <c r="D354" s="118"/>
      <c r="E354" s="118"/>
      <c r="F354" s="118"/>
      <c r="G354" s="119"/>
      <c r="H354" s="81"/>
      <c r="I354" s="120"/>
      <c r="J354" s="119"/>
      <c r="K354" s="274">
        <f t="shared" si="1"/>
        <v>0</v>
      </c>
      <c r="L354" s="157"/>
      <c r="M354" s="1"/>
      <c r="N354" s="1"/>
    </row>
    <row r="355" spans="1:14" ht="18.75" customHeight="1" x14ac:dyDescent="0.25">
      <c r="A355" s="117" t="s">
        <v>411</v>
      </c>
      <c r="B355" s="118"/>
      <c r="C355" s="118"/>
      <c r="D355" s="118"/>
      <c r="E355" s="118"/>
      <c r="F355" s="118"/>
      <c r="G355" s="119"/>
      <c r="H355" s="81"/>
      <c r="I355" s="120"/>
      <c r="J355" s="119"/>
      <c r="K355" s="274">
        <f t="shared" si="1"/>
        <v>0</v>
      </c>
      <c r="L355" s="157"/>
      <c r="M355" s="1"/>
      <c r="N355" s="1"/>
    </row>
    <row r="356" spans="1:14" ht="18.75" customHeight="1" x14ac:dyDescent="0.25">
      <c r="A356" s="117" t="s">
        <v>411</v>
      </c>
      <c r="B356" s="118"/>
      <c r="C356" s="118"/>
      <c r="D356" s="118"/>
      <c r="E356" s="118"/>
      <c r="F356" s="118"/>
      <c r="G356" s="119"/>
      <c r="H356" s="81"/>
      <c r="I356" s="120"/>
      <c r="J356" s="119"/>
      <c r="K356" s="274">
        <f t="shared" si="1"/>
        <v>0</v>
      </c>
      <c r="L356" s="157"/>
      <c r="M356" s="1"/>
      <c r="N356" s="1"/>
    </row>
    <row r="357" spans="1:14" ht="18.75" customHeight="1" x14ac:dyDescent="0.25">
      <c r="A357" s="117" t="s">
        <v>411</v>
      </c>
      <c r="B357" s="118"/>
      <c r="C357" s="118"/>
      <c r="D357" s="118"/>
      <c r="E357" s="118"/>
      <c r="F357" s="118"/>
      <c r="G357" s="119"/>
      <c r="H357" s="81"/>
      <c r="I357" s="120"/>
      <c r="J357" s="119"/>
      <c r="K357" s="274">
        <f t="shared" si="1"/>
        <v>0</v>
      </c>
      <c r="L357" s="157"/>
      <c r="M357" s="1"/>
      <c r="N357" s="1"/>
    </row>
    <row r="358" spans="1:14" ht="18.75" customHeight="1" x14ac:dyDescent="0.25">
      <c r="A358" s="117" t="s">
        <v>411</v>
      </c>
      <c r="B358" s="118"/>
      <c r="C358" s="118"/>
      <c r="D358" s="118"/>
      <c r="E358" s="118"/>
      <c r="F358" s="118"/>
      <c r="G358" s="119"/>
      <c r="H358" s="81"/>
      <c r="I358" s="120"/>
      <c r="J358" s="119"/>
      <c r="K358" s="274">
        <f t="shared" si="1"/>
        <v>0</v>
      </c>
      <c r="L358" s="157"/>
      <c r="M358" s="1"/>
      <c r="N358" s="1"/>
    </row>
    <row r="359" spans="1:14" ht="18.75" customHeight="1" x14ac:dyDescent="0.25">
      <c r="A359" s="117" t="s">
        <v>411</v>
      </c>
      <c r="B359" s="118"/>
      <c r="C359" s="118"/>
      <c r="D359" s="118"/>
      <c r="E359" s="118"/>
      <c r="F359" s="118"/>
      <c r="G359" s="119"/>
      <c r="H359" s="81"/>
      <c r="I359" s="120"/>
      <c r="J359" s="119"/>
      <c r="K359" s="274">
        <f t="shared" si="1"/>
        <v>0</v>
      </c>
      <c r="L359" s="157"/>
      <c r="M359" s="1"/>
      <c r="N359" s="1"/>
    </row>
    <row r="360" spans="1:14" ht="18.75" customHeight="1" x14ac:dyDescent="0.25">
      <c r="A360" s="117" t="s">
        <v>411</v>
      </c>
      <c r="B360" s="118"/>
      <c r="C360" s="118"/>
      <c r="D360" s="118"/>
      <c r="E360" s="118"/>
      <c r="F360" s="118"/>
      <c r="G360" s="119"/>
      <c r="H360" s="81"/>
      <c r="I360" s="120"/>
      <c r="J360" s="119"/>
      <c r="K360" s="274">
        <f t="shared" si="1"/>
        <v>0</v>
      </c>
      <c r="L360" s="157"/>
      <c r="M360" s="1"/>
      <c r="N360" s="1"/>
    </row>
    <row r="361" spans="1:14" ht="18.75" customHeight="1" x14ac:dyDescent="0.25">
      <c r="A361" s="117" t="s">
        <v>411</v>
      </c>
      <c r="B361" s="118"/>
      <c r="C361" s="118"/>
      <c r="D361" s="118"/>
      <c r="E361" s="118"/>
      <c r="F361" s="118"/>
      <c r="G361" s="119"/>
      <c r="H361" s="81"/>
      <c r="I361" s="120"/>
      <c r="J361" s="119"/>
      <c r="K361" s="274">
        <f t="shared" si="1"/>
        <v>0</v>
      </c>
      <c r="L361" s="157"/>
      <c r="M361" s="1"/>
      <c r="N361" s="1"/>
    </row>
    <row r="362" spans="1:14" ht="18" customHeight="1" x14ac:dyDescent="0.25">
      <c r="A362" s="117" t="s">
        <v>411</v>
      </c>
      <c r="B362" s="118"/>
      <c r="C362" s="118"/>
      <c r="D362" s="118"/>
      <c r="E362" s="118"/>
      <c r="F362" s="118"/>
      <c r="G362" s="119"/>
      <c r="H362" s="81"/>
      <c r="I362" s="120"/>
      <c r="J362" s="119"/>
      <c r="K362" s="274">
        <f t="shared" si="1"/>
        <v>0</v>
      </c>
      <c r="L362" s="157"/>
      <c r="M362" s="1"/>
      <c r="N362" s="1"/>
    </row>
    <row r="363" spans="1:14" ht="18.75" customHeight="1" x14ac:dyDescent="0.25">
      <c r="A363" s="117" t="s">
        <v>411</v>
      </c>
      <c r="B363" s="118"/>
      <c r="C363" s="118"/>
      <c r="D363" s="118"/>
      <c r="E363" s="118"/>
      <c r="F363" s="118"/>
      <c r="G363" s="119"/>
      <c r="H363" s="81"/>
      <c r="I363" s="120"/>
      <c r="J363" s="119"/>
      <c r="K363" s="274">
        <f t="shared" si="1"/>
        <v>0</v>
      </c>
      <c r="L363" s="157"/>
      <c r="M363" s="1"/>
      <c r="N363" s="1"/>
    </row>
    <row r="364" spans="1:14" ht="18.75" customHeight="1" x14ac:dyDescent="0.25">
      <c r="A364" s="117" t="s">
        <v>411</v>
      </c>
      <c r="B364" s="118"/>
      <c r="C364" s="118"/>
      <c r="D364" s="118"/>
      <c r="E364" s="118"/>
      <c r="F364" s="118"/>
      <c r="G364" s="119"/>
      <c r="H364" s="81"/>
      <c r="I364" s="120"/>
      <c r="J364" s="119"/>
      <c r="K364" s="274">
        <f t="shared" si="1"/>
        <v>0</v>
      </c>
      <c r="L364" s="157"/>
      <c r="M364" s="1"/>
      <c r="N364" s="1"/>
    </row>
    <row r="365" spans="1:14" ht="18" customHeight="1" x14ac:dyDescent="0.25">
      <c r="A365" s="117" t="s">
        <v>411</v>
      </c>
      <c r="B365" s="118"/>
      <c r="C365" s="118"/>
      <c r="D365" s="118"/>
      <c r="E365" s="118"/>
      <c r="F365" s="118"/>
      <c r="G365" s="119"/>
      <c r="H365" s="81"/>
      <c r="I365" s="120"/>
      <c r="J365" s="119"/>
      <c r="K365" s="274">
        <f t="shared" si="1"/>
        <v>0</v>
      </c>
      <c r="L365" s="157"/>
      <c r="M365" s="1"/>
      <c r="N365" s="1"/>
    </row>
    <row r="366" spans="1:14" ht="18" customHeight="1" x14ac:dyDescent="0.25">
      <c r="A366" s="117" t="s">
        <v>411</v>
      </c>
      <c r="B366" s="118"/>
      <c r="C366" s="118"/>
      <c r="D366" s="118"/>
      <c r="E366" s="118"/>
      <c r="F366" s="118"/>
      <c r="G366" s="119"/>
      <c r="H366" s="81"/>
      <c r="I366" s="120"/>
      <c r="J366" s="119"/>
      <c r="K366" s="274">
        <f t="shared" si="1"/>
        <v>0</v>
      </c>
      <c r="L366" s="157"/>
      <c r="M366" s="1"/>
      <c r="N366" s="1"/>
    </row>
    <row r="367" spans="1:14" ht="18.75" customHeight="1" x14ac:dyDescent="0.25">
      <c r="A367" s="117" t="s">
        <v>411</v>
      </c>
      <c r="B367" s="118"/>
      <c r="C367" s="118"/>
      <c r="D367" s="118"/>
      <c r="E367" s="118"/>
      <c r="F367" s="118"/>
      <c r="G367" s="119"/>
      <c r="H367" s="81"/>
      <c r="I367" s="120"/>
      <c r="J367" s="119"/>
      <c r="K367" s="274">
        <f t="shared" si="1"/>
        <v>0</v>
      </c>
      <c r="L367" s="157"/>
      <c r="M367" s="1"/>
      <c r="N367" s="1"/>
    </row>
    <row r="368" spans="1:14" ht="18.75" customHeight="1" x14ac:dyDescent="0.25">
      <c r="A368" s="117" t="s">
        <v>411</v>
      </c>
      <c r="B368" s="118"/>
      <c r="C368" s="118"/>
      <c r="D368" s="118"/>
      <c r="E368" s="118"/>
      <c r="F368" s="118"/>
      <c r="G368" s="119"/>
      <c r="H368" s="81"/>
      <c r="I368" s="120"/>
      <c r="J368" s="119"/>
      <c r="K368" s="274">
        <f t="shared" si="1"/>
        <v>0</v>
      </c>
      <c r="L368" s="157"/>
      <c r="M368" s="1"/>
      <c r="N368" s="1"/>
    </row>
    <row r="369" spans="1:14" ht="18.75" customHeight="1" x14ac:dyDescent="0.25">
      <c r="A369" s="117" t="s">
        <v>411</v>
      </c>
      <c r="B369" s="118"/>
      <c r="C369" s="118"/>
      <c r="D369" s="118"/>
      <c r="E369" s="118"/>
      <c r="F369" s="118"/>
      <c r="G369" s="119"/>
      <c r="H369" s="81"/>
      <c r="I369" s="120"/>
      <c r="J369" s="119"/>
      <c r="K369" s="274">
        <f t="shared" si="1"/>
        <v>0</v>
      </c>
      <c r="L369" s="157"/>
      <c r="M369" s="1"/>
      <c r="N369" s="1"/>
    </row>
    <row r="370" spans="1:14" ht="18.75" customHeight="1" x14ac:dyDescent="0.25">
      <c r="A370" s="117" t="s">
        <v>411</v>
      </c>
      <c r="B370" s="118"/>
      <c r="C370" s="118"/>
      <c r="D370" s="118"/>
      <c r="E370" s="118"/>
      <c r="F370" s="118"/>
      <c r="G370" s="119"/>
      <c r="H370" s="81"/>
      <c r="I370" s="120"/>
      <c r="J370" s="119"/>
      <c r="K370" s="274">
        <f t="shared" si="1"/>
        <v>0</v>
      </c>
      <c r="L370" s="157"/>
      <c r="M370" s="1"/>
      <c r="N370" s="1"/>
    </row>
    <row r="371" spans="1:14" ht="18.75" customHeight="1" x14ac:dyDescent="0.25">
      <c r="A371" s="117" t="s">
        <v>411</v>
      </c>
      <c r="B371" s="118"/>
      <c r="C371" s="118"/>
      <c r="D371" s="118"/>
      <c r="E371" s="118"/>
      <c r="F371" s="118"/>
      <c r="G371" s="119"/>
      <c r="H371" s="81"/>
      <c r="I371" s="120"/>
      <c r="J371" s="119"/>
      <c r="K371" s="274">
        <f t="shared" si="1"/>
        <v>0</v>
      </c>
      <c r="L371" s="157"/>
      <c r="M371" s="1"/>
      <c r="N371" s="1"/>
    </row>
    <row r="372" spans="1:14" ht="18.75" customHeight="1" x14ac:dyDescent="0.25">
      <c r="A372" s="117" t="s">
        <v>411</v>
      </c>
      <c r="B372" s="118"/>
      <c r="C372" s="118"/>
      <c r="D372" s="118"/>
      <c r="E372" s="118"/>
      <c r="F372" s="118"/>
      <c r="G372" s="119"/>
      <c r="H372" s="81"/>
      <c r="I372" s="120"/>
      <c r="J372" s="119"/>
      <c r="K372" s="274">
        <f t="shared" si="1"/>
        <v>0</v>
      </c>
      <c r="L372" s="157"/>
      <c r="M372" s="1"/>
      <c r="N372" s="1"/>
    </row>
    <row r="373" spans="1:14" ht="18.75" customHeight="1" x14ac:dyDescent="0.25">
      <c r="A373" s="117" t="s">
        <v>411</v>
      </c>
      <c r="B373" s="118"/>
      <c r="C373" s="118"/>
      <c r="D373" s="118"/>
      <c r="E373" s="118"/>
      <c r="F373" s="118"/>
      <c r="G373" s="119"/>
      <c r="H373" s="81"/>
      <c r="I373" s="120"/>
      <c r="J373" s="119"/>
      <c r="K373" s="274">
        <f t="shared" si="1"/>
        <v>0</v>
      </c>
      <c r="L373" s="157"/>
      <c r="M373" s="1"/>
      <c r="N373" s="1"/>
    </row>
    <row r="374" spans="1:14" ht="18.75" customHeight="1" x14ac:dyDescent="0.25">
      <c r="A374" s="117" t="s">
        <v>411</v>
      </c>
      <c r="B374" s="118"/>
      <c r="C374" s="118"/>
      <c r="D374" s="118"/>
      <c r="E374" s="118"/>
      <c r="F374" s="118"/>
      <c r="G374" s="119"/>
      <c r="H374" s="81"/>
      <c r="I374" s="120"/>
      <c r="J374" s="119"/>
      <c r="K374" s="274">
        <f t="shared" si="1"/>
        <v>0</v>
      </c>
      <c r="L374" s="157"/>
      <c r="M374" s="1"/>
      <c r="N374" s="1"/>
    </row>
    <row r="375" spans="1:14" ht="18.75" customHeight="1" x14ac:dyDescent="0.25">
      <c r="A375" s="117" t="s">
        <v>411</v>
      </c>
      <c r="B375" s="118"/>
      <c r="C375" s="118"/>
      <c r="D375" s="118"/>
      <c r="E375" s="118"/>
      <c r="F375" s="118"/>
      <c r="G375" s="119"/>
      <c r="H375" s="81"/>
      <c r="I375" s="120"/>
      <c r="J375" s="119"/>
      <c r="K375" s="274">
        <f t="shared" si="1"/>
        <v>0</v>
      </c>
      <c r="L375" s="157"/>
      <c r="M375" s="1"/>
      <c r="N375" s="1"/>
    </row>
    <row r="376" spans="1:14" ht="18.75" customHeight="1" x14ac:dyDescent="0.25">
      <c r="A376" s="117" t="s">
        <v>411</v>
      </c>
      <c r="B376" s="118"/>
      <c r="C376" s="118"/>
      <c r="D376" s="118"/>
      <c r="E376" s="118"/>
      <c r="F376" s="118"/>
      <c r="G376" s="119"/>
      <c r="H376" s="81"/>
      <c r="I376" s="120"/>
      <c r="J376" s="119"/>
      <c r="K376" s="274">
        <f t="shared" si="1"/>
        <v>0</v>
      </c>
      <c r="L376" s="157"/>
      <c r="M376" s="1"/>
      <c r="N376" s="1"/>
    </row>
    <row r="377" spans="1:14" ht="18.75" customHeight="1" x14ac:dyDescent="0.25">
      <c r="A377" s="117" t="s">
        <v>411</v>
      </c>
      <c r="B377" s="118"/>
      <c r="C377" s="118"/>
      <c r="D377" s="118"/>
      <c r="E377" s="118"/>
      <c r="F377" s="118"/>
      <c r="G377" s="119"/>
      <c r="H377" s="81"/>
      <c r="I377" s="120"/>
      <c r="J377" s="119"/>
      <c r="K377" s="274">
        <f t="shared" si="1"/>
        <v>0</v>
      </c>
      <c r="L377" s="157"/>
      <c r="M377" s="1"/>
      <c r="N377" s="1"/>
    </row>
    <row r="378" spans="1:14" ht="18.75" customHeight="1" x14ac:dyDescent="0.25">
      <c r="A378" s="117" t="s">
        <v>411</v>
      </c>
      <c r="B378" s="118"/>
      <c r="C378" s="118"/>
      <c r="D378" s="118"/>
      <c r="E378" s="118"/>
      <c r="F378" s="118"/>
      <c r="G378" s="119"/>
      <c r="H378" s="81"/>
      <c r="I378" s="120"/>
      <c r="J378" s="119"/>
      <c r="K378" s="274">
        <f t="shared" si="1"/>
        <v>0</v>
      </c>
      <c r="L378" s="157"/>
      <c r="M378" s="1"/>
      <c r="N378" s="1"/>
    </row>
    <row r="379" spans="1:14" ht="18.75" customHeight="1" x14ac:dyDescent="0.25">
      <c r="A379" s="117" t="s">
        <v>411</v>
      </c>
      <c r="B379" s="118"/>
      <c r="C379" s="118"/>
      <c r="D379" s="118"/>
      <c r="E379" s="118"/>
      <c r="F379" s="118"/>
      <c r="G379" s="119"/>
      <c r="H379" s="81"/>
      <c r="I379" s="120"/>
      <c r="J379" s="119"/>
      <c r="K379" s="274">
        <f t="shared" si="1"/>
        <v>0</v>
      </c>
      <c r="L379" s="157"/>
      <c r="M379" s="1"/>
      <c r="N379" s="1"/>
    </row>
    <row r="380" spans="1:14" ht="18.75" customHeight="1" x14ac:dyDescent="0.25">
      <c r="A380" s="117" t="s">
        <v>411</v>
      </c>
      <c r="B380" s="118"/>
      <c r="C380" s="118"/>
      <c r="D380" s="118"/>
      <c r="E380" s="118"/>
      <c r="F380" s="118"/>
      <c r="G380" s="119"/>
      <c r="H380" s="81"/>
      <c r="I380" s="120"/>
      <c r="J380" s="119"/>
      <c r="K380" s="274">
        <f t="shared" si="1"/>
        <v>0</v>
      </c>
      <c r="L380" s="157"/>
      <c r="M380" s="1"/>
      <c r="N380" s="1"/>
    </row>
    <row r="381" spans="1:14" ht="18.75" customHeight="1" thickBot="1" x14ac:dyDescent="0.3">
      <c r="A381" s="93" t="s">
        <v>411</v>
      </c>
      <c r="B381" s="94"/>
      <c r="C381" s="94"/>
      <c r="D381" s="94"/>
      <c r="E381" s="94"/>
      <c r="F381" s="94"/>
      <c r="G381" s="95"/>
      <c r="H381" s="82"/>
      <c r="I381" s="96"/>
      <c r="J381" s="95"/>
      <c r="K381" s="275">
        <f t="shared" si="1"/>
        <v>0</v>
      </c>
      <c r="L381" s="276"/>
      <c r="M381" s="1"/>
      <c r="N381" s="1"/>
    </row>
    <row r="382" spans="1:14" ht="18.75" customHeight="1" thickBot="1" x14ac:dyDescent="0.3">
      <c r="A382" s="97" t="s">
        <v>282</v>
      </c>
      <c r="B382" s="98"/>
      <c r="C382" s="98"/>
      <c r="D382" s="98"/>
      <c r="E382" s="98"/>
      <c r="F382" s="98"/>
      <c r="G382" s="99"/>
      <c r="H382" s="83"/>
      <c r="I382" s="100"/>
      <c r="J382" s="99"/>
      <c r="K382" s="277">
        <f>SUM(K349:L381)</f>
        <v>0</v>
      </c>
      <c r="L382" s="220"/>
      <c r="M382" s="1"/>
      <c r="N382" s="1"/>
    </row>
    <row r="383" spans="1:14" ht="18.75" customHeight="1" thickBot="1" x14ac:dyDescent="0.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1"/>
      <c r="N383" s="1"/>
    </row>
    <row r="384" spans="1:14" ht="18.75" customHeight="1" x14ac:dyDescent="0.25">
      <c r="A384" s="101" t="s">
        <v>456</v>
      </c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3"/>
      <c r="M384" s="1"/>
      <c r="N384" s="1"/>
    </row>
    <row r="385" spans="1:14" ht="18.75" customHeight="1" thickBot="1" x14ac:dyDescent="0.3">
      <c r="A385" s="104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6"/>
      <c r="M385" s="1"/>
      <c r="N385" s="1"/>
    </row>
    <row r="386" spans="1:14" ht="18.75" customHeight="1" x14ac:dyDescent="0.25">
      <c r="A386" s="107" t="s">
        <v>457</v>
      </c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9"/>
      <c r="M386" s="1"/>
      <c r="N386" s="1"/>
    </row>
    <row r="387" spans="1:14" ht="18.75" customHeight="1" x14ac:dyDescent="0.25">
      <c r="A387" s="110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2"/>
      <c r="M387" s="1"/>
      <c r="N387" s="1"/>
    </row>
    <row r="388" spans="1:14" ht="18.75" customHeight="1" x14ac:dyDescent="0.25">
      <c r="A388" s="113" t="s">
        <v>259</v>
      </c>
      <c r="B388" s="114"/>
      <c r="C388" s="115"/>
      <c r="D388" s="116" t="s">
        <v>258</v>
      </c>
      <c r="E388" s="115"/>
      <c r="F388" s="116" t="s">
        <v>257</v>
      </c>
      <c r="G388" s="114"/>
      <c r="H388" s="115"/>
      <c r="I388" s="116" t="s">
        <v>256</v>
      </c>
      <c r="J388" s="114"/>
      <c r="K388" s="115"/>
      <c r="L388" s="84" t="s">
        <v>255</v>
      </c>
      <c r="M388" s="1"/>
      <c r="N388" s="1"/>
    </row>
    <row r="389" spans="1:14" ht="18.75" customHeight="1" x14ac:dyDescent="0.25">
      <c r="A389" s="85"/>
      <c r="B389" s="86"/>
      <c r="C389" s="87"/>
      <c r="D389" s="88"/>
      <c r="E389" s="87"/>
      <c r="F389" s="88"/>
      <c r="G389" s="86"/>
      <c r="H389" s="87"/>
      <c r="I389" s="88"/>
      <c r="J389" s="86"/>
      <c r="K389" s="87"/>
      <c r="L389" s="6"/>
      <c r="M389" s="1"/>
      <c r="N389" s="1"/>
    </row>
    <row r="390" spans="1:14" ht="18.75" customHeight="1" x14ac:dyDescent="0.25">
      <c r="A390" s="85"/>
      <c r="B390" s="86"/>
      <c r="C390" s="87"/>
      <c r="D390" s="86"/>
      <c r="E390" s="87"/>
      <c r="F390" s="88"/>
      <c r="G390" s="86"/>
      <c r="H390" s="87"/>
      <c r="I390" s="88"/>
      <c r="J390" s="86"/>
      <c r="K390" s="87"/>
      <c r="L390" s="6"/>
      <c r="M390" s="1"/>
      <c r="N390" s="1"/>
    </row>
    <row r="391" spans="1:14" ht="18.75" customHeight="1" x14ac:dyDescent="0.25">
      <c r="A391" s="85"/>
      <c r="B391" s="86"/>
      <c r="C391" s="87"/>
      <c r="D391" s="86"/>
      <c r="E391" s="87"/>
      <c r="F391" s="88"/>
      <c r="G391" s="86"/>
      <c r="H391" s="87"/>
      <c r="I391" s="88"/>
      <c r="J391" s="86"/>
      <c r="K391" s="87"/>
      <c r="L391" s="6"/>
      <c r="M391" s="1"/>
      <c r="N391" s="1"/>
    </row>
    <row r="392" spans="1:14" ht="18.75" customHeight="1" x14ac:dyDescent="0.25">
      <c r="A392" s="85"/>
      <c r="B392" s="86"/>
      <c r="C392" s="87"/>
      <c r="D392" s="86"/>
      <c r="E392" s="87"/>
      <c r="F392" s="88"/>
      <c r="G392" s="86"/>
      <c r="H392" s="87"/>
      <c r="I392" s="88"/>
      <c r="J392" s="86"/>
      <c r="K392" s="87"/>
      <c r="L392" s="6"/>
      <c r="M392" s="1"/>
      <c r="N392" s="1"/>
    </row>
    <row r="393" spans="1:14" ht="18.75" customHeight="1" x14ac:dyDescent="0.25">
      <c r="A393" s="85"/>
      <c r="B393" s="86"/>
      <c r="C393" s="87"/>
      <c r="D393" s="86"/>
      <c r="E393" s="87"/>
      <c r="F393" s="88"/>
      <c r="G393" s="86"/>
      <c r="H393" s="87"/>
      <c r="I393" s="88"/>
      <c r="J393" s="86"/>
      <c r="K393" s="87"/>
      <c r="L393" s="6"/>
      <c r="M393" s="1"/>
      <c r="N393" s="1"/>
    </row>
    <row r="394" spans="1:14" ht="18.75" customHeight="1" x14ac:dyDescent="0.25">
      <c r="A394" s="85"/>
      <c r="B394" s="86"/>
      <c r="C394" s="87"/>
      <c r="D394" s="86"/>
      <c r="E394" s="87"/>
      <c r="F394" s="88"/>
      <c r="G394" s="86"/>
      <c r="H394" s="87"/>
      <c r="I394" s="88"/>
      <c r="J394" s="86"/>
      <c r="K394" s="87"/>
      <c r="L394" s="6"/>
      <c r="M394" s="1"/>
      <c r="N394" s="1"/>
    </row>
    <row r="395" spans="1:14" ht="18.75" customHeight="1" x14ac:dyDescent="0.25">
      <c r="A395" s="85"/>
      <c r="B395" s="86"/>
      <c r="C395" s="87"/>
      <c r="D395" s="86"/>
      <c r="E395" s="87"/>
      <c r="F395" s="88"/>
      <c r="G395" s="86"/>
      <c r="H395" s="87"/>
      <c r="I395" s="88"/>
      <c r="J395" s="86"/>
      <c r="K395" s="87"/>
      <c r="L395" s="6"/>
      <c r="M395" s="1"/>
      <c r="N395" s="1"/>
    </row>
    <row r="396" spans="1:14" ht="18.75" customHeight="1" x14ac:dyDescent="0.25">
      <c r="A396" s="85"/>
      <c r="B396" s="86"/>
      <c r="C396" s="87"/>
      <c r="D396" s="86"/>
      <c r="E396" s="87"/>
      <c r="F396" s="88"/>
      <c r="G396" s="86"/>
      <c r="H396" s="87"/>
      <c r="I396" s="88"/>
      <c r="J396" s="86"/>
      <c r="K396" s="87"/>
      <c r="L396" s="6"/>
      <c r="M396" s="1"/>
      <c r="N396" s="1"/>
    </row>
    <row r="397" spans="1:14" ht="18.75" customHeight="1" x14ac:dyDescent="0.25">
      <c r="A397" s="85"/>
      <c r="B397" s="86"/>
      <c r="C397" s="87"/>
      <c r="D397" s="86"/>
      <c r="E397" s="87"/>
      <c r="F397" s="88"/>
      <c r="G397" s="86"/>
      <c r="H397" s="87"/>
      <c r="I397" s="88"/>
      <c r="J397" s="86"/>
      <c r="K397" s="87"/>
      <c r="L397" s="6"/>
      <c r="M397" s="1"/>
      <c r="N397" s="1"/>
    </row>
    <row r="398" spans="1:14" ht="18.75" customHeight="1" x14ac:dyDescent="0.25">
      <c r="A398" s="85"/>
      <c r="B398" s="86"/>
      <c r="C398" s="87"/>
      <c r="D398" s="86"/>
      <c r="E398" s="87"/>
      <c r="F398" s="88"/>
      <c r="G398" s="86"/>
      <c r="H398" s="87"/>
      <c r="I398" s="88"/>
      <c r="J398" s="86"/>
      <c r="K398" s="87"/>
      <c r="L398" s="6"/>
      <c r="M398" s="1"/>
      <c r="N398" s="1"/>
    </row>
    <row r="399" spans="1:14" ht="18.75" customHeight="1" x14ac:dyDescent="0.25">
      <c r="A399" s="85"/>
      <c r="B399" s="86"/>
      <c r="C399" s="87"/>
      <c r="D399" s="86"/>
      <c r="E399" s="87"/>
      <c r="F399" s="88"/>
      <c r="G399" s="86"/>
      <c r="H399" s="87"/>
      <c r="I399" s="88"/>
      <c r="J399" s="86"/>
      <c r="K399" s="87"/>
      <c r="L399" s="6"/>
      <c r="M399" s="1"/>
      <c r="N399" s="1"/>
    </row>
    <row r="400" spans="1:14" ht="18.75" customHeight="1" x14ac:dyDescent="0.25">
      <c r="A400" s="85"/>
      <c r="B400" s="86"/>
      <c r="C400" s="87"/>
      <c r="D400" s="86"/>
      <c r="E400" s="87"/>
      <c r="F400" s="88"/>
      <c r="G400" s="86"/>
      <c r="H400" s="87"/>
      <c r="I400" s="88"/>
      <c r="J400" s="86"/>
      <c r="K400" s="87"/>
      <c r="L400" s="6"/>
      <c r="M400" s="1"/>
      <c r="N400" s="1"/>
    </row>
    <row r="401" spans="1:14" ht="18.75" customHeight="1" x14ac:dyDescent="0.25">
      <c r="A401" s="85"/>
      <c r="B401" s="86"/>
      <c r="C401" s="87"/>
      <c r="D401" s="86"/>
      <c r="E401" s="87"/>
      <c r="F401" s="88"/>
      <c r="G401" s="86"/>
      <c r="H401" s="87"/>
      <c r="I401" s="88"/>
      <c r="J401" s="86"/>
      <c r="K401" s="87"/>
      <c r="L401" s="6"/>
      <c r="M401" s="1"/>
      <c r="N401" s="1"/>
    </row>
    <row r="402" spans="1:14" ht="18.75" customHeight="1" x14ac:dyDescent="0.25">
      <c r="A402" s="85"/>
      <c r="B402" s="86"/>
      <c r="C402" s="87"/>
      <c r="D402" s="86"/>
      <c r="E402" s="87"/>
      <c r="F402" s="88"/>
      <c r="G402" s="86"/>
      <c r="H402" s="87"/>
      <c r="I402" s="88"/>
      <c r="J402" s="86"/>
      <c r="K402" s="87"/>
      <c r="L402" s="6"/>
      <c r="M402" s="1"/>
      <c r="N402" s="1"/>
    </row>
    <row r="403" spans="1:14" ht="18" customHeight="1" thickBot="1" x14ac:dyDescent="0.3">
      <c r="A403" s="89"/>
      <c r="B403" s="90"/>
      <c r="C403" s="91"/>
      <c r="D403" s="90"/>
      <c r="E403" s="91"/>
      <c r="F403" s="92"/>
      <c r="G403" s="90"/>
      <c r="H403" s="91"/>
      <c r="I403" s="92"/>
      <c r="J403" s="90"/>
      <c r="K403" s="91"/>
      <c r="L403" s="7"/>
      <c r="M403" s="1"/>
      <c r="N403" s="1"/>
    </row>
    <row r="404" spans="1:14" ht="36" customHeight="1" x14ac:dyDescent="0.25">
      <c r="A404" s="511" t="s">
        <v>367</v>
      </c>
      <c r="B404" s="423"/>
      <c r="C404" s="423"/>
      <c r="D404" s="423"/>
      <c r="E404" s="423"/>
      <c r="F404" s="423"/>
      <c r="G404" s="423"/>
      <c r="H404" s="423"/>
      <c r="I404" s="423"/>
      <c r="J404" s="424"/>
      <c r="K404" s="426"/>
      <c r="L404" s="512"/>
      <c r="M404" s="1"/>
      <c r="N404" s="1"/>
    </row>
    <row r="405" spans="1:14" ht="18.75" customHeight="1" x14ac:dyDescent="0.25">
      <c r="A405" s="455" t="s">
        <v>368</v>
      </c>
      <c r="B405" s="421"/>
      <c r="C405" s="421"/>
      <c r="D405" s="421"/>
      <c r="E405" s="421"/>
      <c r="F405" s="421"/>
      <c r="G405" s="421"/>
      <c r="H405" s="421"/>
      <c r="I405" s="421"/>
      <c r="J405" s="422"/>
      <c r="K405" s="425"/>
      <c r="L405" s="513"/>
      <c r="M405" s="1"/>
      <c r="N405" s="1"/>
    </row>
    <row r="406" spans="1:14" ht="18" customHeight="1" x14ac:dyDescent="0.25">
      <c r="A406" s="455" t="s">
        <v>369</v>
      </c>
      <c r="B406" s="421"/>
      <c r="C406" s="421"/>
      <c r="D406" s="421"/>
      <c r="E406" s="421"/>
      <c r="F406" s="421"/>
      <c r="G406" s="421"/>
      <c r="H406" s="421"/>
      <c r="I406" s="421"/>
      <c r="J406" s="422"/>
      <c r="K406" s="425"/>
      <c r="L406" s="513"/>
      <c r="M406" s="1"/>
      <c r="N406" s="1"/>
    </row>
    <row r="407" spans="1:14" ht="18.75" customHeight="1" x14ac:dyDescent="0.25">
      <c r="A407" s="455" t="s">
        <v>370</v>
      </c>
      <c r="B407" s="421"/>
      <c r="C407" s="421"/>
      <c r="D407" s="421"/>
      <c r="E407" s="421"/>
      <c r="F407" s="421"/>
      <c r="G407" s="421"/>
      <c r="H407" s="421"/>
      <c r="I407" s="421"/>
      <c r="J407" s="422"/>
      <c r="K407" s="425"/>
      <c r="L407" s="513"/>
      <c r="M407" s="1"/>
      <c r="N407" s="1"/>
    </row>
    <row r="408" spans="1:14" ht="18" customHeight="1" x14ac:dyDescent="0.25">
      <c r="A408" s="455" t="s">
        <v>371</v>
      </c>
      <c r="B408" s="421"/>
      <c r="C408" s="421"/>
      <c r="D408" s="421"/>
      <c r="E408" s="421"/>
      <c r="F408" s="421"/>
      <c r="G408" s="421"/>
      <c r="H408" s="421"/>
      <c r="I408" s="421"/>
      <c r="J408" s="422"/>
      <c r="K408" s="425"/>
      <c r="L408" s="513"/>
      <c r="M408" s="1"/>
      <c r="N408" s="1"/>
    </row>
    <row r="409" spans="1:14" ht="18.75" customHeight="1" x14ac:dyDescent="0.25">
      <c r="A409" s="455" t="s">
        <v>372</v>
      </c>
      <c r="B409" s="421"/>
      <c r="C409" s="421"/>
      <c r="D409" s="421"/>
      <c r="E409" s="421"/>
      <c r="F409" s="421"/>
      <c r="G409" s="421"/>
      <c r="H409" s="421"/>
      <c r="I409" s="421"/>
      <c r="J409" s="422"/>
      <c r="K409" s="425"/>
      <c r="L409" s="513"/>
      <c r="M409" s="1"/>
      <c r="N409" s="1"/>
    </row>
    <row r="410" spans="1:14" ht="18" customHeight="1" x14ac:dyDescent="0.25">
      <c r="A410" s="455" t="s">
        <v>373</v>
      </c>
      <c r="B410" s="421"/>
      <c r="C410" s="421"/>
      <c r="D410" s="421"/>
      <c r="E410" s="421"/>
      <c r="F410" s="421"/>
      <c r="G410" s="421"/>
      <c r="H410" s="421"/>
      <c r="I410" s="421"/>
      <c r="J410" s="422"/>
      <c r="K410" s="425"/>
      <c r="L410" s="513"/>
      <c r="M410" s="1"/>
      <c r="N410" s="1"/>
    </row>
    <row r="411" spans="1:14" ht="18.75" customHeight="1" x14ac:dyDescent="0.25">
      <c r="A411" s="455" t="s">
        <v>374</v>
      </c>
      <c r="B411" s="421"/>
      <c r="C411" s="421"/>
      <c r="D411" s="421"/>
      <c r="E411" s="421"/>
      <c r="F411" s="421"/>
      <c r="G411" s="421"/>
      <c r="H411" s="421"/>
      <c r="I411" s="421"/>
      <c r="J411" s="422"/>
      <c r="K411" s="425"/>
      <c r="L411" s="513"/>
      <c r="M411" s="1"/>
      <c r="N411" s="1"/>
    </row>
    <row r="412" spans="1:14" ht="18.75" customHeight="1" x14ac:dyDescent="0.25">
      <c r="A412" s="455" t="s">
        <v>375</v>
      </c>
      <c r="B412" s="421"/>
      <c r="C412" s="421"/>
      <c r="D412" s="421"/>
      <c r="E412" s="421"/>
      <c r="F412" s="421"/>
      <c r="G412" s="421"/>
      <c r="H412" s="421"/>
      <c r="I412" s="421"/>
      <c r="J412" s="422"/>
      <c r="K412" s="425"/>
      <c r="L412" s="513"/>
      <c r="M412" s="1"/>
      <c r="N412" s="1"/>
    </row>
    <row r="413" spans="1:14" ht="18.75" customHeight="1" x14ac:dyDescent="0.25">
      <c r="A413" s="455" t="s">
        <v>376</v>
      </c>
      <c r="B413" s="421"/>
      <c r="C413" s="421"/>
      <c r="D413" s="421"/>
      <c r="E413" s="421"/>
      <c r="F413" s="421"/>
      <c r="G413" s="421"/>
      <c r="H413" s="421"/>
      <c r="I413" s="421"/>
      <c r="J413" s="422"/>
      <c r="K413" s="425"/>
      <c r="L413" s="513"/>
      <c r="M413" s="1"/>
      <c r="N413" s="1"/>
    </row>
    <row r="414" spans="1:14" ht="18.75" customHeight="1" x14ac:dyDescent="0.25">
      <c r="A414" s="455" t="s">
        <v>377</v>
      </c>
      <c r="B414" s="421"/>
      <c r="C414" s="421"/>
      <c r="D414" s="421"/>
      <c r="E414" s="421"/>
      <c r="F414" s="421"/>
      <c r="G414" s="421"/>
      <c r="H414" s="421"/>
      <c r="I414" s="421"/>
      <c r="J414" s="422"/>
      <c r="K414" s="425"/>
      <c r="L414" s="513"/>
      <c r="M414" s="1"/>
      <c r="N414" s="1"/>
    </row>
    <row r="415" spans="1:14" ht="18.75" customHeight="1" x14ac:dyDescent="0.25">
      <c r="A415" s="455" t="s">
        <v>378</v>
      </c>
      <c r="B415" s="421"/>
      <c r="C415" s="421"/>
      <c r="D415" s="421"/>
      <c r="E415" s="421"/>
      <c r="F415" s="421"/>
      <c r="G415" s="421"/>
      <c r="H415" s="421"/>
      <c r="I415" s="421"/>
      <c r="J415" s="422"/>
      <c r="K415" s="425"/>
      <c r="L415" s="513"/>
      <c r="M415" s="1"/>
      <c r="N415" s="1"/>
    </row>
    <row r="416" spans="1:14" ht="18.75" customHeight="1" x14ac:dyDescent="0.25">
      <c r="A416" s="455" t="s">
        <v>379</v>
      </c>
      <c r="B416" s="421"/>
      <c r="C416" s="421"/>
      <c r="D416" s="421"/>
      <c r="E416" s="421"/>
      <c r="F416" s="421"/>
      <c r="G416" s="421"/>
      <c r="H416" s="421"/>
      <c r="I416" s="421"/>
      <c r="J416" s="422"/>
      <c r="K416" s="425"/>
      <c r="L416" s="513"/>
      <c r="M416" s="1"/>
      <c r="N416" s="1"/>
    </row>
    <row r="417" spans="1:14" ht="18.75" customHeight="1" x14ac:dyDescent="0.25">
      <c r="A417" s="455" t="s">
        <v>380</v>
      </c>
      <c r="B417" s="421"/>
      <c r="C417" s="421"/>
      <c r="D417" s="421"/>
      <c r="E417" s="421"/>
      <c r="F417" s="421"/>
      <c r="G417" s="421"/>
      <c r="H417" s="421"/>
      <c r="I417" s="421"/>
      <c r="J417" s="422"/>
      <c r="K417" s="425"/>
      <c r="L417" s="513"/>
      <c r="M417" s="1"/>
      <c r="N417" s="1"/>
    </row>
    <row r="418" spans="1:14" ht="18.75" customHeight="1" x14ac:dyDescent="0.25">
      <c r="A418" s="455" t="s">
        <v>381</v>
      </c>
      <c r="B418" s="421"/>
      <c r="C418" s="421"/>
      <c r="D418" s="421"/>
      <c r="E418" s="421"/>
      <c r="F418" s="421"/>
      <c r="G418" s="421"/>
      <c r="H418" s="421"/>
      <c r="I418" s="421"/>
      <c r="J418" s="422"/>
      <c r="K418" s="425"/>
      <c r="L418" s="513"/>
      <c r="M418" s="1"/>
      <c r="N418" s="1"/>
    </row>
    <row r="419" spans="1:14" ht="18.75" customHeight="1" x14ac:dyDescent="0.25">
      <c r="A419" s="455" t="s">
        <v>382</v>
      </c>
      <c r="B419" s="421"/>
      <c r="C419" s="421"/>
      <c r="D419" s="421"/>
      <c r="E419" s="421"/>
      <c r="F419" s="421"/>
      <c r="G419" s="421"/>
      <c r="H419" s="421"/>
      <c r="I419" s="421"/>
      <c r="J419" s="422"/>
      <c r="K419" s="425"/>
      <c r="L419" s="513"/>
      <c r="M419" s="1"/>
      <c r="N419" s="1"/>
    </row>
    <row r="420" spans="1:14" ht="18.75" customHeight="1" x14ac:dyDescent="0.25">
      <c r="A420" s="455" t="s">
        <v>383</v>
      </c>
      <c r="B420" s="421"/>
      <c r="C420" s="421"/>
      <c r="D420" s="421"/>
      <c r="E420" s="421"/>
      <c r="F420" s="421"/>
      <c r="G420" s="421"/>
      <c r="H420" s="421"/>
      <c r="I420" s="421"/>
      <c r="J420" s="422"/>
      <c r="K420" s="425"/>
      <c r="L420" s="513"/>
      <c r="M420" s="1"/>
      <c r="N420" s="1"/>
    </row>
    <row r="421" spans="1:14" ht="18.75" customHeight="1" x14ac:dyDescent="0.25">
      <c r="A421" s="455" t="s">
        <v>384</v>
      </c>
      <c r="B421" s="421"/>
      <c r="C421" s="421"/>
      <c r="D421" s="421"/>
      <c r="E421" s="421"/>
      <c r="F421" s="421"/>
      <c r="G421" s="421"/>
      <c r="H421" s="421"/>
      <c r="I421" s="421"/>
      <c r="J421" s="422"/>
      <c r="K421" s="425"/>
      <c r="L421" s="513"/>
      <c r="M421" s="1"/>
      <c r="N421" s="1"/>
    </row>
    <row r="422" spans="1:14" ht="18.75" customHeight="1" x14ac:dyDescent="0.25">
      <c r="A422" s="455" t="s">
        <v>385</v>
      </c>
      <c r="B422" s="421"/>
      <c r="C422" s="421"/>
      <c r="D422" s="421"/>
      <c r="E422" s="421"/>
      <c r="F422" s="421"/>
      <c r="G422" s="421"/>
      <c r="H422" s="421"/>
      <c r="I422" s="421"/>
      <c r="J422" s="422"/>
      <c r="K422" s="425"/>
      <c r="L422" s="513"/>
      <c r="M422" s="1"/>
      <c r="N422" s="1"/>
    </row>
    <row r="423" spans="1:14" ht="18.75" customHeight="1" x14ac:dyDescent="0.25">
      <c r="A423" s="455" t="s">
        <v>386</v>
      </c>
      <c r="B423" s="421"/>
      <c r="C423" s="421"/>
      <c r="D423" s="421"/>
      <c r="E423" s="421"/>
      <c r="F423" s="421"/>
      <c r="G423" s="421"/>
      <c r="H423" s="421"/>
      <c r="I423" s="421"/>
      <c r="J423" s="422"/>
      <c r="K423" s="425"/>
      <c r="L423" s="513"/>
      <c r="M423" s="1"/>
      <c r="N423" s="1"/>
    </row>
    <row r="424" spans="1:14" ht="18.75" customHeight="1" x14ac:dyDescent="0.25">
      <c r="A424" s="455" t="s">
        <v>387</v>
      </c>
      <c r="B424" s="421"/>
      <c r="C424" s="421"/>
      <c r="D424" s="421"/>
      <c r="E424" s="421"/>
      <c r="F424" s="421"/>
      <c r="G424" s="421"/>
      <c r="H424" s="421"/>
      <c r="I424" s="421"/>
      <c r="J424" s="422"/>
      <c r="K424" s="425"/>
      <c r="L424" s="513"/>
      <c r="M424" s="1"/>
      <c r="N424" s="1"/>
    </row>
    <row r="425" spans="1:14" ht="18.75" customHeight="1" x14ac:dyDescent="0.25">
      <c r="A425" s="455" t="s">
        <v>388</v>
      </c>
      <c r="B425" s="421"/>
      <c r="C425" s="421"/>
      <c r="D425" s="421"/>
      <c r="E425" s="421"/>
      <c r="F425" s="421"/>
      <c r="G425" s="421"/>
      <c r="H425" s="421"/>
      <c r="I425" s="421"/>
      <c r="J425" s="422"/>
      <c r="K425" s="425"/>
      <c r="L425" s="513"/>
      <c r="M425" s="1"/>
      <c r="N425" s="1"/>
    </row>
    <row r="426" spans="1:14" ht="18.75" customHeight="1" x14ac:dyDescent="0.25">
      <c r="A426" s="455" t="s">
        <v>389</v>
      </c>
      <c r="B426" s="421"/>
      <c r="C426" s="421"/>
      <c r="D426" s="421"/>
      <c r="E426" s="421"/>
      <c r="F426" s="421"/>
      <c r="G426" s="421"/>
      <c r="H426" s="421"/>
      <c r="I426" s="421"/>
      <c r="J426" s="422"/>
      <c r="K426" s="425"/>
      <c r="L426" s="513"/>
      <c r="M426" s="1"/>
      <c r="N426" s="1"/>
    </row>
    <row r="427" spans="1:14" ht="18.75" customHeight="1" x14ac:dyDescent="0.25">
      <c r="A427" s="455" t="s">
        <v>390</v>
      </c>
      <c r="B427" s="421"/>
      <c r="C427" s="421"/>
      <c r="D427" s="421"/>
      <c r="E427" s="421"/>
      <c r="F427" s="421"/>
      <c r="G427" s="421"/>
      <c r="H427" s="421"/>
      <c r="I427" s="421"/>
      <c r="J427" s="422"/>
      <c r="K427" s="425"/>
      <c r="L427" s="513"/>
      <c r="M427" s="1"/>
      <c r="N427" s="1"/>
    </row>
    <row r="428" spans="1:14" ht="18.75" customHeight="1" x14ac:dyDescent="0.25">
      <c r="A428" s="455" t="s">
        <v>391</v>
      </c>
      <c r="B428" s="421"/>
      <c r="C428" s="421"/>
      <c r="D428" s="421"/>
      <c r="E428" s="421"/>
      <c r="F428" s="421"/>
      <c r="G428" s="421"/>
      <c r="H428" s="421"/>
      <c r="I428" s="421"/>
      <c r="J428" s="422"/>
      <c r="K428" s="425"/>
      <c r="L428" s="513"/>
      <c r="M428" s="1"/>
      <c r="N428" s="1"/>
    </row>
    <row r="429" spans="1:14" ht="18.75" customHeight="1" x14ac:dyDescent="0.25">
      <c r="A429" s="455" t="s">
        <v>392</v>
      </c>
      <c r="B429" s="421"/>
      <c r="C429" s="421"/>
      <c r="D429" s="421"/>
      <c r="E429" s="421"/>
      <c r="F429" s="421"/>
      <c r="G429" s="421"/>
      <c r="H429" s="421"/>
      <c r="I429" s="421"/>
      <c r="J429" s="422"/>
      <c r="K429" s="425"/>
      <c r="L429" s="513"/>
      <c r="M429" s="1"/>
      <c r="N429" s="1"/>
    </row>
    <row r="430" spans="1:14" ht="18.75" customHeight="1" x14ac:dyDescent="0.25">
      <c r="A430" s="455" t="s">
        <v>393</v>
      </c>
      <c r="B430" s="421"/>
      <c r="C430" s="421"/>
      <c r="D430" s="421"/>
      <c r="E430" s="421"/>
      <c r="F430" s="421"/>
      <c r="G430" s="421"/>
      <c r="H430" s="421"/>
      <c r="I430" s="421"/>
      <c r="J430" s="422"/>
      <c r="K430" s="425"/>
      <c r="L430" s="513"/>
      <c r="M430" s="1"/>
      <c r="N430" s="1"/>
    </row>
    <row r="431" spans="1:14" ht="18.75" customHeight="1" thickBot="1" x14ac:dyDescent="0.3">
      <c r="A431" s="456" t="s">
        <v>394</v>
      </c>
      <c r="B431" s="457"/>
      <c r="C431" s="457"/>
      <c r="D431" s="457"/>
      <c r="E431" s="457"/>
      <c r="F431" s="457"/>
      <c r="G431" s="457"/>
      <c r="H431" s="457"/>
      <c r="I431" s="457"/>
      <c r="J431" s="514"/>
      <c r="K431" s="515"/>
      <c r="L431" s="516"/>
      <c r="M431" s="1"/>
      <c r="N431" s="1"/>
    </row>
    <row r="432" spans="1:14" ht="18.75" customHeight="1" thickBot="1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"/>
      <c r="N432" s="1"/>
    </row>
    <row r="433" spans="1:14" ht="18.75" customHeight="1" x14ac:dyDescent="0.25">
      <c r="A433" s="433" t="s">
        <v>403</v>
      </c>
      <c r="B433" s="434"/>
      <c r="C433" s="434"/>
      <c r="D433" s="434"/>
      <c r="E433" s="434"/>
      <c r="F433" s="434"/>
      <c r="G433" s="434"/>
      <c r="H433" s="434"/>
      <c r="I433" s="434"/>
      <c r="J433" s="435"/>
      <c r="K433" s="427">
        <f>K435</f>
        <v>0</v>
      </c>
      <c r="L433" s="428"/>
      <c r="M433" s="1"/>
      <c r="N433" s="1"/>
    </row>
    <row r="434" spans="1:14" ht="18.75" customHeight="1" thickBot="1" x14ac:dyDescent="0.3">
      <c r="A434" s="436"/>
      <c r="B434" s="437"/>
      <c r="C434" s="437"/>
      <c r="D434" s="437"/>
      <c r="E434" s="437"/>
      <c r="F434" s="437"/>
      <c r="G434" s="437"/>
      <c r="H434" s="437"/>
      <c r="I434" s="437"/>
      <c r="J434" s="438"/>
      <c r="K434" s="429"/>
      <c r="L434" s="430"/>
      <c r="M434" s="1"/>
      <c r="N434" s="1"/>
    </row>
    <row r="435" spans="1:14" ht="18.75" customHeight="1" thickBot="1" x14ac:dyDescent="0.3">
      <c r="A435" s="439" t="s">
        <v>395</v>
      </c>
      <c r="B435" s="440"/>
      <c r="C435" s="440"/>
      <c r="D435" s="440"/>
      <c r="E435" s="440"/>
      <c r="F435" s="440"/>
      <c r="G435" s="440"/>
      <c r="H435" s="440"/>
      <c r="I435" s="440"/>
      <c r="J435" s="441"/>
      <c r="K435" s="431">
        <f>K493</f>
        <v>0</v>
      </c>
      <c r="L435" s="432"/>
      <c r="M435" s="1"/>
      <c r="N435" s="1"/>
    </row>
    <row r="436" spans="1:14" ht="18.75" customHeight="1" thickBot="1" x14ac:dyDescent="0.3">
      <c r="A436" s="446"/>
      <c r="B436" s="446"/>
      <c r="C436" s="446"/>
      <c r="D436" s="446"/>
      <c r="E436" s="446"/>
      <c r="F436" s="446"/>
      <c r="G436" s="446"/>
      <c r="H436" s="446"/>
      <c r="I436" s="446"/>
      <c r="J436" s="446"/>
      <c r="K436" s="446"/>
      <c r="L436" s="446"/>
      <c r="M436" s="1"/>
      <c r="N436" s="1"/>
    </row>
    <row r="437" spans="1:14" ht="18.75" customHeight="1" x14ac:dyDescent="0.25">
      <c r="A437" s="447" t="s">
        <v>404</v>
      </c>
      <c r="B437" s="448"/>
      <c r="C437" s="448"/>
      <c r="D437" s="448"/>
      <c r="E437" s="448"/>
      <c r="F437" s="448"/>
      <c r="G437" s="448"/>
      <c r="H437" s="448"/>
      <c r="I437" s="448"/>
      <c r="J437" s="449"/>
      <c r="K437" s="450">
        <f>SUM(K439:L443)</f>
        <v>0</v>
      </c>
      <c r="L437" s="451"/>
      <c r="M437" s="1"/>
      <c r="N437" s="1"/>
    </row>
    <row r="438" spans="1:14" ht="18.75" customHeight="1" thickBot="1" x14ac:dyDescent="0.3">
      <c r="A438" s="452"/>
      <c r="B438" s="437"/>
      <c r="C438" s="437"/>
      <c r="D438" s="437"/>
      <c r="E438" s="437"/>
      <c r="F438" s="437"/>
      <c r="G438" s="437"/>
      <c r="H438" s="437"/>
      <c r="I438" s="437"/>
      <c r="J438" s="438"/>
      <c r="K438" s="443"/>
      <c r="L438" s="453"/>
      <c r="M438" s="1"/>
      <c r="N438" s="1"/>
    </row>
    <row r="439" spans="1:14" ht="18.75" customHeight="1" x14ac:dyDescent="0.25">
      <c r="A439" s="454" t="s">
        <v>396</v>
      </c>
      <c r="B439" s="442"/>
      <c r="C439" s="442"/>
      <c r="D439" s="442"/>
      <c r="E439" s="442"/>
      <c r="F439" s="442"/>
      <c r="G439" s="442"/>
      <c r="H439" s="442"/>
      <c r="I439" s="442"/>
      <c r="J439" s="442"/>
      <c r="K439" s="445"/>
      <c r="L439" s="517"/>
      <c r="M439" s="1"/>
      <c r="N439" s="1"/>
    </row>
    <row r="440" spans="1:14" ht="18.75" customHeight="1" x14ac:dyDescent="0.25">
      <c r="A440" s="455" t="s">
        <v>397</v>
      </c>
      <c r="B440" s="421"/>
      <c r="C440" s="421"/>
      <c r="D440" s="421"/>
      <c r="E440" s="421"/>
      <c r="F440" s="421"/>
      <c r="G440" s="421"/>
      <c r="H440" s="421"/>
      <c r="I440" s="421"/>
      <c r="J440" s="421"/>
      <c r="K440" s="445"/>
      <c r="L440" s="517"/>
      <c r="M440" s="1"/>
      <c r="N440" s="1"/>
    </row>
    <row r="441" spans="1:14" ht="18.75" customHeight="1" x14ac:dyDescent="0.25">
      <c r="A441" s="455" t="s">
        <v>398</v>
      </c>
      <c r="B441" s="421"/>
      <c r="C441" s="421"/>
      <c r="D441" s="421"/>
      <c r="E441" s="421"/>
      <c r="F441" s="421"/>
      <c r="G441" s="421"/>
      <c r="H441" s="421"/>
      <c r="I441" s="421"/>
      <c r="J441" s="421"/>
      <c r="K441" s="445"/>
      <c r="L441" s="517"/>
      <c r="M441" s="1"/>
      <c r="N441" s="1"/>
    </row>
    <row r="442" spans="1:14" ht="18.75" customHeight="1" x14ac:dyDescent="0.25">
      <c r="A442" s="455" t="s">
        <v>399</v>
      </c>
      <c r="B442" s="421"/>
      <c r="C442" s="421"/>
      <c r="D442" s="421"/>
      <c r="E442" s="421"/>
      <c r="F442" s="421"/>
      <c r="G442" s="421"/>
      <c r="H442" s="421"/>
      <c r="I442" s="421"/>
      <c r="J442" s="421"/>
      <c r="K442" s="445"/>
      <c r="L442" s="517"/>
      <c r="M442" s="1"/>
      <c r="N442" s="1"/>
    </row>
    <row r="443" spans="1:14" ht="18.75" customHeight="1" thickBot="1" x14ac:dyDescent="0.3">
      <c r="A443" s="456" t="s">
        <v>400</v>
      </c>
      <c r="B443" s="457"/>
      <c r="C443" s="457"/>
      <c r="D443" s="457"/>
      <c r="E443" s="457"/>
      <c r="F443" s="457"/>
      <c r="G443" s="457"/>
      <c r="H443" s="457"/>
      <c r="I443" s="457"/>
      <c r="J443" s="457"/>
      <c r="K443" s="518"/>
      <c r="L443" s="519"/>
      <c r="M443" s="1"/>
      <c r="N443" s="1"/>
    </row>
    <row r="444" spans="1:14" ht="18.75" customHeight="1" thickBot="1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"/>
      <c r="N444" s="1"/>
    </row>
    <row r="445" spans="1:14" ht="18.75" customHeight="1" x14ac:dyDescent="0.25">
      <c r="A445" s="39" t="s">
        <v>405</v>
      </c>
      <c r="B445" s="40"/>
      <c r="C445" s="40"/>
      <c r="D445" s="40"/>
      <c r="E445" s="40"/>
      <c r="F445" s="40"/>
      <c r="G445" s="40"/>
      <c r="H445" s="40"/>
      <c r="I445" s="40"/>
      <c r="J445" s="44"/>
      <c r="K445" s="458">
        <f>(+K326+J138+K332+K378+K386+K394)*K447</f>
        <v>0</v>
      </c>
      <c r="L445" s="459"/>
      <c r="M445" s="1"/>
      <c r="N445" s="1"/>
    </row>
    <row r="446" spans="1:14" ht="18.75" customHeight="1" x14ac:dyDescent="0.25">
      <c r="A446" s="43"/>
      <c r="B446" s="41"/>
      <c r="C446" s="41"/>
      <c r="D446" s="41"/>
      <c r="E446" s="41"/>
      <c r="F446" s="41"/>
      <c r="G446" s="41"/>
      <c r="H446" s="41"/>
      <c r="I446" s="41"/>
      <c r="J446" s="42"/>
      <c r="K446" s="272"/>
      <c r="L446" s="273"/>
      <c r="M446" s="1"/>
      <c r="N446" s="1"/>
    </row>
    <row r="447" spans="1:14" ht="18.75" customHeight="1" x14ac:dyDescent="0.25">
      <c r="A447" s="460" t="s">
        <v>401</v>
      </c>
      <c r="B447" s="464"/>
      <c r="C447" s="464"/>
      <c r="D447" s="464"/>
      <c r="E447" s="464"/>
      <c r="F447" s="464"/>
      <c r="G447" s="464"/>
      <c r="H447" s="464"/>
      <c r="I447" s="464"/>
      <c r="J447" s="461"/>
      <c r="K447" s="460">
        <f>IF(((+K326+J138+K332+K378+K386+K394)&gt;200000),0.08,0.05)</f>
        <v>0.05</v>
      </c>
      <c r="L447" s="461"/>
      <c r="M447" s="1"/>
      <c r="N447" s="1"/>
    </row>
    <row r="448" spans="1:14" ht="18.75" customHeight="1" x14ac:dyDescent="0.25">
      <c r="A448" s="462"/>
      <c r="B448" s="465"/>
      <c r="C448" s="465"/>
      <c r="D448" s="465"/>
      <c r="E448" s="465"/>
      <c r="F448" s="465"/>
      <c r="G448" s="465"/>
      <c r="H448" s="465"/>
      <c r="I448" s="465"/>
      <c r="J448" s="463"/>
      <c r="K448" s="462"/>
      <c r="L448" s="463"/>
      <c r="M448" s="1"/>
      <c r="N448" s="1"/>
    </row>
    <row r="449" spans="1:14" ht="18.75" customHeight="1" x14ac:dyDescent="0.25">
      <c r="A449" s="467" t="s">
        <v>406</v>
      </c>
      <c r="B449" s="468"/>
      <c r="C449" s="468"/>
      <c r="D449" s="468"/>
      <c r="E449" s="468"/>
      <c r="F449" s="468"/>
      <c r="G449" s="468"/>
      <c r="H449" s="468"/>
      <c r="I449" s="468"/>
      <c r="J449" s="469"/>
      <c r="K449" s="270">
        <f>(((K437+K437+K433+K394+K386+K378+K332+K326+J138)/0.9)*0.1)</f>
        <v>0</v>
      </c>
      <c r="L449" s="271"/>
      <c r="M449" s="1"/>
      <c r="N449" s="1"/>
    </row>
    <row r="450" spans="1:14" ht="18.75" customHeight="1" x14ac:dyDescent="0.25">
      <c r="A450" s="466"/>
      <c r="B450" s="470"/>
      <c r="C450" s="470"/>
      <c r="D450" s="470"/>
      <c r="E450" s="470"/>
      <c r="F450" s="470"/>
      <c r="G450" s="470"/>
      <c r="H450" s="470"/>
      <c r="I450" s="470"/>
      <c r="J450" s="471"/>
      <c r="K450" s="475"/>
      <c r="L450" s="476"/>
      <c r="M450" s="1"/>
      <c r="N450" s="1"/>
    </row>
    <row r="451" spans="1:14" ht="18.75" customHeight="1" x14ac:dyDescent="0.25">
      <c r="A451" s="472"/>
      <c r="B451" s="473"/>
      <c r="C451" s="473"/>
      <c r="D451" s="473"/>
      <c r="E451" s="473"/>
      <c r="F451" s="473"/>
      <c r="G451" s="473"/>
      <c r="H451" s="473"/>
      <c r="I451" s="473"/>
      <c r="J451" s="474"/>
      <c r="K451" s="272"/>
      <c r="L451" s="273"/>
      <c r="M451" s="1"/>
      <c r="N451" s="1"/>
    </row>
    <row r="452" spans="1:14" ht="18.75" customHeight="1" x14ac:dyDescent="0.25">
      <c r="A452" s="460" t="s">
        <v>416</v>
      </c>
      <c r="B452" s="464"/>
      <c r="C452" s="464"/>
      <c r="D452" s="464"/>
      <c r="E452" s="464"/>
      <c r="F452" s="464"/>
      <c r="G452" s="464"/>
      <c r="H452" s="464"/>
      <c r="I452" s="464"/>
      <c r="J452" s="461"/>
      <c r="K452" s="477">
        <v>0.1</v>
      </c>
      <c r="L452" s="478"/>
      <c r="M452" s="1"/>
      <c r="N452" s="1"/>
    </row>
    <row r="453" spans="1:14" ht="18.75" customHeight="1" x14ac:dyDescent="0.25">
      <c r="A453" s="462"/>
      <c r="B453" s="465"/>
      <c r="C453" s="465"/>
      <c r="D453" s="465"/>
      <c r="E453" s="465"/>
      <c r="F453" s="465"/>
      <c r="G453" s="465"/>
      <c r="H453" s="465"/>
      <c r="I453" s="465"/>
      <c r="J453" s="463"/>
      <c r="K453" s="479"/>
      <c r="L453" s="480"/>
      <c r="M453" s="1"/>
      <c r="N453" s="1"/>
    </row>
    <row r="454" spans="1:14" ht="18.75" customHeight="1" x14ac:dyDescent="0.25">
      <c r="A454" s="481" t="s">
        <v>402</v>
      </c>
      <c r="B454" s="482"/>
      <c r="C454" s="482"/>
      <c r="D454" s="482"/>
      <c r="E454" s="482"/>
      <c r="F454" s="482"/>
      <c r="G454" s="482"/>
      <c r="H454" s="482"/>
      <c r="I454" s="482"/>
      <c r="J454" s="483"/>
      <c r="K454" s="270">
        <f>(SUM(K326,K332,K378,K386,K394,,K433,K437,K445,K449))</f>
        <v>0</v>
      </c>
      <c r="L454" s="271"/>
      <c r="M454" s="1"/>
      <c r="N454" s="1"/>
    </row>
    <row r="455" spans="1:14" ht="18.75" customHeight="1" x14ac:dyDescent="0.25">
      <c r="A455" s="484"/>
      <c r="B455" s="485"/>
      <c r="C455" s="485"/>
      <c r="D455" s="485"/>
      <c r="E455" s="485"/>
      <c r="F455" s="485"/>
      <c r="G455" s="485"/>
      <c r="H455" s="485"/>
      <c r="I455" s="485"/>
      <c r="J455" s="486"/>
      <c r="K455" s="272"/>
      <c r="L455" s="273"/>
      <c r="M455" s="1"/>
      <c r="N455" s="1"/>
    </row>
    <row r="456" spans="1:14" ht="18.75" customHeight="1" thickBot="1" x14ac:dyDescent="0.3">
      <c r="A456" s="495"/>
      <c r="B456" s="496"/>
      <c r="C456" s="496"/>
      <c r="D456" s="496"/>
      <c r="E456" s="496"/>
      <c r="F456" s="496"/>
      <c r="G456" s="496"/>
      <c r="H456" s="496"/>
      <c r="I456" s="496"/>
      <c r="J456" s="496"/>
      <c r="K456" s="496"/>
      <c r="L456" s="497"/>
      <c r="M456" s="1"/>
      <c r="N456" s="1"/>
    </row>
    <row r="457" spans="1:14" ht="18.75" customHeight="1" x14ac:dyDescent="0.25">
      <c r="A457" s="498" t="s">
        <v>407</v>
      </c>
      <c r="B457" s="499"/>
      <c r="C457" s="499"/>
      <c r="D457" s="499"/>
      <c r="E457" s="499"/>
      <c r="F457" s="499"/>
      <c r="G457" s="499"/>
      <c r="H457" s="499"/>
      <c r="I457" s="499"/>
      <c r="J457" s="499"/>
      <c r="K457" s="499"/>
      <c r="L457" s="500"/>
      <c r="M457" s="1"/>
      <c r="N457" s="1"/>
    </row>
    <row r="458" spans="1:14" ht="18.75" customHeight="1" x14ac:dyDescent="0.25">
      <c r="A458" s="501"/>
      <c r="B458" s="488"/>
      <c r="C458" s="488"/>
      <c r="D458" s="488"/>
      <c r="E458" s="488"/>
      <c r="F458" s="488"/>
      <c r="G458" s="488"/>
      <c r="H458" s="488"/>
      <c r="I458" s="488"/>
      <c r="J458" s="488"/>
      <c r="K458" s="488"/>
      <c r="L458" s="502"/>
      <c r="M458" s="1"/>
      <c r="N458" s="1"/>
    </row>
    <row r="459" spans="1:14" ht="18.75" customHeight="1" x14ac:dyDescent="0.25">
      <c r="A459" s="503" t="s">
        <v>299</v>
      </c>
      <c r="B459" s="489"/>
      <c r="C459" s="489"/>
      <c r="D459" s="489"/>
      <c r="E459" s="489"/>
      <c r="F459" s="489"/>
      <c r="G459" s="489"/>
      <c r="H459" s="490" t="s">
        <v>408</v>
      </c>
      <c r="I459" s="491" t="s">
        <v>409</v>
      </c>
      <c r="J459" s="491"/>
      <c r="K459" s="492" t="s">
        <v>410</v>
      </c>
      <c r="L459" s="504"/>
      <c r="M459" s="1"/>
      <c r="N459" s="1"/>
    </row>
    <row r="460" spans="1:14" ht="18.75" customHeight="1" x14ac:dyDescent="0.25">
      <c r="A460" s="505" t="s">
        <v>411</v>
      </c>
      <c r="B460" s="493"/>
      <c r="C460" s="493"/>
      <c r="D460" s="493"/>
      <c r="E460" s="493"/>
      <c r="F460" s="493"/>
      <c r="G460" s="493"/>
      <c r="H460" s="487"/>
      <c r="I460" s="444"/>
      <c r="J460" s="444"/>
      <c r="K460" s="494">
        <f t="shared" ref="K460" si="2">H460*I460</f>
        <v>0</v>
      </c>
      <c r="L460" s="506"/>
      <c r="M460" s="1"/>
      <c r="N460" s="1"/>
    </row>
    <row r="461" spans="1:14" ht="18.75" customHeight="1" x14ac:dyDescent="0.25">
      <c r="A461" s="505" t="s">
        <v>411</v>
      </c>
      <c r="B461" s="493"/>
      <c r="C461" s="493"/>
      <c r="D461" s="493"/>
      <c r="E461" s="493"/>
      <c r="F461" s="493"/>
      <c r="G461" s="493"/>
      <c r="H461" s="487"/>
      <c r="I461" s="444"/>
      <c r="J461" s="444"/>
      <c r="K461" s="494">
        <f t="shared" ref="K461:K492" si="3">H461*I461</f>
        <v>0</v>
      </c>
      <c r="L461" s="506"/>
      <c r="M461" s="1"/>
      <c r="N461" s="1"/>
    </row>
    <row r="462" spans="1:14" ht="18.75" customHeight="1" x14ac:dyDescent="0.25">
      <c r="A462" s="505" t="s">
        <v>411</v>
      </c>
      <c r="B462" s="493"/>
      <c r="C462" s="493"/>
      <c r="D462" s="493"/>
      <c r="E462" s="493"/>
      <c r="F462" s="493"/>
      <c r="G462" s="493"/>
      <c r="H462" s="487"/>
      <c r="I462" s="444"/>
      <c r="J462" s="444"/>
      <c r="K462" s="494">
        <f t="shared" si="3"/>
        <v>0</v>
      </c>
      <c r="L462" s="506"/>
      <c r="M462" s="1"/>
      <c r="N462" s="1"/>
    </row>
    <row r="463" spans="1:14" ht="18.75" customHeight="1" x14ac:dyDescent="0.25">
      <c r="A463" s="505" t="s">
        <v>411</v>
      </c>
      <c r="B463" s="493"/>
      <c r="C463" s="493"/>
      <c r="D463" s="493"/>
      <c r="E463" s="493"/>
      <c r="F463" s="493"/>
      <c r="G463" s="493"/>
      <c r="H463" s="487"/>
      <c r="I463" s="444"/>
      <c r="J463" s="444"/>
      <c r="K463" s="494">
        <f t="shared" si="3"/>
        <v>0</v>
      </c>
      <c r="L463" s="506"/>
      <c r="M463" s="1"/>
      <c r="N463" s="1"/>
    </row>
    <row r="464" spans="1:14" ht="18.75" customHeight="1" x14ac:dyDescent="0.25">
      <c r="A464" s="505" t="s">
        <v>411</v>
      </c>
      <c r="B464" s="493"/>
      <c r="C464" s="493"/>
      <c r="D464" s="493"/>
      <c r="E464" s="493"/>
      <c r="F464" s="493"/>
      <c r="G464" s="493"/>
      <c r="H464" s="487"/>
      <c r="I464" s="444"/>
      <c r="J464" s="444"/>
      <c r="K464" s="494">
        <f t="shared" si="3"/>
        <v>0</v>
      </c>
      <c r="L464" s="506"/>
      <c r="M464" s="1"/>
      <c r="N464" s="1"/>
    </row>
    <row r="465" spans="1:14" ht="18.75" customHeight="1" x14ac:dyDescent="0.25">
      <c r="A465" s="505" t="s">
        <v>411</v>
      </c>
      <c r="B465" s="493"/>
      <c r="C465" s="493"/>
      <c r="D465" s="493"/>
      <c r="E465" s="493"/>
      <c r="F465" s="493"/>
      <c r="G465" s="493"/>
      <c r="H465" s="487"/>
      <c r="I465" s="444"/>
      <c r="J465" s="444"/>
      <c r="K465" s="494">
        <f t="shared" si="3"/>
        <v>0</v>
      </c>
      <c r="L465" s="506"/>
      <c r="M465" s="1"/>
      <c r="N465" s="1"/>
    </row>
    <row r="466" spans="1:14" ht="18.75" customHeight="1" x14ac:dyDescent="0.25">
      <c r="A466" s="505" t="s">
        <v>411</v>
      </c>
      <c r="B466" s="493"/>
      <c r="C466" s="493"/>
      <c r="D466" s="493"/>
      <c r="E466" s="493"/>
      <c r="F466" s="493"/>
      <c r="G466" s="493"/>
      <c r="H466" s="487"/>
      <c r="I466" s="444"/>
      <c r="J466" s="444"/>
      <c r="K466" s="494">
        <f t="shared" si="3"/>
        <v>0</v>
      </c>
      <c r="L466" s="506"/>
      <c r="M466" s="1"/>
      <c r="N466" s="1"/>
    </row>
    <row r="467" spans="1:14" ht="18.75" customHeight="1" x14ac:dyDescent="0.25">
      <c r="A467" s="505" t="s">
        <v>411</v>
      </c>
      <c r="B467" s="493"/>
      <c r="C467" s="493"/>
      <c r="D467" s="493"/>
      <c r="E467" s="493"/>
      <c r="F467" s="493"/>
      <c r="G467" s="493"/>
      <c r="H467" s="487"/>
      <c r="I467" s="444"/>
      <c r="J467" s="444"/>
      <c r="K467" s="494">
        <f t="shared" si="3"/>
        <v>0</v>
      </c>
      <c r="L467" s="506"/>
      <c r="M467" s="1"/>
      <c r="N467" s="1"/>
    </row>
    <row r="468" spans="1:14" ht="18.75" customHeight="1" x14ac:dyDescent="0.25">
      <c r="A468" s="505" t="s">
        <v>411</v>
      </c>
      <c r="B468" s="493"/>
      <c r="C468" s="493"/>
      <c r="D468" s="493"/>
      <c r="E468" s="493"/>
      <c r="F468" s="493"/>
      <c r="G468" s="493"/>
      <c r="H468" s="487"/>
      <c r="I468" s="444"/>
      <c r="J468" s="444"/>
      <c r="K468" s="494">
        <f t="shared" si="3"/>
        <v>0</v>
      </c>
      <c r="L468" s="506"/>
      <c r="M468" s="1"/>
      <c r="N468" s="1"/>
    </row>
    <row r="469" spans="1:14" ht="18.75" customHeight="1" x14ac:dyDescent="0.25">
      <c r="A469" s="505" t="s">
        <v>411</v>
      </c>
      <c r="B469" s="493"/>
      <c r="C469" s="493"/>
      <c r="D469" s="493"/>
      <c r="E469" s="493"/>
      <c r="F469" s="493"/>
      <c r="G469" s="493"/>
      <c r="H469" s="487"/>
      <c r="I469" s="444"/>
      <c r="J469" s="444"/>
      <c r="K469" s="494">
        <f t="shared" si="3"/>
        <v>0</v>
      </c>
      <c r="L469" s="506"/>
      <c r="M469" s="1"/>
      <c r="N469" s="1"/>
    </row>
    <row r="470" spans="1:14" ht="18.75" customHeight="1" x14ac:dyDescent="0.25">
      <c r="A470" s="505" t="s">
        <v>411</v>
      </c>
      <c r="B470" s="493"/>
      <c r="C470" s="493"/>
      <c r="D470" s="493"/>
      <c r="E470" s="493"/>
      <c r="F470" s="493"/>
      <c r="G470" s="493"/>
      <c r="H470" s="487"/>
      <c r="I470" s="444"/>
      <c r="J470" s="444"/>
      <c r="K470" s="494">
        <f t="shared" si="3"/>
        <v>0</v>
      </c>
      <c r="L470" s="506"/>
      <c r="M470" s="1"/>
      <c r="N470" s="1"/>
    </row>
    <row r="471" spans="1:14" ht="18.75" customHeight="1" x14ac:dyDescent="0.25">
      <c r="A471" s="505" t="s">
        <v>411</v>
      </c>
      <c r="B471" s="493"/>
      <c r="C471" s="493"/>
      <c r="D471" s="493"/>
      <c r="E471" s="493"/>
      <c r="F471" s="493"/>
      <c r="G471" s="493"/>
      <c r="H471" s="487"/>
      <c r="I471" s="444"/>
      <c r="J471" s="444"/>
      <c r="K471" s="494">
        <f t="shared" si="3"/>
        <v>0</v>
      </c>
      <c r="L471" s="506"/>
      <c r="M471" s="1"/>
      <c r="N471" s="1"/>
    </row>
    <row r="472" spans="1:14" ht="18.75" customHeight="1" x14ac:dyDescent="0.25">
      <c r="A472" s="505" t="s">
        <v>411</v>
      </c>
      <c r="B472" s="493"/>
      <c r="C472" s="493"/>
      <c r="D472" s="493"/>
      <c r="E472" s="493"/>
      <c r="F472" s="493"/>
      <c r="G472" s="493"/>
      <c r="H472" s="487"/>
      <c r="I472" s="444"/>
      <c r="J472" s="444"/>
      <c r="K472" s="494">
        <f t="shared" si="3"/>
        <v>0</v>
      </c>
      <c r="L472" s="506"/>
      <c r="M472" s="1"/>
      <c r="N472" s="1"/>
    </row>
    <row r="473" spans="1:14" ht="18.75" customHeight="1" x14ac:dyDescent="0.25">
      <c r="A473" s="505" t="s">
        <v>411</v>
      </c>
      <c r="B473" s="493"/>
      <c r="C473" s="493"/>
      <c r="D473" s="493"/>
      <c r="E473" s="493"/>
      <c r="F473" s="493"/>
      <c r="G473" s="493"/>
      <c r="H473" s="487"/>
      <c r="I473" s="444"/>
      <c r="J473" s="444"/>
      <c r="K473" s="494">
        <f t="shared" si="3"/>
        <v>0</v>
      </c>
      <c r="L473" s="506"/>
      <c r="M473" s="1"/>
      <c r="N473" s="1"/>
    </row>
    <row r="474" spans="1:14" ht="18.75" customHeight="1" x14ac:dyDescent="0.25">
      <c r="A474" s="505" t="s">
        <v>411</v>
      </c>
      <c r="B474" s="493"/>
      <c r="C474" s="493"/>
      <c r="D474" s="493"/>
      <c r="E474" s="493"/>
      <c r="F474" s="493"/>
      <c r="G474" s="493"/>
      <c r="H474" s="487"/>
      <c r="I474" s="444"/>
      <c r="J474" s="444"/>
      <c r="K474" s="494">
        <f t="shared" si="3"/>
        <v>0</v>
      </c>
      <c r="L474" s="506"/>
      <c r="M474" s="1"/>
      <c r="N474" s="1"/>
    </row>
    <row r="475" spans="1:14" ht="18.75" customHeight="1" x14ac:dyDescent="0.25">
      <c r="A475" s="505" t="s">
        <v>411</v>
      </c>
      <c r="B475" s="493"/>
      <c r="C475" s="493"/>
      <c r="D475" s="493"/>
      <c r="E475" s="493"/>
      <c r="F475" s="493"/>
      <c r="G475" s="493"/>
      <c r="H475" s="487"/>
      <c r="I475" s="444"/>
      <c r="J475" s="444"/>
      <c r="K475" s="494">
        <f t="shared" si="3"/>
        <v>0</v>
      </c>
      <c r="L475" s="506"/>
      <c r="M475" s="1"/>
      <c r="N475" s="1"/>
    </row>
    <row r="476" spans="1:14" ht="18.75" customHeight="1" x14ac:dyDescent="0.25">
      <c r="A476" s="505" t="s">
        <v>411</v>
      </c>
      <c r="B476" s="493"/>
      <c r="C476" s="493"/>
      <c r="D476" s="493"/>
      <c r="E476" s="493"/>
      <c r="F476" s="493"/>
      <c r="G476" s="493"/>
      <c r="H476" s="487"/>
      <c r="I476" s="444"/>
      <c r="J476" s="444"/>
      <c r="K476" s="494">
        <f t="shared" si="3"/>
        <v>0</v>
      </c>
      <c r="L476" s="506"/>
      <c r="M476" s="1"/>
      <c r="N476" s="1"/>
    </row>
    <row r="477" spans="1:14" ht="18.75" customHeight="1" x14ac:dyDescent="0.25">
      <c r="A477" s="505" t="s">
        <v>411</v>
      </c>
      <c r="B477" s="493"/>
      <c r="C477" s="493"/>
      <c r="D477" s="493"/>
      <c r="E477" s="493"/>
      <c r="F477" s="493"/>
      <c r="G477" s="493"/>
      <c r="H477" s="487"/>
      <c r="I477" s="444"/>
      <c r="J477" s="444"/>
      <c r="K477" s="494">
        <f t="shared" si="3"/>
        <v>0</v>
      </c>
      <c r="L477" s="506"/>
      <c r="M477" s="1"/>
      <c r="N477" s="1"/>
    </row>
    <row r="478" spans="1:14" ht="18.75" customHeight="1" x14ac:dyDescent="0.25">
      <c r="A478" s="505" t="s">
        <v>411</v>
      </c>
      <c r="B478" s="493"/>
      <c r="C478" s="493"/>
      <c r="D478" s="493"/>
      <c r="E478" s="493"/>
      <c r="F478" s="493"/>
      <c r="G478" s="493"/>
      <c r="H478" s="487"/>
      <c r="I478" s="444"/>
      <c r="J478" s="444"/>
      <c r="K478" s="494">
        <f t="shared" si="3"/>
        <v>0</v>
      </c>
      <c r="L478" s="506"/>
      <c r="M478" s="1"/>
      <c r="N478" s="1"/>
    </row>
    <row r="479" spans="1:14" ht="18.75" customHeight="1" x14ac:dyDescent="0.25">
      <c r="A479" s="505" t="s">
        <v>411</v>
      </c>
      <c r="B479" s="493"/>
      <c r="C479" s="493"/>
      <c r="D479" s="493"/>
      <c r="E479" s="493"/>
      <c r="F479" s="493"/>
      <c r="G479" s="493"/>
      <c r="H479" s="487"/>
      <c r="I479" s="444"/>
      <c r="J479" s="444"/>
      <c r="K479" s="494">
        <f t="shared" si="3"/>
        <v>0</v>
      </c>
      <c r="L479" s="506"/>
      <c r="M479" s="1"/>
      <c r="N479" s="1"/>
    </row>
    <row r="480" spans="1:14" ht="18.75" customHeight="1" x14ac:dyDescent="0.25">
      <c r="A480" s="505" t="s">
        <v>411</v>
      </c>
      <c r="B480" s="493"/>
      <c r="C480" s="493"/>
      <c r="D480" s="493"/>
      <c r="E480" s="493"/>
      <c r="F480" s="493"/>
      <c r="G480" s="493"/>
      <c r="H480" s="487"/>
      <c r="I480" s="444"/>
      <c r="J480" s="444"/>
      <c r="K480" s="494">
        <f t="shared" si="3"/>
        <v>0</v>
      </c>
      <c r="L480" s="506"/>
      <c r="M480" s="1"/>
      <c r="N480" s="1"/>
    </row>
    <row r="481" spans="1:15" ht="18.75" customHeight="1" x14ac:dyDescent="0.25">
      <c r="A481" s="505" t="s">
        <v>411</v>
      </c>
      <c r="B481" s="493"/>
      <c r="C481" s="493"/>
      <c r="D481" s="493"/>
      <c r="E481" s="493"/>
      <c r="F481" s="493"/>
      <c r="G481" s="493"/>
      <c r="H481" s="487"/>
      <c r="I481" s="444"/>
      <c r="J481" s="444"/>
      <c r="K481" s="494">
        <f t="shared" si="3"/>
        <v>0</v>
      </c>
      <c r="L481" s="506"/>
      <c r="M481" s="1"/>
      <c r="N481" s="1"/>
    </row>
    <row r="482" spans="1:15" ht="18.75" customHeight="1" x14ac:dyDescent="0.25">
      <c r="A482" s="505" t="s">
        <v>411</v>
      </c>
      <c r="B482" s="493"/>
      <c r="C482" s="493"/>
      <c r="D482" s="493"/>
      <c r="E482" s="493"/>
      <c r="F482" s="493"/>
      <c r="G482" s="493"/>
      <c r="H482" s="487"/>
      <c r="I482" s="444"/>
      <c r="J482" s="444"/>
      <c r="K482" s="494">
        <f t="shared" si="3"/>
        <v>0</v>
      </c>
      <c r="L482" s="506"/>
      <c r="M482" s="1"/>
      <c r="N482" s="1"/>
    </row>
    <row r="483" spans="1:15" ht="18.75" customHeight="1" x14ac:dyDescent="0.25">
      <c r="A483" s="505" t="s">
        <v>411</v>
      </c>
      <c r="B483" s="493"/>
      <c r="C483" s="493"/>
      <c r="D483" s="493"/>
      <c r="E483" s="493"/>
      <c r="F483" s="493"/>
      <c r="G483" s="493"/>
      <c r="H483" s="487"/>
      <c r="I483" s="444"/>
      <c r="J483" s="444"/>
      <c r="K483" s="494">
        <f t="shared" si="3"/>
        <v>0</v>
      </c>
      <c r="L483" s="506"/>
      <c r="M483" s="1"/>
      <c r="N483" s="1"/>
    </row>
    <row r="484" spans="1:15" ht="18.75" customHeight="1" x14ac:dyDescent="0.25">
      <c r="A484" s="505" t="s">
        <v>411</v>
      </c>
      <c r="B484" s="493"/>
      <c r="C484" s="493"/>
      <c r="D484" s="493"/>
      <c r="E484" s="493"/>
      <c r="F484" s="493"/>
      <c r="G484" s="493"/>
      <c r="H484" s="487"/>
      <c r="I484" s="444"/>
      <c r="J484" s="444"/>
      <c r="K484" s="494">
        <f t="shared" si="3"/>
        <v>0</v>
      </c>
      <c r="L484" s="506"/>
      <c r="M484" s="1"/>
      <c r="N484" s="1"/>
    </row>
    <row r="485" spans="1:15" ht="18.75" customHeight="1" x14ac:dyDescent="0.25">
      <c r="A485" s="505" t="s">
        <v>411</v>
      </c>
      <c r="B485" s="493"/>
      <c r="C485" s="493"/>
      <c r="D485" s="493"/>
      <c r="E485" s="493"/>
      <c r="F485" s="493"/>
      <c r="G485" s="493"/>
      <c r="H485" s="487"/>
      <c r="I485" s="444"/>
      <c r="J485" s="444"/>
      <c r="K485" s="494">
        <f t="shared" si="3"/>
        <v>0</v>
      </c>
      <c r="L485" s="506"/>
      <c r="M485" s="1"/>
      <c r="N485" s="1"/>
    </row>
    <row r="486" spans="1:15" ht="18.75" customHeight="1" x14ac:dyDescent="0.25">
      <c r="A486" s="505" t="s">
        <v>411</v>
      </c>
      <c r="B486" s="493"/>
      <c r="C486" s="493"/>
      <c r="D486" s="493"/>
      <c r="E486" s="493"/>
      <c r="F486" s="493"/>
      <c r="G486" s="493"/>
      <c r="H486" s="487"/>
      <c r="I486" s="444"/>
      <c r="J486" s="444"/>
      <c r="K486" s="494">
        <f t="shared" si="3"/>
        <v>0</v>
      </c>
      <c r="L486" s="506"/>
      <c r="M486" s="1"/>
      <c r="N486" s="1"/>
      <c r="O486" s="1"/>
    </row>
    <row r="487" spans="1:15" ht="18.75" customHeight="1" x14ac:dyDescent="0.25">
      <c r="A487" s="505" t="s">
        <v>411</v>
      </c>
      <c r="B487" s="493"/>
      <c r="C487" s="493"/>
      <c r="D487" s="493"/>
      <c r="E487" s="493"/>
      <c r="F487" s="493"/>
      <c r="G487" s="493"/>
      <c r="H487" s="487"/>
      <c r="I487" s="444"/>
      <c r="J487" s="444"/>
      <c r="K487" s="494">
        <f t="shared" si="3"/>
        <v>0</v>
      </c>
      <c r="L487" s="506"/>
      <c r="M487" s="1"/>
      <c r="N487" s="1"/>
      <c r="O487" s="1"/>
    </row>
    <row r="488" spans="1:15" ht="18.75" customHeight="1" x14ac:dyDescent="0.25">
      <c r="A488" s="505" t="s">
        <v>411</v>
      </c>
      <c r="B488" s="493"/>
      <c r="C488" s="493"/>
      <c r="D488" s="493"/>
      <c r="E488" s="493"/>
      <c r="F488" s="493"/>
      <c r="G488" s="493"/>
      <c r="H488" s="487"/>
      <c r="I488" s="444"/>
      <c r="J488" s="444"/>
      <c r="K488" s="494">
        <f t="shared" si="3"/>
        <v>0</v>
      </c>
      <c r="L488" s="506"/>
      <c r="M488" s="1"/>
      <c r="N488" s="1"/>
      <c r="O488" s="1"/>
    </row>
    <row r="489" spans="1:15" ht="18.75" customHeight="1" x14ac:dyDescent="0.25">
      <c r="A489" s="505" t="s">
        <v>411</v>
      </c>
      <c r="B489" s="493"/>
      <c r="C489" s="493"/>
      <c r="D489" s="493"/>
      <c r="E489" s="493"/>
      <c r="F489" s="493"/>
      <c r="G489" s="493"/>
      <c r="H489" s="487"/>
      <c r="I489" s="444"/>
      <c r="J489" s="444"/>
      <c r="K489" s="494">
        <f t="shared" si="3"/>
        <v>0</v>
      </c>
      <c r="L489" s="506"/>
      <c r="M489" s="1"/>
      <c r="N489" s="1"/>
      <c r="O489" s="1"/>
    </row>
    <row r="490" spans="1:15" ht="18.75" customHeight="1" x14ac:dyDescent="0.25">
      <c r="A490" s="505" t="s">
        <v>411</v>
      </c>
      <c r="B490" s="493"/>
      <c r="C490" s="493"/>
      <c r="D490" s="493"/>
      <c r="E490" s="493"/>
      <c r="F490" s="493"/>
      <c r="G490" s="493"/>
      <c r="H490" s="487"/>
      <c r="I490" s="444"/>
      <c r="J490" s="444"/>
      <c r="K490" s="494">
        <f t="shared" si="3"/>
        <v>0</v>
      </c>
      <c r="L490" s="506"/>
      <c r="M490" s="1"/>
      <c r="N490" s="1"/>
      <c r="O490" s="1"/>
    </row>
    <row r="491" spans="1:15" ht="18.75" customHeight="1" x14ac:dyDescent="0.25">
      <c r="A491" s="505" t="s">
        <v>411</v>
      </c>
      <c r="B491" s="493"/>
      <c r="C491" s="493"/>
      <c r="D491" s="493"/>
      <c r="E491" s="493"/>
      <c r="F491" s="493"/>
      <c r="G491" s="493"/>
      <c r="H491" s="487"/>
      <c r="I491" s="444"/>
      <c r="J491" s="444"/>
      <c r="K491" s="494">
        <f t="shared" si="3"/>
        <v>0</v>
      </c>
      <c r="L491" s="506"/>
      <c r="M491" s="1"/>
      <c r="N491" s="1"/>
      <c r="O491" s="1"/>
    </row>
    <row r="492" spans="1:15" ht="18.75" customHeight="1" x14ac:dyDescent="0.25">
      <c r="A492" s="505" t="s">
        <v>411</v>
      </c>
      <c r="B492" s="493"/>
      <c r="C492" s="493"/>
      <c r="D492" s="493"/>
      <c r="E492" s="493"/>
      <c r="F492" s="493"/>
      <c r="G492" s="493"/>
      <c r="H492" s="487"/>
      <c r="I492" s="444"/>
      <c r="J492" s="444"/>
      <c r="K492" s="494">
        <f t="shared" si="3"/>
        <v>0</v>
      </c>
      <c r="L492" s="506"/>
      <c r="M492" s="1"/>
      <c r="N492" s="1"/>
      <c r="O492" s="1"/>
    </row>
    <row r="493" spans="1:15" ht="18.75" customHeight="1" thickBot="1" x14ac:dyDescent="0.3">
      <c r="A493" s="507" t="s">
        <v>282</v>
      </c>
      <c r="B493" s="508"/>
      <c r="C493" s="508"/>
      <c r="D493" s="508"/>
      <c r="E493" s="508"/>
      <c r="F493" s="508"/>
      <c r="G493" s="508"/>
      <c r="H493" s="508"/>
      <c r="I493" s="508"/>
      <c r="J493" s="508"/>
      <c r="K493" s="509">
        <f>SUM(K460:L492)</f>
        <v>0</v>
      </c>
      <c r="L493" s="510"/>
      <c r="M493" s="1"/>
      <c r="N493" s="1"/>
      <c r="O493" s="1"/>
    </row>
    <row r="494" spans="1:15" ht="18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8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8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8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8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8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8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8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8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8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8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8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8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8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8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8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8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8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8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8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8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8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8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8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8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8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8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8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8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8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8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8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8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8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8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8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8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8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8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8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8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8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8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8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8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8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8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8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8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8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8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8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8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8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8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8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8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8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8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8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8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8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8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8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8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8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8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8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8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8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8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8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8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8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8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8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8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8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8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8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8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8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8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8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8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8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8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8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8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8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8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8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8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8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8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8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8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8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8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8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8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8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8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8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8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8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8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8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8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8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8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8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8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8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8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8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8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8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8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8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8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8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8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8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8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8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8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8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8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8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8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8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8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8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8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8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 x14ac:dyDescent="0.25"/>
    <row r="631" spans="1:15" ht="15.75" customHeight="1" x14ac:dyDescent="0.25"/>
    <row r="632" spans="1:15" ht="15.75" customHeight="1" x14ac:dyDescent="0.25"/>
    <row r="633" spans="1:15" ht="15.75" customHeight="1" x14ac:dyDescent="0.25"/>
    <row r="634" spans="1:15" ht="15.75" customHeight="1" x14ac:dyDescent="0.25"/>
    <row r="635" spans="1:15" ht="15.75" customHeight="1" x14ac:dyDescent="0.25"/>
    <row r="636" spans="1:15" ht="15.75" customHeight="1" x14ac:dyDescent="0.25"/>
    <row r="637" spans="1:15" ht="15.75" customHeight="1" x14ac:dyDescent="0.25"/>
    <row r="638" spans="1:15" ht="15.75" customHeight="1" x14ac:dyDescent="0.25"/>
    <row r="639" spans="1:15" ht="15.75" customHeight="1" x14ac:dyDescent="0.25"/>
    <row r="640" spans="1:15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</sheetData>
  <mergeCells count="824">
    <mergeCell ref="I487:J487"/>
    <mergeCell ref="I488:J488"/>
    <mergeCell ref="I489:J489"/>
    <mergeCell ref="I490:J490"/>
    <mergeCell ref="I491:J491"/>
    <mergeCell ref="I492:J492"/>
    <mergeCell ref="A493:J493"/>
    <mergeCell ref="K440:L440"/>
    <mergeCell ref="K441:L441"/>
    <mergeCell ref="K442:L442"/>
    <mergeCell ref="K443:L443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A487:G487"/>
    <mergeCell ref="A488:G488"/>
    <mergeCell ref="A489:G489"/>
    <mergeCell ref="A490:G490"/>
    <mergeCell ref="A491:G491"/>
    <mergeCell ref="A492:G492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A478:G478"/>
    <mergeCell ref="A479:G479"/>
    <mergeCell ref="A480:G480"/>
    <mergeCell ref="A481:G481"/>
    <mergeCell ref="A482:G482"/>
    <mergeCell ref="A483:G483"/>
    <mergeCell ref="A484:G484"/>
    <mergeCell ref="A485:G485"/>
    <mergeCell ref="A486:G486"/>
    <mergeCell ref="A469:G469"/>
    <mergeCell ref="A470:G470"/>
    <mergeCell ref="A471:G471"/>
    <mergeCell ref="A472:G472"/>
    <mergeCell ref="A473:G473"/>
    <mergeCell ref="A474:G474"/>
    <mergeCell ref="A475:G475"/>
    <mergeCell ref="A476:G476"/>
    <mergeCell ref="A477:G477"/>
    <mergeCell ref="A460:G460"/>
    <mergeCell ref="A461:G461"/>
    <mergeCell ref="A462:G462"/>
    <mergeCell ref="A463:G463"/>
    <mergeCell ref="A464:G464"/>
    <mergeCell ref="A465:G465"/>
    <mergeCell ref="A466:G466"/>
    <mergeCell ref="A467:G467"/>
    <mergeCell ref="A468:G468"/>
    <mergeCell ref="A449:J451"/>
    <mergeCell ref="K449:L451"/>
    <mergeCell ref="A452:J453"/>
    <mergeCell ref="K452:L453"/>
    <mergeCell ref="A454:J455"/>
    <mergeCell ref="A456:L456"/>
    <mergeCell ref="A457:L458"/>
    <mergeCell ref="A459:G459"/>
    <mergeCell ref="I459:J459"/>
    <mergeCell ref="A440:J440"/>
    <mergeCell ref="A441:J441"/>
    <mergeCell ref="A442:J442"/>
    <mergeCell ref="A443:J443"/>
    <mergeCell ref="K439:L439"/>
    <mergeCell ref="K445:L446"/>
    <mergeCell ref="K447:L448"/>
    <mergeCell ref="A447:J448"/>
    <mergeCell ref="K433:L434"/>
    <mergeCell ref="K435:L435"/>
    <mergeCell ref="A433:J434"/>
    <mergeCell ref="A435:J435"/>
    <mergeCell ref="A436:J436"/>
    <mergeCell ref="K436:L436"/>
    <mergeCell ref="A437:J438"/>
    <mergeCell ref="A439:J439"/>
    <mergeCell ref="K437:L438"/>
    <mergeCell ref="A423:J423"/>
    <mergeCell ref="A424:J424"/>
    <mergeCell ref="A425:J425"/>
    <mergeCell ref="A426:J426"/>
    <mergeCell ref="A427:J427"/>
    <mergeCell ref="A428:J428"/>
    <mergeCell ref="A429:J429"/>
    <mergeCell ref="A430:J430"/>
    <mergeCell ref="A431:J431"/>
    <mergeCell ref="A415:J415"/>
    <mergeCell ref="A414:J414"/>
    <mergeCell ref="A416:J416"/>
    <mergeCell ref="A417:J417"/>
    <mergeCell ref="A418:J418"/>
    <mergeCell ref="A419:J419"/>
    <mergeCell ref="A420:J420"/>
    <mergeCell ref="A421:J421"/>
    <mergeCell ref="A422:J422"/>
    <mergeCell ref="A406:J406"/>
    <mergeCell ref="A407:J407"/>
    <mergeCell ref="A408:J408"/>
    <mergeCell ref="A409:J409"/>
    <mergeCell ref="A410:J410"/>
    <mergeCell ref="A411:J411"/>
    <mergeCell ref="A412:J412"/>
    <mergeCell ref="A413:J413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195:L195"/>
    <mergeCell ref="K196:L196"/>
    <mergeCell ref="K197:L197"/>
    <mergeCell ref="K198:L198"/>
    <mergeCell ref="A200:J201"/>
    <mergeCell ref="K200:L201"/>
    <mergeCell ref="K202:L202"/>
    <mergeCell ref="K203:L203"/>
    <mergeCell ref="A405:J405"/>
    <mergeCell ref="A404:J404"/>
    <mergeCell ref="K404:L404"/>
    <mergeCell ref="K405:L405"/>
    <mergeCell ref="D8:E8"/>
    <mergeCell ref="H8:L8"/>
    <mergeCell ref="A1:L3"/>
    <mergeCell ref="A4:L4"/>
    <mergeCell ref="A5:L5"/>
    <mergeCell ref="A6:G6"/>
    <mergeCell ref="H6:L6"/>
    <mergeCell ref="A7:L7"/>
    <mergeCell ref="A8:C8"/>
    <mergeCell ref="A15:L16"/>
    <mergeCell ref="A17:B17"/>
    <mergeCell ref="C17:L17"/>
    <mergeCell ref="C18:L18"/>
    <mergeCell ref="C19:L19"/>
    <mergeCell ref="A18:B18"/>
    <mergeCell ref="A19:B19"/>
    <mergeCell ref="A9:E9"/>
    <mergeCell ref="H9:L9"/>
    <mergeCell ref="A10:L10"/>
    <mergeCell ref="A12:L12"/>
    <mergeCell ref="A11:G11"/>
    <mergeCell ref="H11:L11"/>
    <mergeCell ref="A13:C13"/>
    <mergeCell ref="D13:E13"/>
    <mergeCell ref="F13:G13"/>
    <mergeCell ref="H13:L13"/>
    <mergeCell ref="A14:F14"/>
    <mergeCell ref="G14:L14"/>
    <mergeCell ref="C20:L20"/>
    <mergeCell ref="A26:B26"/>
    <mergeCell ref="A27:B27"/>
    <mergeCell ref="C27:L27"/>
    <mergeCell ref="C26:L26"/>
    <mergeCell ref="C25:L25"/>
    <mergeCell ref="C21:L21"/>
    <mergeCell ref="A22:B22"/>
    <mergeCell ref="A23:B23"/>
    <mergeCell ref="A24:B24"/>
    <mergeCell ref="A25:B25"/>
    <mergeCell ref="A20:B20"/>
    <mergeCell ref="A21:B21"/>
    <mergeCell ref="A75:J76"/>
    <mergeCell ref="K75:L76"/>
    <mergeCell ref="A77:J78"/>
    <mergeCell ref="A62:A63"/>
    <mergeCell ref="B62:J63"/>
    <mergeCell ref="C22:L22"/>
    <mergeCell ref="C23:L23"/>
    <mergeCell ref="C24:L24"/>
    <mergeCell ref="A34:L35"/>
    <mergeCell ref="A28:B28"/>
    <mergeCell ref="C28:L28"/>
    <mergeCell ref="A30:L31"/>
    <mergeCell ref="A32:L32"/>
    <mergeCell ref="A36:L36"/>
    <mergeCell ref="A38:L39"/>
    <mergeCell ref="A40:L40"/>
    <mergeCell ref="A42:L43"/>
    <mergeCell ref="A44:L44"/>
    <mergeCell ref="A96:B96"/>
    <mergeCell ref="A97:B97"/>
    <mergeCell ref="A98:B98"/>
    <mergeCell ref="A92:L93"/>
    <mergeCell ref="A94:B95"/>
    <mergeCell ref="C94:E95"/>
    <mergeCell ref="F94:G95"/>
    <mergeCell ref="H94:H95"/>
    <mergeCell ref="I94:I95"/>
    <mergeCell ref="J94:J95"/>
    <mergeCell ref="K94:K95"/>
    <mergeCell ref="L94:L95"/>
    <mergeCell ref="C96:E96"/>
    <mergeCell ref="F96:G96"/>
    <mergeCell ref="C97:E97"/>
    <mergeCell ref="F97:G97"/>
    <mergeCell ref="C98:E98"/>
    <mergeCell ref="F98:G98"/>
    <mergeCell ref="A99:B99"/>
    <mergeCell ref="A100:B100"/>
    <mergeCell ref="A102:B102"/>
    <mergeCell ref="A101:B101"/>
    <mergeCell ref="A104:B104"/>
    <mergeCell ref="A103:B103"/>
    <mergeCell ref="A105:B105"/>
    <mergeCell ref="A107:B107"/>
    <mergeCell ref="A106:B106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1:B121"/>
    <mergeCell ref="A120:B120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K148:L148"/>
    <mergeCell ref="K149:L149"/>
    <mergeCell ref="K150:L150"/>
    <mergeCell ref="K151:L151"/>
    <mergeCell ref="K152:L152"/>
    <mergeCell ref="K153:L153"/>
    <mergeCell ref="K146:L147"/>
    <mergeCell ref="A135:B135"/>
    <mergeCell ref="A136:B136"/>
    <mergeCell ref="A137:B137"/>
    <mergeCell ref="K141:L141"/>
    <mergeCell ref="K142:L142"/>
    <mergeCell ref="K143:L143"/>
    <mergeCell ref="K144:L144"/>
    <mergeCell ref="A138:F138"/>
    <mergeCell ref="G138:L138"/>
    <mergeCell ref="A140:J140"/>
    <mergeCell ref="K140:L140"/>
    <mergeCell ref="A141:J141"/>
    <mergeCell ref="A142:J142"/>
    <mergeCell ref="A143:J143"/>
    <mergeCell ref="A144:J144"/>
    <mergeCell ref="K154:L154"/>
    <mergeCell ref="K155:L155"/>
    <mergeCell ref="K156:L156"/>
    <mergeCell ref="K157:L157"/>
    <mergeCell ref="K158:L158"/>
    <mergeCell ref="K160:L160"/>
    <mergeCell ref="K159:L159"/>
    <mergeCell ref="K161:L161"/>
    <mergeCell ref="K162:L162"/>
    <mergeCell ref="K231:L231"/>
    <mergeCell ref="A146:J147"/>
    <mergeCell ref="K181:L181"/>
    <mergeCell ref="K182:L182"/>
    <mergeCell ref="K183:L183"/>
    <mergeCell ref="K184:L184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A259:J260"/>
    <mergeCell ref="K259:L260"/>
    <mergeCell ref="A261:J262"/>
    <mergeCell ref="K261:L262"/>
    <mergeCell ref="A263:J265"/>
    <mergeCell ref="K263:L265"/>
    <mergeCell ref="A266:J267"/>
    <mergeCell ref="K266:L267"/>
    <mergeCell ref="A251:J252"/>
    <mergeCell ref="K251:L252"/>
    <mergeCell ref="K253:L253"/>
    <mergeCell ref="K254:L254"/>
    <mergeCell ref="K255:L255"/>
    <mergeCell ref="K256:L256"/>
    <mergeCell ref="K257:L257"/>
    <mergeCell ref="G314:K315"/>
    <mergeCell ref="G316:G317"/>
    <mergeCell ref="A284:B284"/>
    <mergeCell ref="D284:J284"/>
    <mergeCell ref="A285:B285"/>
    <mergeCell ref="D285:J285"/>
    <mergeCell ref="A286:B286"/>
    <mergeCell ref="D286:J286"/>
    <mergeCell ref="A277:B277"/>
    <mergeCell ref="D277:J277"/>
    <mergeCell ref="A278:B278"/>
    <mergeCell ref="D278:J278"/>
    <mergeCell ref="A279:B279"/>
    <mergeCell ref="D279:J279"/>
    <mergeCell ref="A280:B280"/>
    <mergeCell ref="D280:J280"/>
    <mergeCell ref="A281:B281"/>
    <mergeCell ref="D281:J281"/>
    <mergeCell ref="A282:B282"/>
    <mergeCell ref="D282:J282"/>
    <mergeCell ref="A283:B283"/>
    <mergeCell ref="D283:J283"/>
    <mergeCell ref="B305:L305"/>
    <mergeCell ref="B306:L306"/>
    <mergeCell ref="A308:L308"/>
    <mergeCell ref="A309:L309"/>
    <mergeCell ref="A310:L311"/>
    <mergeCell ref="B312:E312"/>
    <mergeCell ref="G312:K312"/>
    <mergeCell ref="H313:I313"/>
    <mergeCell ref="J313:K313"/>
    <mergeCell ref="K350:L350"/>
    <mergeCell ref="K351:L351"/>
    <mergeCell ref="K352:L352"/>
    <mergeCell ref="K353:L353"/>
    <mergeCell ref="K354:L354"/>
    <mergeCell ref="G330:K331"/>
    <mergeCell ref="G332:G333"/>
    <mergeCell ref="H332:I332"/>
    <mergeCell ref="J332:K332"/>
    <mergeCell ref="H333:I333"/>
    <mergeCell ref="J333:K333"/>
    <mergeCell ref="G334:I334"/>
    <mergeCell ref="J334:K334"/>
    <mergeCell ref="G336:J336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80:L380"/>
    <mergeCell ref="K381:L381"/>
    <mergeCell ref="K382:L382"/>
    <mergeCell ref="A375:G375"/>
    <mergeCell ref="I375:J375"/>
    <mergeCell ref="A376:G376"/>
    <mergeCell ref="I376:J376"/>
    <mergeCell ref="A377:G377"/>
    <mergeCell ref="I377:J377"/>
    <mergeCell ref="K377:L377"/>
    <mergeCell ref="A378:G378"/>
    <mergeCell ref="I378:J378"/>
    <mergeCell ref="K378:L378"/>
    <mergeCell ref="A379:G379"/>
    <mergeCell ref="I379:J379"/>
    <mergeCell ref="K379:L379"/>
    <mergeCell ref="A380:G380"/>
    <mergeCell ref="I380:J380"/>
    <mergeCell ref="A389:C389"/>
    <mergeCell ref="D389:E389"/>
    <mergeCell ref="F389:H389"/>
    <mergeCell ref="I389:K389"/>
    <mergeCell ref="A390:C390"/>
    <mergeCell ref="D390:E390"/>
    <mergeCell ref="F390:H390"/>
    <mergeCell ref="I390:K390"/>
    <mergeCell ref="A391:C391"/>
    <mergeCell ref="D391:E391"/>
    <mergeCell ref="F391:H391"/>
    <mergeCell ref="I391:K391"/>
    <mergeCell ref="K459:L459"/>
    <mergeCell ref="A395:C395"/>
    <mergeCell ref="D395:E395"/>
    <mergeCell ref="F395:H395"/>
    <mergeCell ref="I395:K395"/>
    <mergeCell ref="A396:C396"/>
    <mergeCell ref="D396:E396"/>
    <mergeCell ref="F396:H396"/>
    <mergeCell ref="I396:K396"/>
    <mergeCell ref="A397:C397"/>
    <mergeCell ref="D397:E397"/>
    <mergeCell ref="F397:H397"/>
    <mergeCell ref="I397:K397"/>
    <mergeCell ref="A398:C398"/>
    <mergeCell ref="D398:E398"/>
    <mergeCell ref="F398:H398"/>
    <mergeCell ref="K406:L406"/>
    <mergeCell ref="K407:L407"/>
    <mergeCell ref="K409:L409"/>
    <mergeCell ref="K408:L408"/>
    <mergeCell ref="K410:L410"/>
    <mergeCell ref="K411:L411"/>
    <mergeCell ref="K412:L412"/>
    <mergeCell ref="K413:L413"/>
    <mergeCell ref="K470:L470"/>
    <mergeCell ref="K471:L471"/>
    <mergeCell ref="K466:L466"/>
    <mergeCell ref="K467:L467"/>
    <mergeCell ref="K468:L468"/>
    <mergeCell ref="K463:L463"/>
    <mergeCell ref="K464:L464"/>
    <mergeCell ref="K465:L465"/>
    <mergeCell ref="K460:L460"/>
    <mergeCell ref="K461:L461"/>
    <mergeCell ref="K462:L462"/>
    <mergeCell ref="K454:L455"/>
    <mergeCell ref="K493:L493"/>
    <mergeCell ref="K490:L490"/>
    <mergeCell ref="K491:L491"/>
    <mergeCell ref="K492:L492"/>
    <mergeCell ref="K487:L487"/>
    <mergeCell ref="K488:L488"/>
    <mergeCell ref="K489:L489"/>
    <mergeCell ref="K484:L484"/>
    <mergeCell ref="K485:L485"/>
    <mergeCell ref="K486:L486"/>
    <mergeCell ref="K481:L481"/>
    <mergeCell ref="K482:L482"/>
    <mergeCell ref="K483:L483"/>
    <mergeCell ref="K478:L478"/>
    <mergeCell ref="K479:L479"/>
    <mergeCell ref="K480:L480"/>
    <mergeCell ref="K475:L475"/>
    <mergeCell ref="K476:L476"/>
    <mergeCell ref="K477:L477"/>
    <mergeCell ref="K472:L472"/>
    <mergeCell ref="K473:L473"/>
    <mergeCell ref="K474:L474"/>
    <mergeCell ref="K469:L469"/>
    <mergeCell ref="C99:E99"/>
    <mergeCell ref="F99:G99"/>
    <mergeCell ref="C100:E100"/>
    <mergeCell ref="F100:G100"/>
    <mergeCell ref="C101:E101"/>
    <mergeCell ref="F101:G101"/>
    <mergeCell ref="C102:E102"/>
    <mergeCell ref="F102:G102"/>
    <mergeCell ref="C103:E103"/>
    <mergeCell ref="F103:G103"/>
    <mergeCell ref="C104:E104"/>
    <mergeCell ref="F104:G104"/>
    <mergeCell ref="C105:E105"/>
    <mergeCell ref="F105:G105"/>
    <mergeCell ref="C106:E106"/>
    <mergeCell ref="F106:G106"/>
    <mergeCell ref="C107:E107"/>
    <mergeCell ref="F107:G107"/>
    <mergeCell ref="C108:E108"/>
    <mergeCell ref="F108:G108"/>
    <mergeCell ref="C109:E109"/>
    <mergeCell ref="F109:G109"/>
    <mergeCell ref="C110:E110"/>
    <mergeCell ref="F110:G110"/>
    <mergeCell ref="C111:E111"/>
    <mergeCell ref="F111:G111"/>
    <mergeCell ref="C112:E112"/>
    <mergeCell ref="F112:G112"/>
    <mergeCell ref="C113:E113"/>
    <mergeCell ref="F113:G113"/>
    <mergeCell ref="C114:E114"/>
    <mergeCell ref="F114:G114"/>
    <mergeCell ref="C115:E115"/>
    <mergeCell ref="F115:G115"/>
    <mergeCell ref="C116:E116"/>
    <mergeCell ref="F116:G116"/>
    <mergeCell ref="C117:E117"/>
    <mergeCell ref="F117:G117"/>
    <mergeCell ref="C118:E118"/>
    <mergeCell ref="F118:G118"/>
    <mergeCell ref="C119:E119"/>
    <mergeCell ref="F119:G119"/>
    <mergeCell ref="C120:E120"/>
    <mergeCell ref="F120:G120"/>
    <mergeCell ref="C121:E121"/>
    <mergeCell ref="F121:G121"/>
    <mergeCell ref="C122:E122"/>
    <mergeCell ref="F122:G122"/>
    <mergeCell ref="C123:E123"/>
    <mergeCell ref="F123:G123"/>
    <mergeCell ref="C124:E124"/>
    <mergeCell ref="F124:G124"/>
    <mergeCell ref="C125:E125"/>
    <mergeCell ref="F125:G125"/>
    <mergeCell ref="C126:E126"/>
    <mergeCell ref="F126:G126"/>
    <mergeCell ref="C127:E127"/>
    <mergeCell ref="F127:G127"/>
    <mergeCell ref="C128:E128"/>
    <mergeCell ref="F128:G128"/>
    <mergeCell ref="C129:E129"/>
    <mergeCell ref="F129:G129"/>
    <mergeCell ref="C130:E130"/>
    <mergeCell ref="F130:G130"/>
    <mergeCell ref="C131:E131"/>
    <mergeCell ref="F131:G131"/>
    <mergeCell ref="C132:E132"/>
    <mergeCell ref="F132:G132"/>
    <mergeCell ref="C133:E133"/>
    <mergeCell ref="F133:G133"/>
    <mergeCell ref="C134:E134"/>
    <mergeCell ref="F134:G134"/>
    <mergeCell ref="C135:E135"/>
    <mergeCell ref="F135:G135"/>
    <mergeCell ref="C136:E136"/>
    <mergeCell ref="F136:G136"/>
    <mergeCell ref="C137:E137"/>
    <mergeCell ref="F137:G137"/>
    <mergeCell ref="A46:L46"/>
    <mergeCell ref="A47:L48"/>
    <mergeCell ref="A49:J49"/>
    <mergeCell ref="K49:L49"/>
    <mergeCell ref="A50:A53"/>
    <mergeCell ref="B50:J51"/>
    <mergeCell ref="K50:L67"/>
    <mergeCell ref="B52:J53"/>
    <mergeCell ref="A54:A55"/>
    <mergeCell ref="B54:J55"/>
    <mergeCell ref="A56:A57"/>
    <mergeCell ref="B56:J57"/>
    <mergeCell ref="A58:A59"/>
    <mergeCell ref="B58:J59"/>
    <mergeCell ref="A60:A61"/>
    <mergeCell ref="B60:J61"/>
    <mergeCell ref="A64:A65"/>
    <mergeCell ref="B64:J65"/>
    <mergeCell ref="A66:A67"/>
    <mergeCell ref="B66:J67"/>
    <mergeCell ref="A69:L70"/>
    <mergeCell ref="A71:J72"/>
    <mergeCell ref="K71:L72"/>
    <mergeCell ref="A73:J74"/>
    <mergeCell ref="K73:L74"/>
    <mergeCell ref="K77:L78"/>
    <mergeCell ref="A79:J80"/>
    <mergeCell ref="K79:L80"/>
    <mergeCell ref="A81:J82"/>
    <mergeCell ref="K81:L82"/>
    <mergeCell ref="A84:L85"/>
    <mergeCell ref="A87:J88"/>
    <mergeCell ref="K87:L88"/>
    <mergeCell ref="A89:J90"/>
    <mergeCell ref="K89:L90"/>
    <mergeCell ref="K185:L185"/>
    <mergeCell ref="K186:L186"/>
    <mergeCell ref="K187:L187"/>
    <mergeCell ref="K188:L188"/>
    <mergeCell ref="K189:L189"/>
    <mergeCell ref="K190:L190"/>
    <mergeCell ref="A192:J193"/>
    <mergeCell ref="K192:L193"/>
    <mergeCell ref="K194:L194"/>
    <mergeCell ref="K204:L204"/>
    <mergeCell ref="K205:L205"/>
    <mergeCell ref="K206:L206"/>
    <mergeCell ref="A208:J209"/>
    <mergeCell ref="K208:L209"/>
    <mergeCell ref="K210:L210"/>
    <mergeCell ref="K211:L211"/>
    <mergeCell ref="K212:L212"/>
    <mergeCell ref="K213:L213"/>
    <mergeCell ref="K214:L214"/>
    <mergeCell ref="K215:L215"/>
    <mergeCell ref="K216:L216"/>
    <mergeCell ref="A217:J217"/>
    <mergeCell ref="K217:L217"/>
    <mergeCell ref="K218:L218"/>
    <mergeCell ref="K219:L219"/>
    <mergeCell ref="K220:L220"/>
    <mergeCell ref="K221:L221"/>
    <mergeCell ref="K241:L241"/>
    <mergeCell ref="K242:L242"/>
    <mergeCell ref="K243:L243"/>
    <mergeCell ref="K244:L244"/>
    <mergeCell ref="K245:L245"/>
    <mergeCell ref="A247:J248"/>
    <mergeCell ref="K247:L248"/>
    <mergeCell ref="A249:J249"/>
    <mergeCell ref="K249:L249"/>
    <mergeCell ref="A268:J269"/>
    <mergeCell ref="K268:L269"/>
    <mergeCell ref="A271:L272"/>
    <mergeCell ref="A273:B275"/>
    <mergeCell ref="C273:C275"/>
    <mergeCell ref="D273:J275"/>
    <mergeCell ref="K273:L273"/>
    <mergeCell ref="K274:L274"/>
    <mergeCell ref="A276:B276"/>
    <mergeCell ref="D276:J276"/>
    <mergeCell ref="A287:B287"/>
    <mergeCell ref="D287:J287"/>
    <mergeCell ref="A288:B288"/>
    <mergeCell ref="D288:J288"/>
    <mergeCell ref="A290:L291"/>
    <mergeCell ref="A292:L292"/>
    <mergeCell ref="B293:L293"/>
    <mergeCell ref="B294:L294"/>
    <mergeCell ref="B295:L295"/>
    <mergeCell ref="B296:L296"/>
    <mergeCell ref="B297:L297"/>
    <mergeCell ref="B298:L298"/>
    <mergeCell ref="B299:L299"/>
    <mergeCell ref="B300:L300"/>
    <mergeCell ref="B301:L301"/>
    <mergeCell ref="B302:L302"/>
    <mergeCell ref="B303:L303"/>
    <mergeCell ref="B304:L304"/>
    <mergeCell ref="H316:I316"/>
    <mergeCell ref="J316:K316"/>
    <mergeCell ref="H317:I317"/>
    <mergeCell ref="J317:K317"/>
    <mergeCell ref="G318:K319"/>
    <mergeCell ref="G320:G321"/>
    <mergeCell ref="H320:I320"/>
    <mergeCell ref="J320:K320"/>
    <mergeCell ref="H321:I321"/>
    <mergeCell ref="J321:K321"/>
    <mergeCell ref="G322:K323"/>
    <mergeCell ref="G324:G325"/>
    <mergeCell ref="H324:I324"/>
    <mergeCell ref="J324:K324"/>
    <mergeCell ref="H325:I325"/>
    <mergeCell ref="J325:K325"/>
    <mergeCell ref="G326:K327"/>
    <mergeCell ref="G328:G329"/>
    <mergeCell ref="H328:I328"/>
    <mergeCell ref="J328:K328"/>
    <mergeCell ref="H329:I329"/>
    <mergeCell ref="J329:K329"/>
    <mergeCell ref="G337:H337"/>
    <mergeCell ref="I337:J337"/>
    <mergeCell ref="G338:H338"/>
    <mergeCell ref="I338:J338"/>
    <mergeCell ref="G339:H339"/>
    <mergeCell ref="I339:J339"/>
    <mergeCell ref="G340:H340"/>
    <mergeCell ref="I340:J340"/>
    <mergeCell ref="G341:H341"/>
    <mergeCell ref="I341:J341"/>
    <mergeCell ref="G342:H342"/>
    <mergeCell ref="I342:J342"/>
    <mergeCell ref="G343:H343"/>
    <mergeCell ref="I343:J343"/>
    <mergeCell ref="B344:D344"/>
    <mergeCell ref="A346:L347"/>
    <mergeCell ref="A348:G348"/>
    <mergeCell ref="I348:J348"/>
    <mergeCell ref="A349:G349"/>
    <mergeCell ref="I349:J349"/>
    <mergeCell ref="K348:L348"/>
    <mergeCell ref="K349:L349"/>
    <mergeCell ref="A350:G350"/>
    <mergeCell ref="I350:J350"/>
    <mergeCell ref="A351:G351"/>
    <mergeCell ref="I351:J351"/>
    <mergeCell ref="A352:G352"/>
    <mergeCell ref="I352:J352"/>
    <mergeCell ref="A353:G353"/>
    <mergeCell ref="I353:J353"/>
    <mergeCell ref="A354:G354"/>
    <mergeCell ref="I354:J354"/>
    <mergeCell ref="A355:G355"/>
    <mergeCell ref="I355:J355"/>
    <mergeCell ref="A356:G356"/>
    <mergeCell ref="I356:J356"/>
    <mergeCell ref="A357:G357"/>
    <mergeCell ref="I357:J357"/>
    <mergeCell ref="A358:G358"/>
    <mergeCell ref="I358:J358"/>
    <mergeCell ref="A359:G359"/>
    <mergeCell ref="I359:J359"/>
    <mergeCell ref="A360:G360"/>
    <mergeCell ref="I360:J360"/>
    <mergeCell ref="A361:G361"/>
    <mergeCell ref="I361:J361"/>
    <mergeCell ref="A362:G362"/>
    <mergeCell ref="I362:J362"/>
    <mergeCell ref="A363:G363"/>
    <mergeCell ref="I363:J363"/>
    <mergeCell ref="A364:G364"/>
    <mergeCell ref="I364:J364"/>
    <mergeCell ref="A365:G365"/>
    <mergeCell ref="I365:J365"/>
    <mergeCell ref="A366:G366"/>
    <mergeCell ref="I366:J366"/>
    <mergeCell ref="A367:G367"/>
    <mergeCell ref="I367:J367"/>
    <mergeCell ref="A368:G368"/>
    <mergeCell ref="I368:J368"/>
    <mergeCell ref="A369:G369"/>
    <mergeCell ref="I369:J369"/>
    <mergeCell ref="A370:G370"/>
    <mergeCell ref="I370:J370"/>
    <mergeCell ref="A371:G371"/>
    <mergeCell ref="I371:J371"/>
    <mergeCell ref="A372:G372"/>
    <mergeCell ref="I372:J372"/>
    <mergeCell ref="A373:G373"/>
    <mergeCell ref="I373:J373"/>
    <mergeCell ref="A374:G374"/>
    <mergeCell ref="I374:J374"/>
    <mergeCell ref="A381:G381"/>
    <mergeCell ref="I381:J381"/>
    <mergeCell ref="A382:G382"/>
    <mergeCell ref="I382:J382"/>
    <mergeCell ref="A384:L385"/>
    <mergeCell ref="A386:L387"/>
    <mergeCell ref="A388:C388"/>
    <mergeCell ref="D388:E388"/>
    <mergeCell ref="F388:H388"/>
    <mergeCell ref="I388:K388"/>
    <mergeCell ref="I392:K392"/>
    <mergeCell ref="A393:C393"/>
    <mergeCell ref="D393:E393"/>
    <mergeCell ref="F393:H393"/>
    <mergeCell ref="I393:K393"/>
    <mergeCell ref="A394:C394"/>
    <mergeCell ref="D394:E394"/>
    <mergeCell ref="F394:H394"/>
    <mergeCell ref="I394:K394"/>
    <mergeCell ref="A392:C392"/>
    <mergeCell ref="D392:E392"/>
    <mergeCell ref="F392:H392"/>
    <mergeCell ref="I398:K398"/>
    <mergeCell ref="A399:C399"/>
    <mergeCell ref="D399:E399"/>
    <mergeCell ref="F399:H399"/>
    <mergeCell ref="I399:K399"/>
    <mergeCell ref="A400:C400"/>
    <mergeCell ref="D400:E400"/>
    <mergeCell ref="F400:H400"/>
    <mergeCell ref="I400:K400"/>
    <mergeCell ref="A401:C401"/>
    <mergeCell ref="D401:E401"/>
    <mergeCell ref="F401:H401"/>
    <mergeCell ref="I401:K401"/>
    <mergeCell ref="A402:C402"/>
    <mergeCell ref="D402:E402"/>
    <mergeCell ref="F402:H402"/>
    <mergeCell ref="I402:K402"/>
    <mergeCell ref="A403:C403"/>
    <mergeCell ref="D403:E403"/>
    <mergeCell ref="F403:H403"/>
    <mergeCell ref="I403:K403"/>
  </mergeCells>
  <dataValidations count="1">
    <dataValidation type="list" allowBlank="1" showErrorMessage="1" sqref="A96:B96" xr:uid="{936D3EA9-22C1-4967-A138-223D3BEA92F3}">
      <formula1>$AG$97:$AG$115</formula1>
    </dataValidation>
  </dataValidations>
  <pageMargins left="0.51180555555555596" right="0.51180555555555596" top="0.63472222222222197" bottom="0.78749999999999998" header="0" footer="0"/>
  <pageSetup paperSize="9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E319194A-F964-4187-8D64-DD138EA5A025}">
          <x14:formula1>
            <xm:f>'C:\Users\pccli\Downloads\[3.0 Plano_trabalho_Ficha_Gestão_Faurgs_001 (1).xlsx]Dados'!#REF!</xm:f>
          </x14:formula1>
          <xm:sqref>AG97:AG112 N96 A97:A137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/>
  </sheetViews>
  <sheetFormatPr defaultColWidth="14.42578125" defaultRowHeight="15" customHeight="1" x14ac:dyDescent="0.25"/>
  <cols>
    <col min="1" max="1" width="26.28515625" customWidth="1"/>
    <col min="2" max="11" width="8.7109375" customWidth="1"/>
  </cols>
  <sheetData>
    <row r="2" spans="1:11" x14ac:dyDescent="0.25">
      <c r="A2" s="3" t="s">
        <v>22</v>
      </c>
      <c r="E2" s="3" t="s">
        <v>26</v>
      </c>
      <c r="G2" s="3">
        <v>1</v>
      </c>
      <c r="H2" s="3" t="s">
        <v>27</v>
      </c>
      <c r="K2" s="3" t="s">
        <v>28</v>
      </c>
    </row>
    <row r="3" spans="1:11" x14ac:dyDescent="0.25">
      <c r="A3" s="3" t="s">
        <v>29</v>
      </c>
      <c r="E3" s="3" t="s">
        <v>30</v>
      </c>
      <c r="G3" s="3">
        <v>2</v>
      </c>
      <c r="H3" s="3" t="s">
        <v>31</v>
      </c>
      <c r="K3" s="3" t="s">
        <v>32</v>
      </c>
    </row>
    <row r="4" spans="1:11" x14ac:dyDescent="0.25">
      <c r="A4" s="3" t="s">
        <v>33</v>
      </c>
      <c r="E4" s="3" t="s">
        <v>34</v>
      </c>
      <c r="G4" s="3">
        <v>3</v>
      </c>
      <c r="H4" s="3" t="s">
        <v>35</v>
      </c>
      <c r="K4" s="3" t="s">
        <v>36</v>
      </c>
    </row>
    <row r="5" spans="1:11" x14ac:dyDescent="0.25">
      <c r="A5" s="3" t="s">
        <v>37</v>
      </c>
    </row>
    <row r="6" spans="1:11" x14ac:dyDescent="0.25">
      <c r="A6" s="3" t="s">
        <v>38</v>
      </c>
      <c r="E6" s="3" t="s">
        <v>39</v>
      </c>
      <c r="G6" s="3">
        <v>4</v>
      </c>
      <c r="H6" s="3" t="s">
        <v>40</v>
      </c>
      <c r="K6" s="3" t="s">
        <v>41</v>
      </c>
    </row>
    <row r="7" spans="1:11" x14ac:dyDescent="0.25">
      <c r="A7" s="3" t="s">
        <v>42</v>
      </c>
    </row>
    <row r="8" spans="1:11" x14ac:dyDescent="0.25">
      <c r="A8" s="3" t="s">
        <v>43</v>
      </c>
      <c r="E8" s="3" t="s">
        <v>44</v>
      </c>
      <c r="G8" s="3">
        <v>5</v>
      </c>
      <c r="H8" s="3" t="s">
        <v>45</v>
      </c>
      <c r="K8" s="3" t="s">
        <v>46</v>
      </c>
    </row>
    <row r="9" spans="1:11" x14ac:dyDescent="0.25">
      <c r="A9" s="3" t="s">
        <v>47</v>
      </c>
      <c r="E9" s="3" t="s">
        <v>48</v>
      </c>
      <c r="G9" s="3">
        <v>6</v>
      </c>
      <c r="H9" s="3" t="s">
        <v>49</v>
      </c>
      <c r="K9" s="3" t="s">
        <v>50</v>
      </c>
    </row>
    <row r="10" spans="1:11" x14ac:dyDescent="0.25">
      <c r="E10" s="3" t="s">
        <v>51</v>
      </c>
      <c r="G10" s="3">
        <v>7</v>
      </c>
      <c r="H10" s="3" t="s">
        <v>52</v>
      </c>
      <c r="K10" s="3" t="s">
        <v>53</v>
      </c>
    </row>
    <row r="11" spans="1:11" x14ac:dyDescent="0.25">
      <c r="E11" s="3" t="s">
        <v>54</v>
      </c>
      <c r="G11" s="3">
        <v>8</v>
      </c>
      <c r="H11" s="3" t="s">
        <v>55</v>
      </c>
      <c r="K11" s="3" t="s">
        <v>56</v>
      </c>
    </row>
    <row r="12" spans="1:11" x14ac:dyDescent="0.25">
      <c r="A12" s="3" t="s">
        <v>57</v>
      </c>
      <c r="E12" s="3" t="s">
        <v>58</v>
      </c>
      <c r="G12" s="3">
        <v>9</v>
      </c>
      <c r="H12" s="3" t="s">
        <v>59</v>
      </c>
      <c r="K12" s="3" t="s">
        <v>60</v>
      </c>
    </row>
    <row r="13" spans="1:11" ht="45" x14ac:dyDescent="0.25">
      <c r="A13" s="4" t="s">
        <v>61</v>
      </c>
      <c r="E13" s="3" t="s">
        <v>62</v>
      </c>
      <c r="G13" s="3">
        <v>10</v>
      </c>
      <c r="H13" s="3" t="s">
        <v>63</v>
      </c>
      <c r="K13" s="3" t="s">
        <v>64</v>
      </c>
    </row>
    <row r="14" spans="1:11" x14ac:dyDescent="0.25">
      <c r="A14" s="3" t="s">
        <v>65</v>
      </c>
      <c r="E14" s="3" t="s">
        <v>66</v>
      </c>
      <c r="H14" s="3" t="s">
        <v>67</v>
      </c>
      <c r="K14" s="3" t="s">
        <v>68</v>
      </c>
    </row>
    <row r="15" spans="1:11" x14ac:dyDescent="0.25">
      <c r="A15" s="3" t="s">
        <v>69</v>
      </c>
      <c r="E15" s="3" t="s">
        <v>70</v>
      </c>
      <c r="H15" s="3" t="s">
        <v>71</v>
      </c>
      <c r="K15" s="3" t="s">
        <v>72</v>
      </c>
    </row>
    <row r="16" spans="1:11" x14ac:dyDescent="0.25">
      <c r="A16" s="3" t="s">
        <v>73</v>
      </c>
      <c r="E16" s="3" t="s">
        <v>74</v>
      </c>
      <c r="H16" s="3" t="s">
        <v>75</v>
      </c>
      <c r="K16" s="3" t="s">
        <v>76</v>
      </c>
    </row>
    <row r="17" spans="1:11" x14ac:dyDescent="0.25">
      <c r="A17" s="3" t="s">
        <v>77</v>
      </c>
      <c r="E17" s="3" t="s">
        <v>78</v>
      </c>
      <c r="H17" s="3" t="s">
        <v>79</v>
      </c>
      <c r="K17" s="3" t="s">
        <v>80</v>
      </c>
    </row>
    <row r="18" spans="1:11" x14ac:dyDescent="0.25">
      <c r="A18" s="3" t="s">
        <v>81</v>
      </c>
      <c r="E18" s="3" t="s">
        <v>82</v>
      </c>
      <c r="H18" s="3" t="s">
        <v>83</v>
      </c>
      <c r="K18" s="3" t="s">
        <v>84</v>
      </c>
    </row>
    <row r="19" spans="1:11" x14ac:dyDescent="0.25">
      <c r="A19" s="3" t="s">
        <v>85</v>
      </c>
      <c r="E19" s="3" t="s">
        <v>86</v>
      </c>
      <c r="H19" s="3" t="s">
        <v>87</v>
      </c>
      <c r="K19" s="3" t="s">
        <v>88</v>
      </c>
    </row>
    <row r="20" spans="1:11" x14ac:dyDescent="0.25">
      <c r="A20" s="3" t="s">
        <v>89</v>
      </c>
      <c r="E20" s="3" t="s">
        <v>90</v>
      </c>
      <c r="H20" s="3" t="s">
        <v>91</v>
      </c>
      <c r="K20" s="3" t="s">
        <v>92</v>
      </c>
    </row>
    <row r="21" spans="1:11" ht="15.75" customHeight="1" x14ac:dyDescent="0.25">
      <c r="A21" s="3" t="s">
        <v>93</v>
      </c>
      <c r="E21" s="3" t="s">
        <v>94</v>
      </c>
      <c r="H21" s="3" t="s">
        <v>95</v>
      </c>
      <c r="K21" s="3" t="s">
        <v>96</v>
      </c>
    </row>
    <row r="22" spans="1:11" ht="15.75" customHeight="1" x14ac:dyDescent="0.25">
      <c r="A22" s="3" t="s">
        <v>97</v>
      </c>
      <c r="E22" s="3" t="s">
        <v>98</v>
      </c>
      <c r="H22" s="3" t="s">
        <v>99</v>
      </c>
      <c r="K22" s="3" t="s">
        <v>100</v>
      </c>
    </row>
    <row r="23" spans="1:11" ht="15.75" customHeight="1" x14ac:dyDescent="0.25">
      <c r="A23" s="3" t="s">
        <v>101</v>
      </c>
      <c r="E23" s="3" t="s">
        <v>102</v>
      </c>
      <c r="H23" s="3" t="s">
        <v>103</v>
      </c>
      <c r="K23" s="3" t="s">
        <v>104</v>
      </c>
    </row>
    <row r="24" spans="1:11" ht="15.75" customHeight="1" x14ac:dyDescent="0.25">
      <c r="A24" s="3" t="s">
        <v>105</v>
      </c>
      <c r="E24" s="3" t="s">
        <v>106</v>
      </c>
      <c r="H24" s="3" t="s">
        <v>107</v>
      </c>
      <c r="K24" s="3" t="s">
        <v>108</v>
      </c>
    </row>
    <row r="25" spans="1:11" ht="15.75" customHeight="1" x14ac:dyDescent="0.25">
      <c r="A25" s="3" t="s">
        <v>109</v>
      </c>
      <c r="E25" s="3" t="s">
        <v>110</v>
      </c>
      <c r="H25" s="3" t="s">
        <v>111</v>
      </c>
      <c r="K25" s="3" t="s">
        <v>112</v>
      </c>
    </row>
    <row r="26" spans="1:11" ht="15.75" customHeight="1" x14ac:dyDescent="0.25">
      <c r="A26" s="3" t="s">
        <v>113</v>
      </c>
      <c r="E26" s="3" t="s">
        <v>114</v>
      </c>
      <c r="H26" s="3" t="s">
        <v>115</v>
      </c>
      <c r="K26" s="3" t="s">
        <v>116</v>
      </c>
    </row>
    <row r="27" spans="1:11" ht="15.75" customHeight="1" x14ac:dyDescent="0.25">
      <c r="A27" s="3" t="s">
        <v>117</v>
      </c>
      <c r="E27" s="3" t="s">
        <v>118</v>
      </c>
      <c r="H27" s="3" t="s">
        <v>119</v>
      </c>
      <c r="K27" s="3" t="s">
        <v>120</v>
      </c>
    </row>
    <row r="28" spans="1:11" ht="15.75" customHeight="1" x14ac:dyDescent="0.25">
      <c r="E28" s="3" t="s">
        <v>121</v>
      </c>
      <c r="H28" s="3" t="s">
        <v>122</v>
      </c>
      <c r="K28" s="3" t="s">
        <v>123</v>
      </c>
    </row>
    <row r="29" spans="1:11" ht="15.75" customHeight="1" x14ac:dyDescent="0.25">
      <c r="E29" s="3" t="s">
        <v>124</v>
      </c>
      <c r="H29" s="3" t="s">
        <v>125</v>
      </c>
      <c r="K29" s="3" t="s">
        <v>126</v>
      </c>
    </row>
    <row r="30" spans="1:11" ht="15.75" customHeight="1" x14ac:dyDescent="0.25">
      <c r="E30" s="3" t="s">
        <v>127</v>
      </c>
      <c r="H30" s="3" t="s">
        <v>128</v>
      </c>
      <c r="K30" s="3" t="s">
        <v>129</v>
      </c>
    </row>
    <row r="31" spans="1:11" ht="15.75" customHeight="1" x14ac:dyDescent="0.25">
      <c r="E31" s="3" t="s">
        <v>130</v>
      </c>
      <c r="H31" s="3" t="s">
        <v>131</v>
      </c>
      <c r="K31" s="3" t="s">
        <v>132</v>
      </c>
    </row>
    <row r="32" spans="1:11" ht="15.75" customHeight="1" x14ac:dyDescent="0.25">
      <c r="E32" s="3" t="s">
        <v>133</v>
      </c>
      <c r="H32" s="3" t="s">
        <v>134</v>
      </c>
      <c r="K32" s="3" t="s">
        <v>135</v>
      </c>
    </row>
    <row r="33" spans="5:11" ht="15.75" customHeight="1" x14ac:dyDescent="0.25">
      <c r="E33" s="3" t="s">
        <v>136</v>
      </c>
      <c r="H33" s="3" t="s">
        <v>137</v>
      </c>
      <c r="K33" s="3" t="s">
        <v>138</v>
      </c>
    </row>
    <row r="34" spans="5:11" ht="15.75" customHeight="1" x14ac:dyDescent="0.25">
      <c r="E34" s="3" t="s">
        <v>139</v>
      </c>
      <c r="H34" s="3" t="s">
        <v>140</v>
      </c>
      <c r="K34" s="3" t="s">
        <v>141</v>
      </c>
    </row>
    <row r="35" spans="5:11" ht="15.75" customHeight="1" x14ac:dyDescent="0.25">
      <c r="E35" s="3" t="s">
        <v>142</v>
      </c>
      <c r="H35" s="3" t="s">
        <v>143</v>
      </c>
      <c r="K35" s="3" t="s">
        <v>144</v>
      </c>
    </row>
    <row r="36" spans="5:11" ht="15.75" customHeight="1" x14ac:dyDescent="0.25">
      <c r="E36" s="3" t="s">
        <v>145</v>
      </c>
      <c r="H36" s="3" t="s">
        <v>146</v>
      </c>
      <c r="K36" s="3" t="s">
        <v>147</v>
      </c>
    </row>
    <row r="37" spans="5:11" ht="15.75" customHeight="1" x14ac:dyDescent="0.25">
      <c r="E37" s="3" t="s">
        <v>148</v>
      </c>
      <c r="H37" s="3" t="s">
        <v>149</v>
      </c>
      <c r="K37" s="3" t="s">
        <v>150</v>
      </c>
    </row>
    <row r="38" spans="5:11" ht="15.75" customHeight="1" x14ac:dyDescent="0.25">
      <c r="E38" s="3" t="s">
        <v>151</v>
      </c>
      <c r="H38" s="3" t="s">
        <v>152</v>
      </c>
      <c r="K38" s="3" t="s">
        <v>153</v>
      </c>
    </row>
    <row r="39" spans="5:11" ht="15.75" customHeight="1" x14ac:dyDescent="0.25">
      <c r="E39" s="3" t="s">
        <v>154</v>
      </c>
      <c r="H39" s="3" t="s">
        <v>155</v>
      </c>
      <c r="K39" s="3" t="s">
        <v>156</v>
      </c>
    </row>
    <row r="40" spans="5:11" ht="15.75" customHeight="1" x14ac:dyDescent="0.25">
      <c r="E40" s="3" t="s">
        <v>157</v>
      </c>
      <c r="H40" s="3" t="s">
        <v>158</v>
      </c>
      <c r="K40" s="3" t="s">
        <v>159</v>
      </c>
    </row>
    <row r="41" spans="5:11" ht="15.75" customHeight="1" x14ac:dyDescent="0.25">
      <c r="E41" s="3" t="s">
        <v>160</v>
      </c>
      <c r="H41" s="3" t="s">
        <v>161</v>
      </c>
      <c r="K41" s="3" t="s">
        <v>162</v>
      </c>
    </row>
    <row r="42" spans="5:11" ht="15.75" customHeight="1" x14ac:dyDescent="0.25">
      <c r="E42" s="3" t="s">
        <v>163</v>
      </c>
      <c r="H42" s="3" t="s">
        <v>164</v>
      </c>
      <c r="K42" s="3" t="s">
        <v>165</v>
      </c>
    </row>
    <row r="43" spans="5:11" ht="15.75" customHeight="1" x14ac:dyDescent="0.25">
      <c r="E43" s="3" t="s">
        <v>166</v>
      </c>
      <c r="H43" s="3" t="s">
        <v>167</v>
      </c>
      <c r="K43" s="3" t="s">
        <v>168</v>
      </c>
    </row>
    <row r="44" spans="5:11" ht="15.75" customHeight="1" x14ac:dyDescent="0.25">
      <c r="E44" s="3" t="s">
        <v>169</v>
      </c>
      <c r="H44" s="3" t="s">
        <v>170</v>
      </c>
    </row>
    <row r="45" spans="5:11" ht="15.75" customHeight="1" x14ac:dyDescent="0.25">
      <c r="E45" s="3" t="s">
        <v>171</v>
      </c>
      <c r="H45" s="3" t="s">
        <v>172</v>
      </c>
    </row>
    <row r="46" spans="5:11" ht="15.75" customHeight="1" x14ac:dyDescent="0.25">
      <c r="E46" s="3" t="s">
        <v>173</v>
      </c>
      <c r="H46" s="3" t="s">
        <v>174</v>
      </c>
    </row>
    <row r="47" spans="5:11" ht="15.75" customHeight="1" x14ac:dyDescent="0.25">
      <c r="E47" s="3" t="s">
        <v>175</v>
      </c>
      <c r="H47" s="3" t="s">
        <v>176</v>
      </c>
    </row>
    <row r="48" spans="5:11" ht="15.75" customHeight="1" x14ac:dyDescent="0.25">
      <c r="E48" s="3" t="s">
        <v>177</v>
      </c>
      <c r="H48" s="3" t="s">
        <v>178</v>
      </c>
    </row>
    <row r="49" spans="5:8" ht="15.75" customHeight="1" x14ac:dyDescent="0.25">
      <c r="E49" s="3" t="s">
        <v>179</v>
      </c>
      <c r="H49" s="3" t="s">
        <v>180</v>
      </c>
    </row>
    <row r="50" spans="5:8" ht="15.75" customHeight="1" x14ac:dyDescent="0.25">
      <c r="E50" s="3" t="s">
        <v>181</v>
      </c>
      <c r="H50" s="3" t="s">
        <v>182</v>
      </c>
    </row>
    <row r="51" spans="5:8" ht="15.75" customHeight="1" x14ac:dyDescent="0.25">
      <c r="E51" s="3" t="s">
        <v>183</v>
      </c>
      <c r="H51" s="3" t="s">
        <v>184</v>
      </c>
    </row>
    <row r="52" spans="5:8" ht="15.75" customHeight="1" x14ac:dyDescent="0.25">
      <c r="E52" s="3" t="s">
        <v>185</v>
      </c>
      <c r="H52" s="3" t="s">
        <v>186</v>
      </c>
    </row>
    <row r="53" spans="5:8" ht="15.75" customHeight="1" x14ac:dyDescent="0.25">
      <c r="E53" s="3" t="s">
        <v>187</v>
      </c>
      <c r="H53" s="3" t="s">
        <v>188</v>
      </c>
    </row>
    <row r="54" spans="5:8" ht="15.75" customHeight="1" x14ac:dyDescent="0.25">
      <c r="E54" s="3" t="s">
        <v>189</v>
      </c>
      <c r="H54" s="3" t="s">
        <v>190</v>
      </c>
    </row>
    <row r="55" spans="5:8" ht="15.75" customHeight="1" x14ac:dyDescent="0.25">
      <c r="E55" s="3" t="s">
        <v>191</v>
      </c>
      <c r="H55" s="3" t="s">
        <v>192</v>
      </c>
    </row>
    <row r="56" spans="5:8" ht="15.75" customHeight="1" x14ac:dyDescent="0.25">
      <c r="E56" s="3" t="s">
        <v>193</v>
      </c>
      <c r="H56" s="3" t="s">
        <v>194</v>
      </c>
    </row>
    <row r="57" spans="5:8" ht="15.75" customHeight="1" x14ac:dyDescent="0.25">
      <c r="E57" s="3" t="s">
        <v>195</v>
      </c>
      <c r="H57" s="3" t="s">
        <v>196</v>
      </c>
    </row>
    <row r="58" spans="5:8" ht="15.75" customHeight="1" x14ac:dyDescent="0.25">
      <c r="E58" s="3" t="s">
        <v>197</v>
      </c>
      <c r="H58" s="3" t="s">
        <v>198</v>
      </c>
    </row>
    <row r="59" spans="5:8" ht="15.75" customHeight="1" x14ac:dyDescent="0.25">
      <c r="E59" s="3" t="s">
        <v>199</v>
      </c>
      <c r="H59" s="3" t="s">
        <v>200</v>
      </c>
    </row>
    <row r="60" spans="5:8" ht="15.75" customHeight="1" x14ac:dyDescent="0.25">
      <c r="E60" s="3" t="s">
        <v>201</v>
      </c>
      <c r="H60" s="3" t="s">
        <v>202</v>
      </c>
    </row>
    <row r="61" spans="5:8" ht="15.75" customHeight="1" x14ac:dyDescent="0.25">
      <c r="E61" s="3" t="s">
        <v>203</v>
      </c>
      <c r="H61" s="3" t="s">
        <v>204</v>
      </c>
    </row>
    <row r="62" spans="5:8" ht="15.75" customHeight="1" x14ac:dyDescent="0.25">
      <c r="E62" s="3" t="s">
        <v>205</v>
      </c>
      <c r="H62" s="3" t="s">
        <v>206</v>
      </c>
    </row>
    <row r="63" spans="5:8" ht="15.75" customHeight="1" x14ac:dyDescent="0.25">
      <c r="E63" s="3" t="s">
        <v>207</v>
      </c>
      <c r="H63" s="3" t="s">
        <v>208</v>
      </c>
    </row>
    <row r="64" spans="5:8" ht="15.75" customHeight="1" x14ac:dyDescent="0.25">
      <c r="H64" s="3" t="s">
        <v>209</v>
      </c>
    </row>
    <row r="65" spans="8:8" ht="15.75" customHeight="1" x14ac:dyDescent="0.25">
      <c r="H65" s="3" t="s">
        <v>210</v>
      </c>
    </row>
    <row r="66" spans="8:8" ht="15.75" customHeight="1" x14ac:dyDescent="0.25">
      <c r="H66" s="3" t="s">
        <v>211</v>
      </c>
    </row>
    <row r="67" spans="8:8" ht="15.75" customHeight="1" x14ac:dyDescent="0.25">
      <c r="H67" s="3" t="s">
        <v>212</v>
      </c>
    </row>
    <row r="68" spans="8:8" ht="15.75" customHeight="1" x14ac:dyDescent="0.25">
      <c r="H68" s="3" t="s">
        <v>213</v>
      </c>
    </row>
    <row r="69" spans="8:8" ht="15.75" customHeight="1" x14ac:dyDescent="0.25">
      <c r="H69" s="3" t="s">
        <v>214</v>
      </c>
    </row>
    <row r="70" spans="8:8" ht="15.75" customHeight="1" x14ac:dyDescent="0.25">
      <c r="H70" s="3" t="s">
        <v>215</v>
      </c>
    </row>
    <row r="71" spans="8:8" ht="15.75" customHeight="1" x14ac:dyDescent="0.25">
      <c r="H71" s="3" t="s">
        <v>216</v>
      </c>
    </row>
    <row r="72" spans="8:8" ht="15.75" customHeight="1" x14ac:dyDescent="0.25">
      <c r="H72" s="3" t="s">
        <v>217</v>
      </c>
    </row>
    <row r="73" spans="8:8" ht="15.75" customHeight="1" x14ac:dyDescent="0.25">
      <c r="H73" s="3" t="s">
        <v>218</v>
      </c>
    </row>
    <row r="74" spans="8:8" ht="15.75" customHeight="1" x14ac:dyDescent="0.25">
      <c r="H74" s="3" t="s">
        <v>219</v>
      </c>
    </row>
    <row r="75" spans="8:8" ht="15.75" customHeight="1" x14ac:dyDescent="0.25">
      <c r="H75" s="3" t="s">
        <v>220</v>
      </c>
    </row>
    <row r="76" spans="8:8" ht="15.75" customHeight="1" x14ac:dyDescent="0.25">
      <c r="H76" s="3" t="s">
        <v>221</v>
      </c>
    </row>
    <row r="77" spans="8:8" ht="15.75" customHeight="1" x14ac:dyDescent="0.25">
      <c r="H77" s="3" t="s">
        <v>222</v>
      </c>
    </row>
    <row r="78" spans="8:8" ht="15.75" customHeight="1" x14ac:dyDescent="0.25">
      <c r="H78" s="3" t="s">
        <v>223</v>
      </c>
    </row>
    <row r="79" spans="8:8" ht="15.75" customHeight="1" x14ac:dyDescent="0.25">
      <c r="H79" s="3" t="s">
        <v>224</v>
      </c>
    </row>
    <row r="80" spans="8:8" ht="15.75" customHeight="1" x14ac:dyDescent="0.25">
      <c r="H80" s="3" t="s">
        <v>225</v>
      </c>
    </row>
    <row r="81" spans="8:8" ht="15.75" customHeight="1" x14ac:dyDescent="0.25">
      <c r="H81" s="3" t="s">
        <v>226</v>
      </c>
    </row>
    <row r="82" spans="8:8" ht="15.75" customHeight="1" x14ac:dyDescent="0.25">
      <c r="H82" s="3" t="s">
        <v>227</v>
      </c>
    </row>
    <row r="83" spans="8:8" ht="15.75" customHeight="1" x14ac:dyDescent="0.25">
      <c r="H83" s="3" t="s">
        <v>228</v>
      </c>
    </row>
    <row r="84" spans="8:8" ht="15.75" customHeight="1" x14ac:dyDescent="0.25">
      <c r="H84" s="3" t="s">
        <v>229</v>
      </c>
    </row>
    <row r="85" spans="8:8" ht="15.75" customHeight="1" x14ac:dyDescent="0.25">
      <c r="H85" s="3" t="s">
        <v>230</v>
      </c>
    </row>
    <row r="86" spans="8:8" ht="15.75" customHeight="1" x14ac:dyDescent="0.25">
      <c r="H86" s="3" t="s">
        <v>231</v>
      </c>
    </row>
    <row r="87" spans="8:8" ht="15.75" customHeight="1" x14ac:dyDescent="0.25">
      <c r="H87" s="3" t="s">
        <v>232</v>
      </c>
    </row>
    <row r="88" spans="8:8" ht="15.75" customHeight="1" x14ac:dyDescent="0.25">
      <c r="H88" s="3" t="s">
        <v>233</v>
      </c>
    </row>
    <row r="89" spans="8:8" ht="15.75" customHeight="1" x14ac:dyDescent="0.25">
      <c r="H89" s="3" t="s">
        <v>234</v>
      </c>
    </row>
    <row r="90" spans="8:8" ht="15.75" customHeight="1" x14ac:dyDescent="0.25">
      <c r="H90" s="3" t="s">
        <v>235</v>
      </c>
    </row>
    <row r="91" spans="8:8" ht="15.75" customHeight="1" x14ac:dyDescent="0.25">
      <c r="H91" s="3" t="s">
        <v>236</v>
      </c>
    </row>
    <row r="92" spans="8:8" ht="15.75" customHeight="1" x14ac:dyDescent="0.25">
      <c r="H92" s="3" t="s">
        <v>237</v>
      </c>
    </row>
    <row r="93" spans="8:8" ht="15.75" customHeight="1" x14ac:dyDescent="0.25">
      <c r="H93" s="3" t="s">
        <v>238</v>
      </c>
    </row>
    <row r="94" spans="8:8" ht="15.75" customHeight="1" x14ac:dyDescent="0.25">
      <c r="H94" s="3" t="s">
        <v>239</v>
      </c>
    </row>
    <row r="95" spans="8:8" ht="15.75" customHeight="1" x14ac:dyDescent="0.25">
      <c r="H95" s="3" t="s">
        <v>240</v>
      </c>
    </row>
    <row r="96" spans="8:8" ht="15.75" customHeight="1" x14ac:dyDescent="0.25">
      <c r="H96" s="3" t="s">
        <v>241</v>
      </c>
    </row>
    <row r="97" spans="8:8" ht="15.75" customHeight="1" x14ac:dyDescent="0.25">
      <c r="H97" s="3" t="s">
        <v>242</v>
      </c>
    </row>
    <row r="98" spans="8:8" ht="15.75" customHeight="1" x14ac:dyDescent="0.25">
      <c r="H98" s="3" t="s">
        <v>243</v>
      </c>
    </row>
    <row r="99" spans="8:8" ht="15.75" customHeight="1" x14ac:dyDescent="0.25">
      <c r="H99" s="3" t="s">
        <v>244</v>
      </c>
    </row>
    <row r="100" spans="8:8" ht="15.75" customHeight="1" x14ac:dyDescent="0.25">
      <c r="H100" s="3" t="s">
        <v>245</v>
      </c>
    </row>
    <row r="101" spans="8:8" ht="15.75" customHeight="1" x14ac:dyDescent="0.25">
      <c r="H101" s="3" t="s">
        <v>246</v>
      </c>
    </row>
    <row r="102" spans="8:8" ht="15.75" customHeight="1" x14ac:dyDescent="0.25">
      <c r="H102" s="3" t="s">
        <v>247</v>
      </c>
    </row>
    <row r="103" spans="8:8" ht="15.75" customHeight="1" x14ac:dyDescent="0.25">
      <c r="H103" s="3" t="s">
        <v>248</v>
      </c>
    </row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Núcleo de Apoio a Projetos da PROINOVA</cp:lastModifiedBy>
  <dcterms:modified xsi:type="dcterms:W3CDTF">2026-07-27T12:38:43Z</dcterms:modified>
</cp:coreProperties>
</file>