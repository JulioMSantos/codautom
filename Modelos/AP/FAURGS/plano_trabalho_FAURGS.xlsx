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cli\OneDrive\Área de Trabalho\Julio\"/>
    </mc:Choice>
  </mc:AlternateContent>
  <xr:revisionPtr revIDLastSave="0" documentId="13_ncr:1_{BA74B0A3-598B-470C-9656-24AA64761016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Plano de Trabalho" sheetId="1" r:id="rId1"/>
    <sheet name="Dados" sheetId="2" state="hidden" r:id="rId2"/>
  </sheets>
  <calcPr calcId="191029"/>
  <extLst>
    <ext uri="GoogleSheetsCustomDataVersion2">
      <go:sheetsCustomData xmlns:go="http://customooxmlschemas.google.com/" r:id="rId6" roundtripDataChecksum="plvOQJd1HiMLjN7RRohMn941Fms4EUdCEaHE4vedFNY="/>
    </ext>
  </extLst>
</workbook>
</file>

<file path=xl/calcChain.xml><?xml version="1.0" encoding="utf-8"?>
<calcChain xmlns="http://schemas.openxmlformats.org/spreadsheetml/2006/main">
  <c r="K331" i="1" l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32" i="1" s="1"/>
  <c r="K201" i="1" s="1"/>
  <c r="K91" i="1" s="1"/>
  <c r="K301" i="1"/>
  <c r="K300" i="1"/>
  <c r="E295" i="1"/>
  <c r="I294" i="1"/>
  <c r="J285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7" i="1" s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2" i="1" s="1"/>
  <c r="L115" i="1"/>
  <c r="L114" i="1"/>
  <c r="K103" i="1"/>
  <c r="K211" i="1" l="1"/>
  <c r="K95" i="1" s="1"/>
  <c r="K207" i="1"/>
  <c r="K93" i="1" s="1"/>
  <c r="K89" i="1"/>
  <c r="K97" i="1" s="1"/>
  <c r="K64" i="1" s="1"/>
  <c r="K2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1" authorId="0" shapeId="0" xr:uid="{00000000-0006-0000-0000-00002C000000}">
      <text>
        <r>
          <rPr>
            <sz val="11"/>
            <color theme="1"/>
            <rFont val="Calibri"/>
            <scheme val="minor"/>
          </rPr>
          <t>======
ID#AAAB1_7c5e4
pccli    (2025-12-16 12:39:19)
(insira aqui o nº de meses de execução do projeto, Global: 60 meses)</t>
        </r>
      </text>
    </comment>
    <comment ref="D32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ID#AAAB1_7cxDM
pccli    (2025-12-16 12:39:19)
(Ou insira aqui a data de término do projeto)</t>
        </r>
      </text>
    </comment>
    <comment ref="A33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ID#AAAB1_7cxDQ
Fernanda Azevedo    (2025-12-16 12:39:19)
Informar também o Coordenador Adjunto</t>
        </r>
      </text>
    </comment>
    <comment ref="A42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ID#AAAB1_7c5do
Fernanda Azevedo    (2025-12-16 12:39:19)
Incluir aqui as informações:
- Área: (Ex: Engenharia Elétrica)
- Sub Área:</t>
        </r>
      </text>
    </comment>
    <comment ref="B66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ID#AAAB1_7cxDI
pccli    (2025-12-16 12:39:19)
(Informe o título e registro do projeto de prestação de serviços que aportará recursos no projeto, na forma prevista pelo Art. 14, §3º, III, da Res. 025/2012 da UFSM.)</t>
        </r>
      </text>
    </comment>
    <comment ref="A105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ID#AAAB1_7cxC8
pccli    (2025-12-16 12:39:19)
(Informe o título e registro do projeto de pesquisa que receberá aportes de recursos, na forma prevista pelo Art. 14, §3º, III, da Res. 025/2012 da UFSM.)</t>
        </r>
      </text>
    </comment>
    <comment ref="K208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ID#AAAB1_7c5dw
pccli    (2025-12-16 12:39:19)
PERCENTUAL UFSM :
De R$ 0,00 (zero reais) a R$ 200.000,00 (duzentos mil reais) = 5%
ACIMA DE R$ 200.001,00 (duzentos mil e um reias reais) = 8%
*VALOR TOTAL DO PROJETO</t>
        </r>
      </text>
    </comment>
    <comment ref="K209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ID#AAAB1_7c5fQ
PERCENTUAL UFSM    (2025-12-16 12:39:19)
De R$ 0,00 (zero reais) a R$ 200.000,00 (duzentos mil reais) = 5%
ACIMA DE R$ 200.001,00 (duzentos mil e um reias reais) = 8%
*VALOR TOTAL DO PROJETO</t>
        </r>
      </text>
    </comment>
    <comment ref="K213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ID#AAAB1_7c5dk
pccli    (2025-12-16 12:39:19)
PERCENTUAL FUNDAÇÃO :
De R$ 0,00 (zero reais) a R$ 2.000.000,00 (dois
milhões de reais) =  9,95%
De R$ 2.000.001,00 (dois milhões e um real) a R$
5.000.000,00 (cinco milhões de reais) = 9,45%
De R$ 5.000.001,00 (cinco milhões e um real) a R$ 7.500.000,00 (sete milhões e quinhentos mil reais) = 9,20%
De R$7.500.001,00 (sete milhões, quinhentos mil e
um real) até R$ 10.000.000,00 (dez milhões de reais) = 9%
Acima de R$ 10.000.000,00 (dez milhões de reais) = 8%
*VALOR TOTAL DO PROJETO</t>
        </r>
      </text>
    </comment>
    <comment ref="K214" authorId="0" shapeId="0" xr:uid="{00000000-0006-0000-0000-000031000000}">
      <text>
        <r>
          <rPr>
            <sz val="11"/>
            <color theme="1"/>
            <rFont val="Calibri"/>
            <scheme val="minor"/>
          </rPr>
          <t>======
ID#AAAB1_7cxDE
PERCENTUAL FUNDAÇÃO    (2025-12-16 12:39:19)
De R$ 0,00 (zero reais) a R$ 2.000.000,00 (dois
milhões de reais) =  9,45%
De R$ 2.000.001,00 (dois milhões e um real) a R$
5.000.000,00 (cinco milhões de reais) = 8,95%
De R$ 5.000.001,00 (cinco milhões e um real) a R$ 7.500.000,00 (sete milhões e quinhentos mil reais) = 8,70%
De R$7.500.001,00 (sete milhões, quinhentos mil e
um real) até R$ 10.000.000,00 (dez milhões de reais) = 8,50%
Acima de R$ 10.000.000,00 (dez milhões de reais) = 7,50%
*VALOR TOTAL DO PROJETO</t>
        </r>
      </text>
    </comment>
    <comment ref="D223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ID#AAAB1_7c5eU
pccli    (2025-12-16 12:39:19)
(descreva aqui a fase da meta de execução)</t>
        </r>
      </text>
    </comment>
    <comment ref="D224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ID#AAAB1_7cxC0
pccli    (2025-12-16 12:39:19)
(descreva aqui a fase da meta de execução)</t>
        </r>
      </text>
    </comment>
    <comment ref="D225" authorId="0" shapeId="0" xr:uid="{00000000-0006-0000-0000-00002F000000}">
      <text>
        <r>
          <rPr>
            <sz val="11"/>
            <color theme="1"/>
            <rFont val="Calibri"/>
            <scheme val="minor"/>
          </rPr>
          <t>======
ID#AAAB1_7cxDA
pccli    (2025-12-16 12:39:19)
(descreva aqui a fase da meta de execução)</t>
        </r>
      </text>
    </comment>
    <comment ref="D226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ID#AAAB1_7cxDo
pccli    (2025-12-16 12:39:19)
(descreva aqui a fase da meta de execução)</t>
        </r>
      </text>
    </comment>
    <comment ref="D227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ID#AAAB1_7c5d4
pccli    (2025-12-16 12:39:19)
(descreva aqui a fase da meta de execução)</t>
        </r>
      </text>
    </comment>
    <comment ref="D228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ID#AAAB1_7c5fM
pccli    (2025-12-16 12:39:19)
(descreva aqui a fase da meta de execução)</t>
        </r>
      </text>
    </comment>
    <comment ref="D229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ID#AAAB1_7c5ds
pccli    (2025-12-16 12:39:19)
(descreva aqui a fase da meta de execução)</t>
        </r>
      </text>
    </comment>
    <comment ref="D230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ID#AAAB1_7c5eM
pccli    (2025-12-16 12:39:19)
(descreva aqui a fase da meta de execução)</t>
        </r>
      </text>
    </comment>
    <comment ref="D231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ID#AAAB1_7cxDY
pccli    (2025-12-16 12:39:19)
(descreva aqui a fase da meta de execução)</t>
        </r>
      </text>
    </comment>
    <comment ref="D232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ID#AAAB1_7c5eg
pccli    (2025-12-16 12:39:19)
(descreva aqui a fase da meta de execução)</t>
        </r>
      </text>
    </comment>
    <comment ref="D23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ID#AAAB1_7c5eQ
pccli    (2025-12-16 12:39:19)
(descreva aqui a fase da meta de execução)</t>
        </r>
      </text>
    </comment>
    <comment ref="D234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ID#AAAB1_7c5fA
pccli    (2025-12-16 12:39:19)
(descreva aqui a fase da meta de execução)</t>
        </r>
      </text>
    </comment>
    <comment ref="A299" authorId="0" shapeId="0" xr:uid="{00000000-0006-0000-0000-000030000000}">
      <text>
        <r>
          <rPr>
            <sz val="11"/>
            <color theme="1"/>
            <rFont val="Calibri"/>
            <scheme val="minor"/>
          </rPr>
          <t>======
ID#AAAB2ADPuS8
pccli    (2025-12-16 12:39:19)
(Aqui descreva o material permanente)</t>
        </r>
      </text>
    </comment>
    <comment ref="A300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ID#AAAB1_7cxDg
pccli    (2025-12-16 12:39:19)
(Aqui descreva o material permanente)</t>
        </r>
      </text>
    </comment>
    <comment ref="A301" authorId="0" shapeId="0" xr:uid="{00000000-0006-0000-0000-00002A000000}">
      <text>
        <r>
          <rPr>
            <sz val="11"/>
            <color theme="1"/>
            <rFont val="Calibri"/>
            <scheme val="minor"/>
          </rPr>
          <t>======
ID#AAAB1_7c5dY
pccli    (2025-12-16 12:39:19)
(Aqui descreva o material permanente)</t>
        </r>
      </text>
    </comment>
    <comment ref="A302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ID#AAAB1_7c5d0
pccli    (2025-12-16 12:39:19)
(Aqui descreva o material permanente)</t>
        </r>
      </text>
    </comment>
    <comment ref="A303" authorId="0" shapeId="0" xr:uid="{00000000-0006-0000-0000-00002B000000}">
      <text>
        <r>
          <rPr>
            <sz val="11"/>
            <color theme="1"/>
            <rFont val="Calibri"/>
            <scheme val="minor"/>
          </rPr>
          <t>======
ID#AAAB1_7c5e8
pccli    (2025-12-16 12:39:19)
(Aqui descreva o material permanente)</t>
        </r>
      </text>
    </comment>
    <comment ref="A304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ID#AAAB2ADPuSs
pccli    (2025-12-16 12:39:19)
(Aqui descreva o material permanente)</t>
        </r>
      </text>
    </comment>
    <comment ref="A305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ID#AAAB2ADPuTE
pccli    (2025-12-16 12:39:19)
(Aqui descreva o material permanente)</t>
        </r>
      </text>
    </comment>
    <comment ref="A306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ID#AAAB1_7c5ec
pccli    (2025-12-16 12:39:19)
(Aqui descreva o material permanente)</t>
        </r>
      </text>
    </comment>
    <comment ref="A307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ID#AAAB2ADPuTI
pccli    (2025-12-16 12:39:19)
(Aqui descreva o material permanente)</t>
        </r>
      </text>
    </comment>
    <comment ref="A308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ID#AAAB1_7c5eY
pccli    (2025-12-16 12:39:19)
(Aqui descreva o material permanente)</t>
        </r>
      </text>
    </comment>
    <comment ref="A309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ID#AAAB1_7c5fU
pccli    (2025-12-16 12:39:19)
(Aqui descreva o material permanente)</t>
        </r>
      </text>
    </comment>
    <comment ref="A310" authorId="0" shapeId="0" xr:uid="{00000000-0006-0000-0000-00002D000000}">
      <text>
        <r>
          <rPr>
            <sz val="11"/>
            <color theme="1"/>
            <rFont val="Calibri"/>
            <scheme val="minor"/>
          </rPr>
          <t>======
ID#AAAB2ADPuS4
pccli    (2025-12-16 12:39:19)
(Aqui descreva o material permanente)</t>
        </r>
      </text>
    </comment>
    <comment ref="A311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ID#AAAB1_7cxDk
pccli    (2025-12-16 12:39:19)
(Aqui descreva o material permanente)</t>
        </r>
      </text>
    </comment>
    <comment ref="A312" authorId="0" shapeId="0" xr:uid="{00000000-0006-0000-0000-00002E000000}">
      <text>
        <r>
          <rPr>
            <sz val="11"/>
            <color theme="1"/>
            <rFont val="Calibri"/>
            <scheme val="minor"/>
          </rPr>
          <t>======
ID#AAAB1_7c5eA
pccli    (2025-12-16 12:39:19)
(Aqui descreva o material permanente)</t>
        </r>
      </text>
    </comment>
    <comment ref="A313" authorId="0" shapeId="0" xr:uid="{00000000-0006-0000-0000-000033000000}">
      <text>
        <r>
          <rPr>
            <sz val="11"/>
            <color theme="1"/>
            <rFont val="Calibri"/>
            <scheme val="minor"/>
          </rPr>
          <t>======
ID#AAAB1_7c5dg
pccli    (2025-12-16 12:39:19)
(Aqui descreva o material permanente)</t>
        </r>
      </text>
    </comment>
    <comment ref="A314" authorId="0" shapeId="0" xr:uid="{00000000-0006-0000-0000-000035000000}">
      <text>
        <r>
          <rPr>
            <sz val="11"/>
            <color theme="1"/>
            <rFont val="Calibri"/>
            <scheme val="minor"/>
          </rPr>
          <t>======
ID#AAAB1_7c5eE
pccli    (2025-12-16 12:39:19)
(Aqui descreva o material permanente)</t>
        </r>
      </text>
    </comment>
    <comment ref="A315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ID#AAAB1_7cxC4
pccli    (2025-12-16 12:39:19)
(Aqui descreva o material permanente)</t>
        </r>
      </text>
    </comment>
    <comment ref="A316" authorId="0" shapeId="0" xr:uid="{00000000-0006-0000-0000-000032000000}">
      <text>
        <r>
          <rPr>
            <sz val="11"/>
            <color theme="1"/>
            <rFont val="Calibri"/>
            <scheme val="minor"/>
          </rPr>
          <t>======
ID#AAAB1_7c5eI
pccli    (2025-12-16 12:39:19)
(Aqui descreva o material permanente)</t>
        </r>
      </text>
    </comment>
    <comment ref="A317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ID#AAAB1_7c5d8
pccli    (2025-12-16 12:39:19)
(Aqui descreva o material permanente)</t>
        </r>
      </text>
    </comment>
    <comment ref="A318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ID#AAAB1_7cxDU
pccli    (2025-12-16 12:39:19)
(Aqui descreva o material permanente)</t>
        </r>
      </text>
    </comment>
    <comment ref="A319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ID#AAAB1_7c5fE
pccli    (2025-12-16 12:39:19)
(Aqui descreva o material permanente)</t>
        </r>
      </text>
    </comment>
    <comment ref="A320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ID#AAAB1_7c5fI
pccli    (2025-12-16 12:39:19)
(Aqui descreva o material permanente)</t>
        </r>
      </text>
    </comment>
    <comment ref="A321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ID#AAAB1_7c5ew
pccli    (2025-12-16 12:39:19)
(Aqui descreva o material permanente)</t>
        </r>
      </text>
    </comment>
    <comment ref="A322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ID#AAAB1_7c5ek
pccli    (2025-12-16 12:39:19)
(Aqui descreva o material permanente)</t>
        </r>
      </text>
    </comment>
    <comment ref="A323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ID#AAAB1_7cxDc
pccli    (2025-12-16 12:39:19)
(Aqui descreva o material permanente)</t>
        </r>
      </text>
    </comment>
    <comment ref="A324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ID#AAAB2ADPuSw
pccli    (2025-12-16 12:39:19)
(Aqui descreva o material permanente)</t>
        </r>
      </text>
    </comment>
    <comment ref="A325" authorId="0" shapeId="0" xr:uid="{00000000-0006-0000-0000-000034000000}">
      <text>
        <r>
          <rPr>
            <sz val="11"/>
            <color theme="1"/>
            <rFont val="Calibri"/>
            <scheme val="minor"/>
          </rPr>
          <t>======
ID#AAAB2ADPuS0
pccli    (2025-12-16 12:39:19)
(Aqui descreva o material permanente)</t>
        </r>
      </text>
    </comment>
    <comment ref="A326" authorId="0" shapeId="0" xr:uid="{00000000-0006-0000-0000-000029000000}">
      <text>
        <r>
          <rPr>
            <sz val="11"/>
            <color theme="1"/>
            <rFont val="Calibri"/>
            <scheme val="minor"/>
          </rPr>
          <t>======
ID#AAAB1_7c5e0
pccli    (2025-12-16 12:39:19)
(Aqui descreva o material permanente)</t>
        </r>
      </text>
    </comment>
    <comment ref="A327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ID#AAAB2ADPuTA
pccli    (2025-12-16 12:39:19)
(Aqui descreva o material permanente)</t>
        </r>
      </text>
    </comment>
    <comment ref="A328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ID#AAAB1_7c5eo
pccli    (2025-12-16 12:39:19)
(Aqui descreva o material permanente)</t>
        </r>
      </text>
    </comment>
    <comment ref="A329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ID#AAAB1_7c5es
pccli    (2025-12-16 12:39:19)
(Aqui descreva o material permanente)</t>
        </r>
      </text>
    </comment>
    <comment ref="A330" authorId="0" shapeId="0" xr:uid="{00000000-0006-0000-0000-000036000000}">
      <text>
        <r>
          <rPr>
            <sz val="11"/>
            <color theme="1"/>
            <rFont val="Calibri"/>
            <scheme val="minor"/>
          </rPr>
          <t>======
ID#AAAB1_7c5dc
pccli    (2025-12-16 12:39:19)
(Aqui descreva o material permanente)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9yrnSBEi6SL/HyVPlGJKyB/vTg=="/>
    </ext>
  </extLst>
</comments>
</file>

<file path=xl/sharedStrings.xml><?xml version="1.0" encoding="utf-8"?>
<sst xmlns="http://schemas.openxmlformats.org/spreadsheetml/2006/main" count="486" uniqueCount="381">
  <si>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</si>
  <si>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</si>
  <si>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</si>
  <si>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</si>
  <si>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</si>
  <si>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</si>
  <si>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</si>
  <si>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</si>
  <si>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</si>
  <si>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</si>
  <si>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</si>
  <si>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>FUNÇÃO: REITORA</t>
  </si>
  <si>
    <t>MATRÍCULA NO SIAPE: 379536</t>
  </si>
  <si>
    <t>1.2- FUNDAÇÃO</t>
  </si>
  <si>
    <t>ESF. ADMINISTRATIVA: PRIVADA</t>
  </si>
  <si>
    <t>PREENCHER APENAS SE TRIPARTITE</t>
  </si>
  <si>
    <t xml:space="preserve">1.3 – CONCEDENTE/FINANCIADOR: DADOS EMPRESA </t>
  </si>
  <si>
    <t>Nome:</t>
  </si>
  <si>
    <t>C.N.P.J.</t>
  </si>
  <si>
    <t>Endereço:</t>
  </si>
  <si>
    <t>Cidade:</t>
  </si>
  <si>
    <t xml:space="preserve">UF: </t>
  </si>
  <si>
    <t>CEP</t>
  </si>
  <si>
    <t xml:space="preserve">DADOS DO PROJETO </t>
  </si>
  <si>
    <t>2.1.1 - TÍTULO</t>
  </si>
  <si>
    <t>(insira aqui o título do projeto)</t>
  </si>
  <si>
    <t>2.1.2 - INÍCIO</t>
  </si>
  <si>
    <t>A PARTIR DA ASSINATURA DO CONTRATO</t>
  </si>
  <si>
    <t>2.1.3 - TÉRMINO</t>
  </si>
  <si>
    <t>(nº de meses)</t>
  </si>
  <si>
    <t>Meses, a contar da assinatura do contrato</t>
  </si>
  <si>
    <t>(Ou insira aqui a data de término do projeto)</t>
  </si>
  <si>
    <t>2.1.4 - COORDENADOR</t>
  </si>
  <si>
    <t>(insira aqui o nome do coordenador do projeto)</t>
  </si>
  <si>
    <t>(insira aqui o CPF do coordenador)</t>
  </si>
  <si>
    <t>(insira aqui o e-mail do coordenador)</t>
  </si>
  <si>
    <t>(insira aqui o telefone do coordenador)</t>
  </si>
  <si>
    <t>2.1.5 - FISCAL</t>
  </si>
  <si>
    <t>(insira aqui o nome do fiscal)</t>
  </si>
  <si>
    <t>(insira aqui o e-mail do fiscal)</t>
  </si>
  <si>
    <t xml:space="preserve">2.1.6 - COORDENADOR ADMINISTRATIVO </t>
  </si>
  <si>
    <t>(insira aqui o nome do coordenador administrativo )</t>
  </si>
  <si>
    <t>(insira aqui o e-mail do coordenador administrativo)</t>
  </si>
  <si>
    <t>2.1.7 - N° DE REGISTRO</t>
  </si>
  <si>
    <t>(insira aqui o número do projeto na Plataforma Web)</t>
  </si>
  <si>
    <t>2.1.8 - CLASSIFICAÇÃO DO PROJETO</t>
  </si>
  <si>
    <t>Selecione o enquadramento do projeto</t>
  </si>
  <si>
    <t>2.2 - OBJETO/OBJETIVOS</t>
  </si>
  <si>
    <t xml:space="preserve">Conforme registro do portal de projetos </t>
  </si>
  <si>
    <t>2.3 - JUSTIFICATIVA</t>
  </si>
  <si>
    <t>2.4 - RESULTADOS ESPERADOS</t>
  </si>
  <si>
    <t>(insira aqui o texto)</t>
  </si>
  <si>
    <t>3 - FONTES E USOS</t>
  </si>
  <si>
    <t>3.1 - FONTES</t>
  </si>
  <si>
    <t>ESPECIFICAÇÃO DOS RECURSOS FINANCEIROS PROVENIENTES:</t>
  </si>
  <si>
    <t>TOTAL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</si>
  <si>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</si>
  <si>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</si>
  <si>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</si>
  <si>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</si>
  <si>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</si>
  <si>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</si>
  <si>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</si>
  <si>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</si>
  <si>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repasse de outras fontes de recursos orçamentários da União (TED)</t>
  </si>
  <si>
    <t>do compartilhamento de infraestrutura</t>
  </si>
  <si>
    <t>3.2 - USOS</t>
  </si>
  <si>
    <t>ESPECIFICAÇÃO</t>
  </si>
  <si>
    <t>VALOR</t>
  </si>
  <si>
    <t>DESPESAS DE CUSTEIO</t>
  </si>
  <si>
    <t>DESPESAS DE CAPITAL</t>
  </si>
  <si>
    <t>RESSARCIMENTO INFRAESTRUTURA UFSM (5% a 8% CUSTEIO)</t>
  </si>
  <si>
    <t xml:space="preserve">DESPESAS OPERACIONAIS FUNDAÇÃO </t>
  </si>
  <si>
    <t>4 - PLANO DE APLICAÇÃO</t>
  </si>
  <si>
    <r>
      <rPr>
        <b/>
        <sz val="14"/>
        <color rgb="FFFF0000"/>
        <rFont val="Calibri"/>
      </rPr>
      <t>SOMENTE SE PROJETO DE PRESTAÇÃO DE SERVIÇOS:</t>
    </r>
    <r>
      <rPr>
        <b/>
        <sz val="14"/>
        <color theme="1"/>
        <rFont val="Calibri"/>
      </rPr>
      <t xml:space="preserve">
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</si>
  <si>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</si>
  <si>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4.1 - Equipe Executora</t>
  </si>
  <si>
    <r>
      <rPr>
        <b/>
        <sz val="14"/>
        <color rgb="FFFF0000"/>
        <rFont val="Calibri"/>
      </rPr>
      <t xml:space="preserve">A equipe executora da UFSM deve representar, no mínimo, 2/3 do total de pessoas vinculadas às ICTs participantes do projeto, conforme art. 6º do Decreto 7.423/2010:  </t>
    </r>
    <r>
      <rPr>
        <b/>
        <sz val="14"/>
        <color rgb="FF1E4E79"/>
        <rFont val="Calibri"/>
      </rPr>
      <t xml:space="preserve">                                           
</t>
    </r>
    <r>
      <rPr>
        <b/>
        <sz val="14"/>
        <color rgb="FFFF0000"/>
        <rFont val="Calibri"/>
      </rPr>
      <t>- § 3o.  Os projetos devem ser realizados por no mínimo dois terços de pessoas vinculadas à instituição apoiada, incluindo docentes, servidores técnico-administrativos, estudantes regulares, pesquisadores de pós-doutorado e bolsistas com vínculo formal a programas de pesquisa da instituição apoiada.
- § 10.  No caso de projetos desenvolvidos em conjunto por mais de uma instituição, o percentual referido no § 3o poderá ser alcançado por meio da soma da participação de pessoas vinculadas às instituições envolvidas.</t>
    </r>
    <r>
      <rPr>
        <b/>
        <sz val="14"/>
        <color rgb="FF1E4E79"/>
        <rFont val="Calibri"/>
      </rPr>
      <t xml:space="preserve">
</t>
    </r>
    <r>
      <rPr>
        <b/>
        <sz val="14"/>
        <color rgb="FFFF0000"/>
        <rFont val="Calibri"/>
      </rPr>
      <t xml:space="preserve">
Também, conforme Art. 5 da Portaria nº 191 de 2012, a Fundação de Apoio precisa comprovar o atendimento à regra acima para fins de renovação do credenciamento junto ao Ministério da Educação e IFE apoiada.
Em caso de alterações na equipe executora, </t>
    </r>
    <r>
      <rPr>
        <b/>
        <sz val="14"/>
        <color rgb="FFFF0000"/>
        <rFont val="Calibri"/>
      </rPr>
      <t>o Coordenador deverá preencher a</t>
    </r>
    <r>
      <rPr>
        <b/>
        <sz val="14"/>
        <color rgb="FFFF0000"/>
        <rFont val="Calibri"/>
      </rPr>
      <t xml:space="preserve"> Ficha de Gestão "Retificadora", </t>
    </r>
    <r>
      <rPr>
        <b/>
        <sz val="14"/>
        <color rgb="FFFF0000"/>
        <rFont val="Calibri"/>
      </rPr>
      <t xml:space="preserve">que deverá ser devidamente assinada e aprovada pelas instâncias competentes. A ficha deve incluir a equipe completa, ou seja, mesmo que um membro tenha deixado o projeto, sua participação e o período correspondente devem ser registrados.   </t>
    </r>
    <r>
      <rPr>
        <b/>
        <sz val="14"/>
        <color rgb="FFFF0000"/>
        <rFont val="Calibri"/>
      </rPr>
      <t xml:space="preserve">   </t>
    </r>
  </si>
  <si>
    <t>4.1.1 - Equipe executora vinculada à UFSM e outras ICTs envolvidas no acordo/contrato (professores, taes e alunos regulares)</t>
  </si>
  <si>
    <t xml:space="preserve">Pessoal Envolvido 
(Tipo de Remuneração) </t>
  </si>
  <si>
    <t>NOME</t>
  </si>
  <si>
    <t>SIAPE/MAT.</t>
  </si>
  <si>
    <t>CPF</t>
  </si>
  <si>
    <t>Carga Horária (Semanal)</t>
  </si>
  <si>
    <t>Nº de Pagtos</t>
  </si>
  <si>
    <t>Valor de cada Pagto</t>
  </si>
  <si>
    <t>4.1.2 - Equipe executora não vinculada à UFSM (colaboradores de empresas, participantes de outras ICTs, CLT, entre outros não envolvidos no acordo/contrato)</t>
  </si>
  <si>
    <t>FORMA DE CONTRATAÇÃO</t>
  </si>
  <si>
    <t>Carga Horária (semanal)</t>
  </si>
  <si>
    <t>4.2 - Diárias</t>
  </si>
  <si>
    <t>4.3 - Serviços de Terceiros Pessoa Jurídica</t>
  </si>
  <si>
    <t>4.4 - Serviços de Terceiros - Pessoa Física</t>
  </si>
  <si>
    <t>4.4.1 - Obrigações Tributárias e Contributivas</t>
  </si>
  <si>
    <t>Incide 20% de INSS Patronal do total de Serviços de Terceiros Pessoa Física - docentes e TAEs que receberem RPA</t>
  </si>
  <si>
    <t>4.5 - Passagens e Despesas de Locomoção</t>
  </si>
  <si>
    <t>4.6 - Material de Consumo</t>
  </si>
  <si>
    <t>4.7 - Equipamento e Material Permanente (Anexo I)</t>
  </si>
  <si>
    <t>4.8 - Obras e Instalações</t>
  </si>
  <si>
    <t>4.9 - Ressarcimento pelo Uso da Infraestrutura da UFSM</t>
  </si>
  <si>
    <t>Ressarcimento pelo Uso da Infraestrutura da UFSM</t>
  </si>
  <si>
    <t>4.10 - Despesas operacionais e administravas da FUNDAÇÃO DE APOIO</t>
  </si>
  <si>
    <t>Despesas operacionais e administravas da FUNDAÇÃO DE APOIO</t>
  </si>
  <si>
    <t>TOTAL GERAL</t>
  </si>
  <si>
    <t>5 - CRONOGRAMA DE EXECUÇÃO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</si>
  <si>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</si>
  <si>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</si>
  <si>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</si>
  <si>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</si>
  <si>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</si>
  <si>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INÍCIO</t>
  </si>
  <si>
    <t>TÉRMINO</t>
  </si>
  <si>
    <t>(descreva aqui a fase da meta de execução)</t>
  </si>
  <si>
    <t>5.1 DESCRIÇÃO DAS ATIVIDADES</t>
  </si>
  <si>
    <t>Descrição das atividades de cada membro da equipe relacionando com a meta/fase do projeto:</t>
  </si>
  <si>
    <t>Nome</t>
  </si>
  <si>
    <t>(descreva as atividades por meta/fase)</t>
  </si>
  <si>
    <r>
      <rPr>
        <b/>
        <sz val="14"/>
        <color rgb="FFFFFF00"/>
        <rFont val="Calibri"/>
      </rPr>
      <t xml:space="preserve">ESCOLHA APENAS UMA DAS OPÇÕES </t>
    </r>
    <r>
      <rPr>
        <b/>
        <sz val="14"/>
        <color rgb="FFFFFFFF"/>
        <rFont val="Calibri"/>
      </rPr>
      <t xml:space="preserve">DE PERÍODO DE REMBOLSO ABAIXO: </t>
    </r>
  </si>
  <si>
    <t>MENSAL OU SEMESTRAL OU ANUAL</t>
  </si>
  <si>
    <t>6 - CRONOGRAMA DE DESEMBOLSO</t>
  </si>
  <si>
    <t xml:space="preserve">MENSAL 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</si>
  <si>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</si>
  <si>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</si>
  <si>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</si>
  <si>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</si>
  <si>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</si>
  <si>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</si>
  <si>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</si>
  <si>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</si>
  <si>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</si>
  <si>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</si>
  <si>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</si>
  <si>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ANUAL</t>
  </si>
  <si>
    <t>ANO 1</t>
  </si>
  <si>
    <t>ANO 2</t>
  </si>
  <si>
    <t>ANO 3</t>
  </si>
  <si>
    <t>ANO 4</t>
  </si>
  <si>
    <t>ANO 5</t>
  </si>
  <si>
    <t>ANEXO I - MATERIAL E EQUIPAMENTO PERMANENTE</t>
  </si>
  <si>
    <t>QUANTIDADE</t>
  </si>
  <si>
    <t>VALOR UNITÁRIO</t>
  </si>
  <si>
    <t>VALOR TOTAL</t>
  </si>
  <si>
    <t>(Aqui descreva o material permanente)</t>
  </si>
  <si>
    <t>Anexo II</t>
  </si>
  <si>
    <t xml:space="preserve">LISTA DE LABORATÓRIOS OU INFRAESTRUTURAS QUE EXIGEM AUTORIZAÇÃO PARA USO </t>
  </si>
  <si>
    <t>laboratório/infraestrutura</t>
  </si>
  <si>
    <t>unidade acadêmica ou pró-reitoria</t>
  </si>
  <si>
    <t xml:space="preserve"> Departamento/Órgão/Setor</t>
  </si>
  <si>
    <t>Responsável pelo local</t>
  </si>
  <si>
    <t>(nome do servidor ou colegiado)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</si>
  <si>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</si>
  <si>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</si>
  <si>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</si>
  <si>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</si>
  <si>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</si>
  <si>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</si>
  <si>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</si>
  <si>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</si>
  <si>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</si>
  <si>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</si>
  <si>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</si>
  <si>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</si>
  <si>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</si>
  <si>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</si>
  <si>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</si>
  <si>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</si>
  <si>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</si>
  <si>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</si>
  <si>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</si>
  <si>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</si>
  <si>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</si>
  <si>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</si>
  <si>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</si>
  <si>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</si>
  <si>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</si>
  <si>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</si>
  <si>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</si>
  <si>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</si>
  <si>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</si>
  <si>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</si>
  <si>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</si>
  <si>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</si>
  <si>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</si>
  <si>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</si>
  <si>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</si>
  <si>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</si>
  <si>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</si>
  <si>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</si>
  <si>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</si>
  <si>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</si>
  <si>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</si>
  <si>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</si>
  <si>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</si>
  <si>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</si>
  <si>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</si>
  <si>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</si>
  <si>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</si>
  <si>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</si>
  <si>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</si>
  <si>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</si>
  <si>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</si>
  <si>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</si>
  <si>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</si>
  <si>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</si>
  <si>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</si>
  <si>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</si>
  <si>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</si>
  <si>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</si>
  <si>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</si>
  <si>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</si>
  <si>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</si>
  <si>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</si>
  <si>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</si>
  <si>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</si>
  <si>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</si>
  <si>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</si>
  <si>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</si>
  <si>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</si>
  <si>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</si>
  <si>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</si>
  <si>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</si>
  <si>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</si>
  <si>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</si>
  <si>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</si>
  <si>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</si>
  <si>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</si>
  <si>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</si>
  <si>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</si>
  <si>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</si>
  <si>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</si>
  <si>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</si>
  <si>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</si>
  <si>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</si>
  <si>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</si>
  <si>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</si>
  <si>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</si>
  <si>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</si>
  <si>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</si>
  <si>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</si>
  <si>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</si>
  <si>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</si>
  <si>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</si>
  <si>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</si>
  <si>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</si>
  <si>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</si>
  <si>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</si>
  <si>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</si>
  <si>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</si>
  <si>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</si>
  <si>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</si>
  <si>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</si>
  <si>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</si>
  <si>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</si>
  <si>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</si>
  <si>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</si>
  <si>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</si>
  <si>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</si>
  <si>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</si>
  <si>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</si>
  <si>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</si>
  <si>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</si>
  <si>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</si>
  <si>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</si>
  <si>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</si>
  <si>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</si>
  <si>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</si>
  <si>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</si>
  <si>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</si>
  <si>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</si>
  <si>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</si>
  <si>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</si>
  <si>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</si>
  <si>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</si>
  <si>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</si>
  <si>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</si>
  <si>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</si>
  <si>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</si>
  <si>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</si>
  <si>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</si>
  <si>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</si>
  <si>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</si>
  <si>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</si>
  <si>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</si>
  <si>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</si>
  <si>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</si>
  <si>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</si>
  <si>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</si>
  <si>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</si>
  <si>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</si>
  <si>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</si>
  <si>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</si>
  <si>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</si>
  <si>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</si>
  <si>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</si>
  <si>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</si>
  <si>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</si>
  <si>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</si>
  <si>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</si>
  <si>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</si>
  <si>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</si>
  <si>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</si>
  <si>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</si>
  <si>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</si>
  <si>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</si>
  <si>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</si>
  <si>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</si>
  <si>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</si>
  <si>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</si>
  <si>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</si>
  <si>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</si>
  <si>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</si>
  <si>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</si>
  <si>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</si>
  <si>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</si>
  <si>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</si>
  <si>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</si>
  <si>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</si>
  <si>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</si>
  <si>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</si>
  <si>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</si>
  <si>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</si>
  <si>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</si>
  <si>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</si>
  <si>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</si>
  <si>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</si>
  <si>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</si>
  <si>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</si>
  <si>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</si>
  <si>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</si>
  <si>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</si>
  <si>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</si>
  <si>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</si>
  <si>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</si>
  <si>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</si>
  <si>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</si>
  <si>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</si>
  <si>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</si>
  <si>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</si>
  <si>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</si>
  <si>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</si>
  <si>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</si>
  <si>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</si>
  <si>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</si>
  <si>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</si>
  <si>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</si>
  <si>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</si>
  <si>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</si>
  <si>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</si>
  <si>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</si>
  <si>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</si>
  <si>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</si>
  <si>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</si>
  <si>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</si>
  <si>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</si>
  <si>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</si>
  <si>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</si>
  <si>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</si>
  <si>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</si>
  <si>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</si>
  <si>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</si>
  <si>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</si>
  <si>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</si>
  <si>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</si>
  <si>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</si>
  <si>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</si>
  <si>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</si>
  <si>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</si>
  <si>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</si>
  <si>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</si>
  <si>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</si>
  <si>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</si>
  <si>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</si>
  <si>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</si>
  <si>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NOME: FUNDAÇÃO DE APOIO DA UNIVERCIDADE FEDERAL DO RIO GRANDE DO SUL- FAURGS</t>
  </si>
  <si>
    <t>C.N.P.J.: 74.704.008/0005-07</t>
  </si>
  <si>
    <t>ENDEREÇO: AV. RORAIMA, 1000 - CAMOBI - EDIF. 47, SALA 327</t>
  </si>
  <si>
    <t>CEP: 97105-970</t>
  </si>
  <si>
    <t>DDD/FONE: (51) 3166-946</t>
  </si>
  <si>
    <t>NOME DO DIRIGENTE DA ENTIDADE PROPONENTE: Lívio Amaral</t>
  </si>
  <si>
    <t>FUNÇÃO: PRESIDENTE</t>
  </si>
  <si>
    <t>Plano de Trabalho - FAURGS</t>
  </si>
  <si>
    <t>2.5 - RESUMO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</si>
</sst>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00\.000\.000\-00"/>
    <numFmt numFmtId="165" formatCode="0#####"/>
    <numFmt numFmtId="166" formatCode="_-&quot;R$&quot;\ * #,##0.00_-;\-&quot;R$&quot;\ * #,##0.00_-;_-&quot;R$&quot;\ * &quot;-&quot;??_-;_-@"/>
    <numFmt numFmtId="167" formatCode="_-[$R$-416]\ * #,##0.00_-;\-[$R$-416]\ * #,##0.00_-;_-[$R$-416]\ * &quot;-&quot;??_-;_-@"/>
    <numFmt numFmtId="168" formatCode="_-* #,##0.00_-;\-* #,##0.00_-;_-* &quot;-&quot;??_-;_-@"/>
  </numFmts>
  <fonts count="16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sz val="11"/>
      <name val="Calibri"/>
    </font>
    <font>
      <sz val="11"/>
      <color theme="1"/>
      <name val="Calibri"/>
    </font>
    <font>
      <sz val="14"/>
      <color theme="1"/>
      <name val="Arial"/>
    </font>
    <font>
      <b/>
      <sz val="14"/>
      <color rgb="FFFF0000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4"/>
      <color rgb="FFFFFFFF"/>
      <name val="Calibri"/>
    </font>
    <font>
      <sz val="11"/>
      <color theme="1"/>
      <name val="Calibri"/>
    </font>
    <font>
      <b/>
      <sz val="14"/>
      <color rgb="FF1E4E79"/>
      <name val="Calibri"/>
    </font>
    <font>
      <b/>
      <sz val="14"/>
      <color rgb="FFFFFF00"/>
      <name val="Calibri"/>
    </font>
    <font>
      <b/>
      <sz val="14"/>
      <color rgb="FF000000"/>
      <name val="Calibri"/>
      <family val="2"/>
    </font>
    <font>
      <sz val="11"/>
      <name val="Calibri"/>
      <family val="2"/>
    </font>
    <font>
      <sz val="14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</fills>
  <borders count="11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5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2" borderId="17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5" borderId="17" xfId="0" applyFont="1" applyFill="1" applyBorder="1" applyAlignment="1">
      <alignment vertical="center" wrapText="1"/>
    </xf>
    <xf numFmtId="0" fontId="2" fillId="3" borderId="21" xfId="0" applyFont="1" applyFill="1" applyBorder="1" applyAlignment="1">
      <alignment vertical="center" wrapText="1"/>
    </xf>
    <xf numFmtId="0" fontId="2" fillId="3" borderId="21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3" borderId="53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56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1" fillId="3" borderId="73" xfId="0" applyFont="1" applyFill="1" applyBorder="1" applyAlignment="1">
      <alignment horizontal="center" vertical="center" wrapText="1"/>
    </xf>
    <xf numFmtId="0" fontId="1" fillId="3" borderId="74" xfId="0" applyFont="1" applyFill="1" applyBorder="1" applyAlignment="1">
      <alignment horizontal="center" vertical="center" wrapText="1"/>
    </xf>
    <xf numFmtId="166" fontId="1" fillId="3" borderId="74" xfId="0" applyNumberFormat="1" applyFont="1" applyFill="1" applyBorder="1" applyAlignment="1">
      <alignment horizontal="center" vertical="center"/>
    </xf>
    <xf numFmtId="166" fontId="1" fillId="3" borderId="7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49" fontId="8" fillId="3" borderId="82" xfId="0" applyNumberFormat="1" applyFont="1" applyFill="1" applyBorder="1" applyAlignment="1">
      <alignment horizontal="center" vertical="center" wrapText="1"/>
    </xf>
    <xf numFmtId="0" fontId="2" fillId="3" borderId="82" xfId="0" applyFont="1" applyFill="1" applyBorder="1" applyAlignment="1">
      <alignment horizontal="center" vertical="center" wrapText="1"/>
    </xf>
    <xf numFmtId="0" fontId="8" fillId="3" borderId="82" xfId="0" applyFont="1" applyFill="1" applyBorder="1" applyAlignment="1">
      <alignment horizontal="center" vertical="center" wrapText="1"/>
    </xf>
    <xf numFmtId="167" fontId="8" fillId="3" borderId="82" xfId="0" applyNumberFormat="1" applyFont="1" applyFill="1" applyBorder="1" applyAlignment="1">
      <alignment horizontal="center" vertical="center" shrinkToFit="1"/>
    </xf>
    <xf numFmtId="166" fontId="2" fillId="2" borderId="83" xfId="0" applyNumberFormat="1" applyFont="1" applyFill="1" applyBorder="1" applyAlignment="1">
      <alignment vertical="center" shrinkToFit="1"/>
    </xf>
    <xf numFmtId="49" fontId="8" fillId="3" borderId="17" xfId="0" applyNumberFormat="1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167" fontId="8" fillId="3" borderId="17" xfId="0" applyNumberFormat="1" applyFont="1" applyFill="1" applyBorder="1" applyAlignment="1">
      <alignment horizontal="center" vertical="center" shrinkToFit="1"/>
    </xf>
    <xf numFmtId="49" fontId="2" fillId="3" borderId="17" xfId="0" applyNumberFormat="1" applyFont="1" applyFill="1" applyBorder="1" applyAlignment="1">
      <alignment horizontal="center" vertical="center" wrapText="1"/>
    </xf>
    <xf numFmtId="168" fontId="2" fillId="3" borderId="17" xfId="0" applyNumberFormat="1" applyFont="1" applyFill="1" applyBorder="1" applyAlignment="1">
      <alignment vertical="center" wrapText="1"/>
    </xf>
    <xf numFmtId="49" fontId="2" fillId="3" borderId="84" xfId="0" applyNumberFormat="1" applyFont="1" applyFill="1" applyBorder="1" applyAlignment="1">
      <alignment horizontal="center" vertical="center" wrapText="1"/>
    </xf>
    <xf numFmtId="0" fontId="2" fillId="3" borderId="84" xfId="0" applyFont="1" applyFill="1" applyBorder="1" applyAlignment="1">
      <alignment horizontal="center" vertical="center" wrapText="1"/>
    </xf>
    <xf numFmtId="168" fontId="2" fillId="3" borderId="84" xfId="0" applyNumberFormat="1" applyFont="1" applyFill="1" applyBorder="1" applyAlignment="1">
      <alignment vertical="center" wrapText="1"/>
    </xf>
    <xf numFmtId="166" fontId="2" fillId="2" borderId="85" xfId="0" applyNumberFormat="1" applyFont="1" applyFill="1" applyBorder="1" applyAlignment="1">
      <alignment vertical="center" shrinkToFit="1"/>
    </xf>
    <xf numFmtId="0" fontId="2" fillId="3" borderId="86" xfId="0" applyFont="1" applyFill="1" applyBorder="1" applyAlignment="1">
      <alignment vertical="center"/>
    </xf>
    <xf numFmtId="49" fontId="2" fillId="3" borderId="94" xfId="0" applyNumberFormat="1" applyFont="1" applyFill="1" applyBorder="1" applyAlignment="1">
      <alignment horizontal="center" vertical="center" wrapText="1"/>
    </xf>
    <xf numFmtId="0" fontId="2" fillId="3" borderId="94" xfId="0" applyFont="1" applyFill="1" applyBorder="1" applyAlignment="1">
      <alignment horizontal="center" vertical="center" wrapText="1"/>
    </xf>
    <xf numFmtId="168" fontId="2" fillId="3" borderId="94" xfId="0" applyNumberFormat="1" applyFont="1" applyFill="1" applyBorder="1" applyAlignment="1">
      <alignment vertical="center" wrapText="1"/>
    </xf>
    <xf numFmtId="167" fontId="2" fillId="3" borderId="94" xfId="0" applyNumberFormat="1" applyFont="1" applyFill="1" applyBorder="1" applyAlignment="1">
      <alignment horizontal="center" vertical="center" shrinkToFit="1"/>
    </xf>
    <xf numFmtId="167" fontId="2" fillId="3" borderId="17" xfId="0" applyNumberFormat="1" applyFont="1" applyFill="1" applyBorder="1" applyAlignment="1">
      <alignment horizontal="center" vertical="center" shrinkToFit="1"/>
    </xf>
    <xf numFmtId="167" fontId="2" fillId="3" borderId="84" xfId="0" applyNumberFormat="1" applyFont="1" applyFill="1" applyBorder="1" applyAlignment="1">
      <alignment horizontal="center" vertical="center" shrinkToFit="1"/>
    </xf>
    <xf numFmtId="166" fontId="2" fillId="2" borderId="95" xfId="0" applyNumberFormat="1" applyFont="1" applyFill="1" applyBorder="1" applyAlignment="1">
      <alignment vertical="center" shrinkToFit="1"/>
    </xf>
    <xf numFmtId="0" fontId="2" fillId="3" borderId="96" xfId="0" applyFont="1" applyFill="1" applyBorder="1" applyAlignment="1">
      <alignment vertical="center" wrapText="1"/>
    </xf>
    <xf numFmtId="0" fontId="2" fillId="3" borderId="97" xfId="0" applyFont="1" applyFill="1" applyBorder="1" applyAlignment="1">
      <alignment horizontal="center" vertical="center" wrapText="1"/>
    </xf>
    <xf numFmtId="49" fontId="2" fillId="3" borderId="97" xfId="0" applyNumberFormat="1" applyFont="1" applyFill="1" applyBorder="1" applyAlignment="1">
      <alignment horizontal="center" vertical="center" wrapText="1"/>
    </xf>
    <xf numFmtId="168" fontId="2" fillId="3" borderId="97" xfId="0" applyNumberFormat="1" applyFont="1" applyFill="1" applyBorder="1" applyAlignment="1">
      <alignment vertical="center" wrapText="1"/>
    </xf>
    <xf numFmtId="167" fontId="2" fillId="3" borderId="97" xfId="0" applyNumberFormat="1" applyFont="1" applyFill="1" applyBorder="1" applyAlignment="1">
      <alignment horizontal="center" vertical="center" shrinkToFit="1"/>
    </xf>
    <xf numFmtId="166" fontId="2" fillId="3" borderId="97" xfId="0" applyNumberFormat="1" applyFont="1" applyFill="1" applyBorder="1" applyAlignment="1">
      <alignment vertical="center" shrinkToFit="1"/>
    </xf>
    <xf numFmtId="0" fontId="1" fillId="2" borderId="17" xfId="0" applyFont="1" applyFill="1" applyBorder="1" applyAlignment="1">
      <alignment horizontal="center" vertical="center"/>
    </xf>
    <xf numFmtId="0" fontId="1" fillId="2" borderId="83" xfId="0" applyFont="1" applyFill="1" applyBorder="1" applyAlignment="1">
      <alignment horizontal="center" vertical="center"/>
    </xf>
    <xf numFmtId="0" fontId="2" fillId="3" borderId="103" xfId="0" applyFont="1" applyFill="1" applyBorder="1" applyAlignment="1">
      <alignment horizontal="center" vertical="center"/>
    </xf>
    <xf numFmtId="14" fontId="2" fillId="3" borderId="17" xfId="0" applyNumberFormat="1" applyFont="1" applyFill="1" applyBorder="1" applyAlignment="1">
      <alignment vertical="center"/>
    </xf>
    <xf numFmtId="14" fontId="2" fillId="3" borderId="83" xfId="0" applyNumberFormat="1" applyFont="1" applyFill="1" applyBorder="1" applyAlignment="1">
      <alignment vertical="center"/>
    </xf>
    <xf numFmtId="0" fontId="2" fillId="3" borderId="104" xfId="0" applyFont="1" applyFill="1" applyBorder="1" applyAlignment="1">
      <alignment horizontal="center" vertical="center"/>
    </xf>
    <xf numFmtId="0" fontId="2" fillId="3" borderId="86" xfId="0" applyFont="1" applyFill="1" applyBorder="1" applyAlignment="1">
      <alignment horizontal="center" vertical="center"/>
    </xf>
    <xf numFmtId="0" fontId="2" fillId="3" borderId="103" xfId="0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0" fontId="2" fillId="3" borderId="83" xfId="0" applyFont="1" applyFill="1" applyBorder="1" applyAlignment="1">
      <alignment vertical="center"/>
    </xf>
    <xf numFmtId="166" fontId="2" fillId="3" borderId="21" xfId="0" applyNumberFormat="1" applyFont="1" applyFill="1" applyBorder="1" applyAlignment="1">
      <alignment horizontal="center" vertical="center"/>
    </xf>
    <xf numFmtId="0" fontId="2" fillId="2" borderId="103" xfId="0" applyFont="1" applyFill="1" applyBorder="1" applyAlignment="1">
      <alignment horizontal="center" vertical="center"/>
    </xf>
    <xf numFmtId="0" fontId="2" fillId="11" borderId="21" xfId="0" applyFont="1" applyFill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" fillId="3" borderId="74" xfId="0" applyFont="1" applyFill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1" fillId="8" borderId="105" xfId="0" applyFont="1" applyFill="1" applyBorder="1" applyAlignment="1">
      <alignment horizontal="center" vertical="center"/>
    </xf>
    <xf numFmtId="0" fontId="1" fillId="8" borderId="94" xfId="0" applyFont="1" applyFill="1" applyBorder="1" applyAlignment="1">
      <alignment horizontal="center" vertical="center"/>
    </xf>
    <xf numFmtId="0" fontId="1" fillId="8" borderId="106" xfId="0" applyFont="1" applyFill="1" applyBorder="1" applyAlignment="1">
      <alignment horizontal="center" vertical="center"/>
    </xf>
    <xf numFmtId="0" fontId="1" fillId="7" borderId="107" xfId="0" applyFont="1" applyFill="1" applyBorder="1" applyAlignment="1">
      <alignment horizontal="center" vertical="center"/>
    </xf>
    <xf numFmtId="0" fontId="2" fillId="0" borderId="102" xfId="0" applyFont="1" applyBorder="1" applyAlignment="1">
      <alignment vertical="center"/>
    </xf>
    <xf numFmtId="0" fontId="2" fillId="8" borderId="108" xfId="0" applyFont="1" applyFill="1" applyBorder="1" applyAlignment="1">
      <alignment horizontal="center" vertical="center"/>
    </xf>
    <xf numFmtId="166" fontId="2" fillId="8" borderId="83" xfId="0" applyNumberFormat="1" applyFont="1" applyFill="1" applyBorder="1" applyAlignment="1">
      <alignment vertical="center" shrinkToFit="1"/>
    </xf>
    <xf numFmtId="0" fontId="2" fillId="8" borderId="86" xfId="0" applyFont="1" applyFill="1" applyBorder="1" applyAlignment="1">
      <alignment horizontal="center" vertical="center"/>
    </xf>
    <xf numFmtId="0" fontId="2" fillId="11" borderId="115" xfId="0" applyFont="1" applyFill="1" applyBorder="1" applyAlignment="1">
      <alignment vertical="center"/>
    </xf>
    <xf numFmtId="0" fontId="2" fillId="0" borderId="93" xfId="0" applyFont="1" applyBorder="1" applyAlignment="1">
      <alignment vertical="center"/>
    </xf>
    <xf numFmtId="166" fontId="2" fillId="8" borderId="95" xfId="0" applyNumberFormat="1" applyFont="1" applyFill="1" applyBorder="1" applyAlignment="1">
      <alignment vertical="center" shrinkToFit="1"/>
    </xf>
    <xf numFmtId="0" fontId="2" fillId="11" borderId="116" xfId="0" applyFont="1" applyFill="1" applyBorder="1" applyAlignment="1">
      <alignment vertical="center"/>
    </xf>
    <xf numFmtId="0" fontId="2" fillId="11" borderId="117" xfId="0" applyFont="1" applyFill="1" applyBorder="1" applyAlignment="1">
      <alignment vertical="center"/>
    </xf>
    <xf numFmtId="168" fontId="1" fillId="8" borderId="94" xfId="0" applyNumberFormat="1" applyFont="1" applyFill="1" applyBorder="1" applyAlignment="1">
      <alignment vertical="center"/>
    </xf>
    <xf numFmtId="168" fontId="2" fillId="3" borderId="17" xfId="0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Alignment="1"/>
    <xf numFmtId="0" fontId="2" fillId="2" borderId="16" xfId="0" applyFont="1" applyFill="1" applyBorder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  <xf numFmtId="0" fontId="2" fillId="0" borderId="16" xfId="0" applyFont="1" applyBorder="1" applyAlignment="1">
      <alignment horizontal="left" vertical="center"/>
    </xf>
    <xf numFmtId="0" fontId="5" fillId="3" borderId="16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2" fillId="3" borderId="16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38" xfId="0" applyFont="1" applyBorder="1"/>
    <xf numFmtId="0" fontId="3" fillId="0" borderId="36" xfId="0" applyFont="1" applyBorder="1"/>
    <xf numFmtId="0" fontId="3" fillId="0" borderId="39" xfId="0" applyFont="1" applyBorder="1"/>
    <xf numFmtId="0" fontId="2" fillId="2" borderId="40" xfId="0" applyFont="1" applyFill="1" applyBorder="1" applyAlignment="1">
      <alignment horizontal="left" vertical="center"/>
    </xf>
    <xf numFmtId="0" fontId="3" fillId="0" borderId="41" xfId="0" applyFont="1" applyBorder="1"/>
    <xf numFmtId="0" fontId="3" fillId="0" borderId="37" xfId="0" applyFont="1" applyBorder="1"/>
    <xf numFmtId="0" fontId="2" fillId="0" borderId="42" xfId="0" applyFont="1" applyBorder="1" applyAlignment="1">
      <alignment horizontal="left" vertical="center"/>
    </xf>
    <xf numFmtId="0" fontId="3" fillId="0" borderId="43" xfId="0" applyFont="1" applyBorder="1"/>
    <xf numFmtId="0" fontId="3" fillId="0" borderId="44" xfId="0" applyFont="1" applyBorder="1"/>
    <xf numFmtId="0" fontId="3" fillId="0" borderId="35" xfId="0" applyFont="1" applyBorder="1"/>
    <xf numFmtId="0" fontId="2" fillId="2" borderId="5" xfId="0" applyFont="1" applyFill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2" borderId="8" xfId="0" applyFont="1" applyFill="1" applyBorder="1" applyAlignment="1">
      <alignment horizontal="left" vertical="center" wrapText="1"/>
    </xf>
    <xf numFmtId="0" fontId="3" fillId="0" borderId="9" xfId="0" applyFont="1" applyBorder="1"/>
    <xf numFmtId="0" fontId="3" fillId="0" borderId="10" xfId="0" applyFont="1" applyBorder="1"/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 wrapText="1"/>
    </xf>
    <xf numFmtId="0" fontId="3" fillId="0" borderId="13" xfId="0" applyFont="1" applyBorder="1"/>
    <xf numFmtId="0" fontId="3" fillId="0" borderId="1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2" fillId="2" borderId="8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 wrapText="1"/>
    </xf>
    <xf numFmtId="0" fontId="3" fillId="0" borderId="34" xfId="0" applyFont="1" applyBorder="1"/>
    <xf numFmtId="0" fontId="5" fillId="3" borderId="29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3" fillId="0" borderId="31" xfId="0" applyFont="1" applyBorder="1"/>
    <xf numFmtId="0" fontId="5" fillId="5" borderId="28" xfId="0" applyFont="1" applyFill="1" applyBorder="1" applyAlignment="1">
      <alignment horizontal="left" vertical="center" wrapText="1"/>
    </xf>
    <xf numFmtId="12" fontId="2" fillId="0" borderId="32" xfId="0" applyNumberFormat="1" applyFont="1" applyBorder="1" applyAlignment="1">
      <alignment horizontal="center" vertical="center"/>
    </xf>
    <xf numFmtId="0" fontId="3" fillId="0" borderId="33" xfId="0" applyFont="1" applyBorder="1"/>
    <xf numFmtId="0" fontId="2" fillId="5" borderId="1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3" fillId="0" borderId="20" xfId="0" applyFont="1" applyBorder="1"/>
    <xf numFmtId="0" fontId="13" fillId="2" borderId="8" xfId="0" applyFont="1" applyFill="1" applyBorder="1" applyAlignment="1">
      <alignment horizontal="left"/>
    </xf>
    <xf numFmtId="0" fontId="14" fillId="0" borderId="9" xfId="0" applyFont="1" applyBorder="1"/>
    <xf numFmtId="0" fontId="14" fillId="0" borderId="10" xfId="0" applyFont="1" applyBorder="1"/>
    <xf numFmtId="0" fontId="15" fillId="2" borderId="8" xfId="0" applyFont="1" applyFill="1" applyBorder="1" applyAlignment="1">
      <alignment horizontal="center"/>
    </xf>
    <xf numFmtId="0" fontId="15" fillId="2" borderId="54" xfId="0" applyFont="1" applyFill="1" applyBorder="1" applyAlignment="1">
      <alignment horizontal="center"/>
    </xf>
    <xf numFmtId="0" fontId="14" fillId="0" borderId="115" xfId="0" applyFont="1" applyBorder="1"/>
    <xf numFmtId="0" fontId="15" fillId="2" borderId="104" xfId="0" applyFont="1" applyFill="1" applyBorder="1" applyAlignment="1">
      <alignment horizontal="center"/>
    </xf>
    <xf numFmtId="0" fontId="14" fillId="0" borderId="11" xfId="0" applyFont="1" applyBorder="1"/>
    <xf numFmtId="0" fontId="14" fillId="0" borderId="86" xfId="0" applyFont="1" applyBorder="1"/>
    <xf numFmtId="0" fontId="15" fillId="2" borderId="103" xfId="0" applyFont="1" applyFill="1" applyBorder="1" applyAlignment="1">
      <alignment horizontal="center"/>
    </xf>
    <xf numFmtId="0" fontId="14" fillId="0" borderId="7" xfId="0" applyFont="1" applyBorder="1"/>
    <xf numFmtId="0" fontId="2" fillId="2" borderId="40" xfId="0" applyFont="1" applyFill="1" applyBorder="1" applyAlignment="1">
      <alignment horizontal="left" vertical="center" wrapText="1"/>
    </xf>
    <xf numFmtId="0" fontId="3" fillId="0" borderId="45" xfId="0" applyFont="1" applyBorder="1"/>
    <xf numFmtId="0" fontId="2" fillId="2" borderId="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3" fillId="0" borderId="47" xfId="0" applyFont="1" applyBorder="1"/>
    <xf numFmtId="164" fontId="2" fillId="3" borderId="16" xfId="0" applyNumberFormat="1" applyFont="1" applyFill="1" applyBorder="1" applyAlignment="1">
      <alignment horizontal="left" vertical="center"/>
    </xf>
    <xf numFmtId="165" fontId="2" fillId="0" borderId="16" xfId="0" applyNumberFormat="1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0" fontId="3" fillId="0" borderId="49" xfId="0" applyFont="1" applyBorder="1"/>
    <xf numFmtId="0" fontId="3" fillId="0" borderId="50" xfId="0" applyFont="1" applyBorder="1"/>
    <xf numFmtId="0" fontId="1" fillId="2" borderId="22" xfId="0" applyFont="1" applyFill="1" applyBorder="1" applyAlignment="1">
      <alignment horizontal="left" vertical="center"/>
    </xf>
    <xf numFmtId="0" fontId="3" fillId="0" borderId="51" xfId="0" applyFont="1" applyBorder="1"/>
    <xf numFmtId="0" fontId="3" fillId="0" borderId="52" xfId="0" applyFont="1" applyBorder="1"/>
    <xf numFmtId="0" fontId="1" fillId="2" borderId="54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3" fillId="0" borderId="55" xfId="0" applyFont="1" applyBorder="1"/>
    <xf numFmtId="166" fontId="2" fillId="2" borderId="42" xfId="0" applyNumberFormat="1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left" vertical="center"/>
    </xf>
    <xf numFmtId="0" fontId="3" fillId="0" borderId="69" xfId="0" applyFont="1" applyBorder="1"/>
    <xf numFmtId="166" fontId="1" fillId="2" borderId="42" xfId="0" applyNumberFormat="1" applyFont="1" applyFill="1" applyBorder="1" applyAlignment="1">
      <alignment horizontal="center" vertical="center"/>
    </xf>
    <xf numFmtId="0" fontId="3" fillId="0" borderId="70" xfId="0" applyFont="1" applyBorder="1"/>
    <xf numFmtId="0" fontId="1" fillId="2" borderId="2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3" fillId="0" borderId="71" xfId="0" applyFont="1" applyBorder="1"/>
    <xf numFmtId="166" fontId="1" fillId="2" borderId="72" xfId="0" applyNumberFormat="1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166" fontId="1" fillId="3" borderId="42" xfId="0" applyNumberFormat="1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2" borderId="72" xfId="0" applyFont="1" applyFill="1" applyBorder="1" applyAlignment="1">
      <alignment horizontal="center" vertical="center" wrapText="1"/>
    </xf>
    <xf numFmtId="0" fontId="1" fillId="2" borderId="76" xfId="0" applyFont="1" applyFill="1" applyBorder="1" applyAlignment="1">
      <alignment horizontal="center" vertical="center" wrapText="1"/>
    </xf>
    <xf numFmtId="0" fontId="3" fillId="0" borderId="78" xfId="0" applyFont="1" applyBorder="1"/>
    <xf numFmtId="166" fontId="7" fillId="2" borderId="77" xfId="0" applyNumberFormat="1" applyFont="1" applyFill="1" applyBorder="1" applyAlignment="1">
      <alignment horizontal="center" vertical="center" shrinkToFit="1"/>
    </xf>
    <xf numFmtId="0" fontId="3" fillId="0" borderId="79" xfId="0" applyFont="1" applyBorder="1"/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/>
    </xf>
    <xf numFmtId="0" fontId="2" fillId="2" borderId="54" xfId="0" applyFont="1" applyFill="1" applyBorder="1" applyAlignment="1">
      <alignment horizontal="left" vertical="center"/>
    </xf>
    <xf numFmtId="0" fontId="2" fillId="0" borderId="64" xfId="0" applyFont="1" applyBorder="1" applyAlignment="1">
      <alignment horizontal="center" vertical="center"/>
    </xf>
    <xf numFmtId="0" fontId="3" fillId="0" borderId="63" xfId="0" applyFont="1" applyBorder="1"/>
    <xf numFmtId="0" fontId="2" fillId="0" borderId="62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left" vertical="center"/>
    </xf>
    <xf numFmtId="0" fontId="3" fillId="0" borderId="58" xfId="0" applyFont="1" applyBorder="1"/>
    <xf numFmtId="0" fontId="3" fillId="0" borderId="32" xfId="0" applyFont="1" applyBorder="1"/>
    <xf numFmtId="0" fontId="3" fillId="0" borderId="61" xfId="0" applyFont="1" applyBorder="1"/>
    <xf numFmtId="0" fontId="3" fillId="0" borderId="65" xfId="0" applyFont="1" applyBorder="1"/>
    <xf numFmtId="0" fontId="3" fillId="0" borderId="68" xfId="0" applyFont="1" applyBorder="1"/>
    <xf numFmtId="0" fontId="2" fillId="2" borderId="32" xfId="0" applyFont="1" applyFill="1" applyBorder="1" applyAlignment="1">
      <alignment vertical="center" wrapText="1"/>
    </xf>
    <xf numFmtId="0" fontId="3" fillId="0" borderId="66" xfId="0" applyFont="1" applyBorder="1"/>
    <xf numFmtId="0" fontId="3" fillId="0" borderId="67" xfId="0" applyFont="1" applyBorder="1"/>
    <xf numFmtId="0" fontId="2" fillId="2" borderId="5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left" vertical="center"/>
    </xf>
    <xf numFmtId="0" fontId="3" fillId="0" borderId="60" xfId="0" applyFont="1" applyBorder="1"/>
    <xf numFmtId="0" fontId="2" fillId="3" borderId="57" xfId="0" applyFont="1" applyFill="1" applyBorder="1" applyAlignment="1">
      <alignment horizontal="left" vertical="center" wrapText="1"/>
    </xf>
    <xf numFmtId="0" fontId="2" fillId="2" borderId="42" xfId="0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vertical="center" shrinkToFit="1"/>
    </xf>
    <xf numFmtId="0" fontId="8" fillId="3" borderId="80" xfId="0" applyFont="1" applyFill="1" applyBorder="1" applyAlignment="1">
      <alignment horizontal="center" vertical="center" wrapText="1"/>
    </xf>
    <xf numFmtId="0" fontId="3" fillId="0" borderId="81" xfId="0" applyFont="1" applyBorder="1"/>
    <xf numFmtId="49" fontId="8" fillId="3" borderId="80" xfId="0" applyNumberFormat="1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49" fontId="8" fillId="3" borderId="16" xfId="0" applyNumberFormat="1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49" fontId="2" fillId="3" borderId="16" xfId="0" applyNumberFormat="1" applyFont="1" applyFill="1" applyBorder="1" applyAlignment="1">
      <alignment horizontal="center" vertical="center" wrapText="1"/>
    </xf>
    <xf numFmtId="0" fontId="2" fillId="3" borderId="80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shrinkToFit="1"/>
    </xf>
    <xf numFmtId="0" fontId="2" fillId="3" borderId="48" xfId="0" applyFont="1" applyFill="1" applyBorder="1" applyAlignment="1">
      <alignment horizontal="center" vertical="center" wrapText="1"/>
    </xf>
    <xf numFmtId="49" fontId="2" fillId="3" borderId="48" xfId="0" applyNumberFormat="1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166" fontId="1" fillId="2" borderId="91" xfId="0" applyNumberFormat="1" applyFont="1" applyFill="1" applyBorder="1" applyAlignment="1">
      <alignment horizontal="center" vertical="center" shrinkToFit="1"/>
    </xf>
    <xf numFmtId="0" fontId="3" fillId="0" borderId="93" xfId="0" applyFont="1" applyBorder="1"/>
    <xf numFmtId="0" fontId="1" fillId="7" borderId="87" xfId="0" applyFont="1" applyFill="1" applyBorder="1" applyAlignment="1">
      <alignment horizontal="center" vertical="center" wrapText="1"/>
    </xf>
    <xf numFmtId="0" fontId="3" fillId="0" borderId="88" xfId="0" applyFont="1" applyBorder="1"/>
    <xf numFmtId="0" fontId="3" fillId="0" borderId="89" xfId="0" applyFont="1" applyBorder="1"/>
    <xf numFmtId="0" fontId="1" fillId="2" borderId="90" xfId="0" applyFont="1" applyFill="1" applyBorder="1" applyAlignment="1">
      <alignment horizontal="center" vertical="center" wrapText="1"/>
    </xf>
    <xf numFmtId="0" fontId="3" fillId="0" borderId="92" xfId="0" applyFont="1" applyBorder="1"/>
    <xf numFmtId="0" fontId="1" fillId="7" borderId="22" xfId="0" applyFont="1" applyFill="1" applyBorder="1" applyAlignment="1">
      <alignment horizontal="center" vertical="center" wrapText="1"/>
    </xf>
    <xf numFmtId="166" fontId="2" fillId="3" borderId="22" xfId="0" applyNumberFormat="1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167" fontId="2" fillId="3" borderId="72" xfId="0" applyNumberFormat="1" applyFont="1" applyFill="1" applyBorder="1" applyAlignment="1">
      <alignment horizontal="center" vertical="center"/>
    </xf>
    <xf numFmtId="0" fontId="1" fillId="7" borderId="87" xfId="0" applyFont="1" applyFill="1" applyBorder="1" applyAlignment="1">
      <alignment horizontal="center" vertical="center"/>
    </xf>
    <xf numFmtId="0" fontId="3" fillId="0" borderId="98" xfId="0" applyFont="1" applyBorder="1"/>
    <xf numFmtId="0" fontId="1" fillId="7" borderId="99" xfId="0" applyFont="1" applyFill="1" applyBorder="1" applyAlignment="1">
      <alignment horizontal="center" vertical="center"/>
    </xf>
    <xf numFmtId="0" fontId="3" fillId="0" borderId="100" xfId="0" applyFont="1" applyBorder="1"/>
    <xf numFmtId="0" fontId="3" fillId="0" borderId="101" xfId="0" applyFont="1" applyBorder="1"/>
    <xf numFmtId="166" fontId="2" fillId="3" borderId="72" xfId="0" applyNumberFormat="1" applyFont="1" applyFill="1" applyBorder="1" applyAlignment="1">
      <alignment horizontal="center" vertical="center"/>
    </xf>
    <xf numFmtId="166" fontId="2" fillId="2" borderId="72" xfId="0" applyNumberFormat="1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10" fontId="2" fillId="3" borderId="42" xfId="0" applyNumberFormat="1" applyFont="1" applyFill="1" applyBorder="1" applyAlignment="1">
      <alignment vertical="center"/>
    </xf>
    <xf numFmtId="0" fontId="1" fillId="2" borderId="40" xfId="0" applyFont="1" applyFill="1" applyBorder="1" applyAlignment="1">
      <alignment horizontal="center" vertical="center" wrapText="1"/>
    </xf>
    <xf numFmtId="0" fontId="3" fillId="0" borderId="102" xfId="0" applyFont="1" applyBorder="1"/>
    <xf numFmtId="10" fontId="2" fillId="3" borderId="42" xfId="0" applyNumberFormat="1" applyFont="1" applyFill="1" applyBorder="1" applyAlignment="1"/>
    <xf numFmtId="0" fontId="1" fillId="2" borderId="42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3" fillId="0" borderId="59" xfId="0" applyFont="1" applyBorder="1"/>
    <xf numFmtId="0" fontId="1" fillId="2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6" fontId="2" fillId="3" borderId="16" xfId="0" applyNumberFormat="1" applyFont="1" applyFill="1" applyBorder="1" applyAlignment="1">
      <alignment horizontal="center" vertical="center"/>
    </xf>
    <xf numFmtId="167" fontId="2" fillId="12" borderId="16" xfId="0" applyNumberFormat="1" applyFont="1" applyFill="1" applyBorder="1" applyAlignment="1">
      <alignment horizontal="center" vertical="center"/>
    </xf>
    <xf numFmtId="167" fontId="2" fillId="12" borderId="48" xfId="0" applyNumberFormat="1" applyFont="1" applyFill="1" applyBorder="1" applyAlignment="1">
      <alignment horizontal="center" vertical="center" shrinkToFit="1"/>
    </xf>
    <xf numFmtId="0" fontId="2" fillId="12" borderId="5" xfId="0" applyFont="1" applyFill="1" applyBorder="1" applyAlignment="1">
      <alignment horizontal="center" vertical="center"/>
    </xf>
    <xf numFmtId="0" fontId="1" fillId="12" borderId="46" xfId="0" applyFont="1" applyFill="1" applyBorder="1" applyAlignment="1">
      <alignment horizontal="center" vertical="center"/>
    </xf>
    <xf numFmtId="0" fontId="2" fillId="8" borderId="46" xfId="0" applyFont="1" applyFill="1" applyBorder="1" applyAlignment="1">
      <alignment horizontal="center" vertical="center"/>
    </xf>
    <xf numFmtId="166" fontId="1" fillId="8" borderId="80" xfId="0" applyNumberFormat="1" applyFont="1" applyFill="1" applyBorder="1" applyAlignment="1">
      <alignment horizontal="center" vertical="center"/>
    </xf>
    <xf numFmtId="166" fontId="1" fillId="2" borderId="80" xfId="0" applyNumberFormat="1" applyFont="1" applyFill="1" applyBorder="1" applyAlignment="1">
      <alignment horizontal="center" vertical="center"/>
    </xf>
    <xf numFmtId="166" fontId="2" fillId="2" borderId="16" xfId="0" applyNumberFormat="1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shrinkToFit="1"/>
    </xf>
    <xf numFmtId="0" fontId="2" fillId="2" borderId="46" xfId="0" applyFont="1" applyFill="1" applyBorder="1" applyAlignment="1">
      <alignment horizontal="center" vertical="center"/>
    </xf>
    <xf numFmtId="166" fontId="2" fillId="2" borderId="48" xfId="0" applyNumberFormat="1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80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48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99" xfId="0" applyFont="1" applyFill="1" applyBorder="1" applyAlignment="1">
      <alignment horizontal="center" vertical="center"/>
    </xf>
    <xf numFmtId="0" fontId="2" fillId="7" borderId="64" xfId="0" applyFont="1" applyFill="1" applyBorder="1" applyAlignment="1">
      <alignment horizontal="center" vertical="center"/>
    </xf>
    <xf numFmtId="0" fontId="3" fillId="0" borderId="109" xfId="0" applyFont="1" applyBorder="1"/>
    <xf numFmtId="0" fontId="2" fillId="7" borderId="16" xfId="0" applyFont="1" applyFill="1" applyBorder="1" applyAlignment="1">
      <alignment horizontal="center" vertical="center"/>
    </xf>
    <xf numFmtId="166" fontId="2" fillId="7" borderId="16" xfId="0" applyNumberFormat="1" applyFont="1" applyFill="1" applyBorder="1" applyAlignment="1">
      <alignment horizontal="center" vertical="center"/>
    </xf>
    <xf numFmtId="0" fontId="2" fillId="7" borderId="48" xfId="0" applyFont="1" applyFill="1" applyBorder="1" applyAlignment="1">
      <alignment horizontal="center" vertical="center"/>
    </xf>
    <xf numFmtId="166" fontId="2" fillId="7" borderId="48" xfId="0" applyNumberFormat="1" applyFont="1" applyFill="1" applyBorder="1" applyAlignment="1">
      <alignment horizontal="center" vertical="center"/>
    </xf>
    <xf numFmtId="166" fontId="2" fillId="7" borderId="113" xfId="0" applyNumberFormat="1" applyFont="1" applyFill="1" applyBorder="1" applyAlignment="1">
      <alignment horizontal="center" vertical="center"/>
    </xf>
    <xf numFmtId="0" fontId="3" fillId="0" borderId="114" xfId="0" applyFont="1" applyBorder="1"/>
    <xf numFmtId="0" fontId="2" fillId="7" borderId="110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111" xfId="0" applyFont="1" applyFill="1" applyBorder="1" applyAlignment="1">
      <alignment horizontal="center" vertical="center"/>
    </xf>
    <xf numFmtId="0" fontId="3" fillId="0" borderId="112" xfId="0" applyFont="1" applyBorder="1"/>
    <xf numFmtId="166" fontId="2" fillId="7" borderId="111" xfId="0" applyNumberFormat="1" applyFont="1" applyFill="1" applyBorder="1" applyAlignment="1">
      <alignment horizontal="center" vertical="center"/>
    </xf>
    <xf numFmtId="168" fontId="1" fillId="8" borderId="2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66" fontId="2" fillId="13" borderId="48" xfId="0" applyNumberFormat="1" applyFont="1" applyFill="1" applyBorder="1" applyAlignment="1">
      <alignment horizontal="center" vertical="center"/>
    </xf>
    <xf numFmtId="0" fontId="1" fillId="14" borderId="8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1" fillId="14" borderId="16" xfId="0" applyFont="1" applyFill="1" applyBorder="1" applyAlignment="1">
      <alignment horizontal="center" vertical="center" wrapText="1"/>
    </xf>
    <xf numFmtId="0" fontId="1" fillId="14" borderId="16" xfId="0" applyFont="1" applyFill="1" applyBorder="1" applyAlignment="1">
      <alignment horizontal="center" vertical="center"/>
    </xf>
    <xf numFmtId="0" fontId="1" fillId="13" borderId="46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1" fillId="2" borderId="87" xfId="0" applyFont="1" applyFill="1" applyBorder="1" applyAlignment="1">
      <alignment horizontal="left" vertical="center"/>
    </xf>
    <xf numFmtId="0" fontId="3" fillId="0" borderId="90" xfId="0" applyFont="1" applyBorder="1"/>
    <xf numFmtId="0" fontId="3" fillId="0" borderId="99" xfId="0" applyFont="1" applyBorder="1"/>
    <xf numFmtId="0" fontId="3" fillId="0" borderId="116" xfId="0" applyFont="1" applyBorder="1"/>
    <xf numFmtId="0" fontId="3" fillId="0" borderId="117" xfId="0" applyFont="1" applyBorder="1"/>
  </cellXfs>
  <cellStyles count="1">
    <cellStyle name="Normal" xfId="0" builtinId="0"/>
  </cellStyles>
  <dxfs count="3"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D8D8D8"/>
          <bgColor rgb="FFD8D8D8"/>
        </patternFill>
      </fill>
    </dxf>
  </dxfs>
  <tableStyles count="1">
    <tableStyle name="Dad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A9">
  <tableColumns count="1">
    <tableColumn id="1" xr3:uid="{00000000-0010-0000-0000-000001000000}" name="Selecione o enquadramento do projeto"/>
  </tableColumns>
  <tableStyleInfo name="D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0"/>
  <sheetViews>
    <sheetView showGridLines="0" tabSelected="1" topLeftCell="A46" workbookViewId="0">
      <selection activeCell="A56" sqref="A56:L57"/>
    </sheetView>
  </sheetViews>
  <sheetFormatPr defaultColWidth="14.42578125" defaultRowHeight="15" customHeight="1"/>
  <cols>
    <col min="1" max="1" width="13.7109375" customWidth="1"/>
    <col min="2" max="2" width="15.57031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19.85546875" customWidth="1"/>
    <col min="12" max="12" width="26.85546875" customWidth="1"/>
    <col min="13" max="26" width="8.85546875" customWidth="1"/>
  </cols>
  <sheetData>
    <row r="1" spans="1:26" ht="18.75" customHeight="1">
      <c r="A1" s="110" t="s">
        <v>379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113" t="s">
        <v>0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106" t="s">
        <v>1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116" t="s">
        <v>2</v>
      </c>
      <c r="B6" s="117"/>
      <c r="C6" s="117"/>
      <c r="D6" s="117"/>
      <c r="E6" s="117"/>
      <c r="F6" s="117"/>
      <c r="G6" s="118"/>
      <c r="H6" s="119" t="s">
        <v>3</v>
      </c>
      <c r="I6" s="87"/>
      <c r="J6" s="87"/>
      <c r="K6" s="87"/>
      <c r="L6" s="8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120" t="s">
        <v>4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123" t="s">
        <v>5</v>
      </c>
      <c r="B8" s="87"/>
      <c r="C8" s="91"/>
      <c r="D8" s="108" t="s">
        <v>6</v>
      </c>
      <c r="E8" s="91"/>
      <c r="F8" s="2" t="s">
        <v>7</v>
      </c>
      <c r="G8" s="2" t="s">
        <v>8</v>
      </c>
      <c r="H8" s="109" t="s">
        <v>8</v>
      </c>
      <c r="I8" s="87"/>
      <c r="J8" s="87"/>
      <c r="K8" s="87"/>
      <c r="L8" s="8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7.5">
      <c r="A9" s="138" t="s">
        <v>9</v>
      </c>
      <c r="B9" s="87"/>
      <c r="C9" s="87"/>
      <c r="D9" s="87"/>
      <c r="E9" s="91"/>
      <c r="F9" s="2" t="s">
        <v>10</v>
      </c>
      <c r="G9" s="3" t="s">
        <v>11</v>
      </c>
      <c r="H9" s="139" t="s">
        <v>12</v>
      </c>
      <c r="I9" s="87"/>
      <c r="J9" s="87"/>
      <c r="K9" s="87"/>
      <c r="L9" s="88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140" t="s">
        <v>13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43" t="s">
        <v>372</v>
      </c>
      <c r="B11" s="144"/>
      <c r="C11" s="144"/>
      <c r="D11" s="144"/>
      <c r="E11" s="144"/>
      <c r="F11" s="144"/>
      <c r="G11" s="145"/>
      <c r="H11" s="146" t="s">
        <v>373</v>
      </c>
      <c r="I11" s="144"/>
      <c r="J11" s="144"/>
      <c r="K11" s="144"/>
      <c r="L11" s="14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>
      <c r="A12" s="147" t="s">
        <v>374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4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6" customHeight="1">
      <c r="A13" s="149" t="s">
        <v>5</v>
      </c>
      <c r="B13" s="150"/>
      <c r="C13" s="151"/>
      <c r="D13" s="152" t="s">
        <v>375</v>
      </c>
      <c r="E13" s="151"/>
      <c r="F13" s="152" t="s">
        <v>376</v>
      </c>
      <c r="G13" s="151"/>
      <c r="H13" s="152" t="s">
        <v>14</v>
      </c>
      <c r="I13" s="150"/>
      <c r="J13" s="150"/>
      <c r="K13" s="150"/>
      <c r="L13" s="15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2.25" customHeight="1">
      <c r="A14" s="149" t="s">
        <v>377</v>
      </c>
      <c r="B14" s="150"/>
      <c r="C14" s="150"/>
      <c r="D14" s="150"/>
      <c r="E14" s="151"/>
      <c r="F14" s="152" t="s">
        <v>378</v>
      </c>
      <c r="G14" s="150"/>
      <c r="H14" s="150"/>
      <c r="I14" s="150"/>
      <c r="J14" s="150"/>
      <c r="K14" s="150"/>
      <c r="L14" s="15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>
      <c r="A15" s="5"/>
      <c r="B15" s="5"/>
      <c r="C15" s="5"/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>
      <c r="A16" s="5"/>
      <c r="B16" s="5"/>
      <c r="C16" s="5"/>
      <c r="D16" s="5"/>
      <c r="E16" s="5"/>
      <c r="F16" s="5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93" t="s">
        <v>15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24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>
      <c r="A19" s="127" t="s">
        <v>16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>
      <c r="A20" s="128" t="s">
        <v>17</v>
      </c>
      <c r="B20" s="130"/>
      <c r="C20" s="131"/>
      <c r="D20" s="131"/>
      <c r="E20" s="131"/>
      <c r="F20" s="131"/>
      <c r="G20" s="132"/>
      <c r="H20" s="133" t="s">
        <v>18</v>
      </c>
      <c r="I20" s="134"/>
      <c r="J20" s="111"/>
      <c r="K20" s="111"/>
      <c r="L20" s="13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>
      <c r="A21" s="129"/>
      <c r="B21" s="105"/>
      <c r="C21" s="97"/>
      <c r="D21" s="97"/>
      <c r="E21" s="97"/>
      <c r="F21" s="97"/>
      <c r="G21" s="101"/>
      <c r="H21" s="129"/>
      <c r="I21" s="105"/>
      <c r="J21" s="97"/>
      <c r="K21" s="97"/>
      <c r="L21" s="10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>
      <c r="A22" s="136" t="s">
        <v>19</v>
      </c>
      <c r="B22" s="91"/>
      <c r="C22" s="137"/>
      <c r="D22" s="87"/>
      <c r="E22" s="87"/>
      <c r="F22" s="87"/>
      <c r="G22" s="87"/>
      <c r="H22" s="87"/>
      <c r="I22" s="87"/>
      <c r="J22" s="87"/>
      <c r="K22" s="87"/>
      <c r="L22" s="9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>
      <c r="A23" s="6" t="s">
        <v>20</v>
      </c>
      <c r="B23" s="90"/>
      <c r="C23" s="87"/>
      <c r="D23" s="87"/>
      <c r="E23" s="87"/>
      <c r="F23" s="87"/>
      <c r="G23" s="87"/>
      <c r="H23" s="91"/>
      <c r="I23" s="6" t="s">
        <v>21</v>
      </c>
      <c r="J23" s="107"/>
      <c r="K23" s="87"/>
      <c r="L23" s="9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>
      <c r="A24" s="6" t="s">
        <v>22</v>
      </c>
      <c r="B24" s="92"/>
      <c r="C24" s="87"/>
      <c r="D24" s="87"/>
      <c r="E24" s="87"/>
      <c r="F24" s="87"/>
      <c r="G24" s="87"/>
      <c r="H24" s="87"/>
      <c r="I24" s="87"/>
      <c r="J24" s="87"/>
      <c r="K24" s="87"/>
      <c r="L24" s="9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93" t="s">
        <v>23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96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8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99" t="s">
        <v>24</v>
      </c>
      <c r="B28" s="100"/>
      <c r="C28" s="102" t="s">
        <v>25</v>
      </c>
      <c r="D28" s="103"/>
      <c r="E28" s="103"/>
      <c r="F28" s="103"/>
      <c r="G28" s="103"/>
      <c r="H28" s="103"/>
      <c r="I28" s="103"/>
      <c r="J28" s="103"/>
      <c r="K28" s="103"/>
      <c r="L28" s="10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96"/>
      <c r="B29" s="101"/>
      <c r="C29" s="105"/>
      <c r="D29" s="97"/>
      <c r="E29" s="97"/>
      <c r="F29" s="97"/>
      <c r="G29" s="97"/>
      <c r="H29" s="97"/>
      <c r="I29" s="97"/>
      <c r="J29" s="97"/>
      <c r="K29" s="97"/>
      <c r="L29" s="9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106" t="s">
        <v>26</v>
      </c>
      <c r="B30" s="91"/>
      <c r="C30" s="86" t="s">
        <v>27</v>
      </c>
      <c r="D30" s="87"/>
      <c r="E30" s="87"/>
      <c r="F30" s="87"/>
      <c r="G30" s="87"/>
      <c r="H30" s="87"/>
      <c r="I30" s="87"/>
      <c r="J30" s="87"/>
      <c r="K30" s="87"/>
      <c r="L30" s="8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99" t="s">
        <v>28</v>
      </c>
      <c r="B31" s="100"/>
      <c r="C31" s="9"/>
      <c r="D31" s="9" t="s">
        <v>29</v>
      </c>
      <c r="E31" s="89" t="s">
        <v>30</v>
      </c>
      <c r="F31" s="87"/>
      <c r="G31" s="87"/>
      <c r="H31" s="87"/>
      <c r="I31" s="87"/>
      <c r="J31" s="87"/>
      <c r="K31" s="87"/>
      <c r="L31" s="8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96"/>
      <c r="B32" s="101"/>
      <c r="C32" s="9"/>
      <c r="D32" s="89" t="s">
        <v>31</v>
      </c>
      <c r="E32" s="87"/>
      <c r="F32" s="87"/>
      <c r="G32" s="87"/>
      <c r="H32" s="87"/>
      <c r="I32" s="87"/>
      <c r="J32" s="87"/>
      <c r="K32" s="87"/>
      <c r="L32" s="8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54" t="s">
        <v>32</v>
      </c>
      <c r="B33" s="100"/>
      <c r="C33" s="89" t="s">
        <v>33</v>
      </c>
      <c r="D33" s="87"/>
      <c r="E33" s="87"/>
      <c r="F33" s="87"/>
      <c r="G33" s="87"/>
      <c r="H33" s="87"/>
      <c r="I33" s="87"/>
      <c r="J33" s="87"/>
      <c r="K33" s="87"/>
      <c r="L33" s="8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155"/>
      <c r="B34" s="135"/>
      <c r="C34" s="159" t="s">
        <v>34</v>
      </c>
      <c r="D34" s="87"/>
      <c r="E34" s="87"/>
      <c r="F34" s="87"/>
      <c r="G34" s="87"/>
      <c r="H34" s="87"/>
      <c r="I34" s="87"/>
      <c r="J34" s="87"/>
      <c r="K34" s="87"/>
      <c r="L34" s="8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>
      <c r="A35" s="155"/>
      <c r="B35" s="135"/>
      <c r="C35" s="89" t="s">
        <v>35</v>
      </c>
      <c r="D35" s="87"/>
      <c r="E35" s="87"/>
      <c r="F35" s="87"/>
      <c r="G35" s="87"/>
      <c r="H35" s="87"/>
      <c r="I35" s="87"/>
      <c r="J35" s="87"/>
      <c r="K35" s="87"/>
      <c r="L35" s="8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customHeight="1">
      <c r="A36" s="96"/>
      <c r="B36" s="101"/>
      <c r="C36" s="89" t="s">
        <v>36</v>
      </c>
      <c r="D36" s="87"/>
      <c r="E36" s="87"/>
      <c r="F36" s="87"/>
      <c r="G36" s="87"/>
      <c r="H36" s="87"/>
      <c r="I36" s="87"/>
      <c r="J36" s="87"/>
      <c r="K36" s="87"/>
      <c r="L36" s="8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customHeight="1">
      <c r="A37" s="99" t="s">
        <v>37</v>
      </c>
      <c r="B37" s="100"/>
      <c r="C37" s="89" t="s">
        <v>38</v>
      </c>
      <c r="D37" s="87"/>
      <c r="E37" s="87"/>
      <c r="F37" s="87"/>
      <c r="G37" s="87"/>
      <c r="H37" s="87"/>
      <c r="I37" s="87"/>
      <c r="J37" s="87"/>
      <c r="K37" s="87"/>
      <c r="L37" s="8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>
      <c r="A38" s="96"/>
      <c r="B38" s="101"/>
      <c r="C38" s="89" t="s">
        <v>39</v>
      </c>
      <c r="D38" s="87"/>
      <c r="E38" s="87"/>
      <c r="F38" s="87"/>
      <c r="G38" s="87"/>
      <c r="H38" s="87"/>
      <c r="I38" s="87"/>
      <c r="J38" s="87"/>
      <c r="K38" s="87"/>
      <c r="L38" s="8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customHeight="1">
      <c r="A39" s="154" t="s">
        <v>40</v>
      </c>
      <c r="B39" s="100"/>
      <c r="C39" s="89" t="s">
        <v>41</v>
      </c>
      <c r="D39" s="87"/>
      <c r="E39" s="87"/>
      <c r="F39" s="87"/>
      <c r="G39" s="87"/>
      <c r="H39" s="87"/>
      <c r="I39" s="87"/>
      <c r="J39" s="87"/>
      <c r="K39" s="87"/>
      <c r="L39" s="8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customHeight="1">
      <c r="A40" s="96"/>
      <c r="B40" s="101"/>
      <c r="C40" s="89" t="s">
        <v>42</v>
      </c>
      <c r="D40" s="87"/>
      <c r="E40" s="87"/>
      <c r="F40" s="87"/>
      <c r="G40" s="87"/>
      <c r="H40" s="87"/>
      <c r="I40" s="87"/>
      <c r="J40" s="87"/>
      <c r="K40" s="87"/>
      <c r="L40" s="8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0.5" customHeight="1">
      <c r="A41" s="156" t="s">
        <v>43</v>
      </c>
      <c r="B41" s="91"/>
      <c r="C41" s="160" t="s">
        <v>44</v>
      </c>
      <c r="D41" s="87"/>
      <c r="E41" s="87"/>
      <c r="F41" s="87"/>
      <c r="G41" s="87"/>
      <c r="H41" s="87"/>
      <c r="I41" s="87"/>
      <c r="J41" s="87"/>
      <c r="K41" s="87"/>
      <c r="L41" s="8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8.5" customHeight="1">
      <c r="A42" s="157" t="s">
        <v>45</v>
      </c>
      <c r="B42" s="158"/>
      <c r="C42" s="161" t="s">
        <v>46</v>
      </c>
      <c r="D42" s="162"/>
      <c r="E42" s="162"/>
      <c r="F42" s="162"/>
      <c r="G42" s="162"/>
      <c r="H42" s="162"/>
      <c r="I42" s="162"/>
      <c r="J42" s="162"/>
      <c r="K42" s="162"/>
      <c r="L42" s="16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>
      <c r="A44" s="164" t="s">
        <v>47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customHeight="1">
      <c r="A45" s="165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6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40.5" customHeight="1">
      <c r="A46" s="189" t="s">
        <v>48</v>
      </c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8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>
      <c r="A48" s="164" t="s">
        <v>49</v>
      </c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>
      <c r="A49" s="16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6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7.5" customHeight="1">
      <c r="A50" s="189" t="s">
        <v>48</v>
      </c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>
      <c r="A52" s="164" t="s">
        <v>50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>
      <c r="A53" s="165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66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48.75" customHeight="1">
      <c r="A54" s="189" t="s">
        <v>48</v>
      </c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8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 customHeight="1">
      <c r="A56" s="300" t="s">
        <v>380</v>
      </c>
      <c r="B56" s="301"/>
      <c r="C56" s="301"/>
      <c r="D56" s="301"/>
      <c r="E56" s="301"/>
      <c r="F56" s="301"/>
      <c r="G56" s="301"/>
      <c r="H56" s="301"/>
      <c r="I56" s="301"/>
      <c r="J56" s="301"/>
      <c r="K56" s="301"/>
      <c r="L56" s="22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>
      <c r="A57" s="302"/>
      <c r="B57" s="303"/>
      <c r="C57" s="303"/>
      <c r="D57" s="303"/>
      <c r="E57" s="303"/>
      <c r="F57" s="303"/>
      <c r="G57" s="303"/>
      <c r="H57" s="303"/>
      <c r="I57" s="303"/>
      <c r="J57" s="303"/>
      <c r="K57" s="303"/>
      <c r="L57" s="30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4" customHeight="1">
      <c r="A58" s="190" t="s">
        <v>51</v>
      </c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 customHeight="1">
      <c r="A60" s="191" t="s">
        <v>52</v>
      </c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 customHeight="1">
      <c r="A61" s="192" t="s">
        <v>53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6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customHeight="1">
      <c r="A62" s="96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 customHeight="1">
      <c r="A63" s="205" t="s">
        <v>54</v>
      </c>
      <c r="B63" s="87"/>
      <c r="C63" s="87"/>
      <c r="D63" s="87"/>
      <c r="E63" s="87"/>
      <c r="F63" s="87"/>
      <c r="G63" s="87"/>
      <c r="H63" s="87"/>
      <c r="I63" s="87"/>
      <c r="J63" s="91"/>
      <c r="K63" s="108" t="s">
        <v>55</v>
      </c>
      <c r="L63" s="8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>
      <c r="A64" s="12"/>
      <c r="B64" s="206" t="s">
        <v>56</v>
      </c>
      <c r="C64" s="103"/>
      <c r="D64" s="103"/>
      <c r="E64" s="103"/>
      <c r="F64" s="103"/>
      <c r="G64" s="103"/>
      <c r="H64" s="103"/>
      <c r="I64" s="103"/>
      <c r="J64" s="100"/>
      <c r="K64" s="170">
        <f>K97</f>
        <v>0</v>
      </c>
      <c r="L64" s="19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 customHeight="1">
      <c r="A65" s="13"/>
      <c r="B65" s="207"/>
      <c r="C65" s="97"/>
      <c r="D65" s="97"/>
      <c r="E65" s="97"/>
      <c r="F65" s="97"/>
      <c r="G65" s="97"/>
      <c r="H65" s="97"/>
      <c r="I65" s="97"/>
      <c r="J65" s="101"/>
      <c r="K65" s="198"/>
      <c r="L65" s="19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 customHeight="1">
      <c r="A66" s="13"/>
      <c r="B66" s="208" t="s">
        <v>57</v>
      </c>
      <c r="C66" s="103"/>
      <c r="D66" s="103"/>
      <c r="E66" s="103"/>
      <c r="F66" s="103"/>
      <c r="G66" s="103"/>
      <c r="H66" s="103"/>
      <c r="I66" s="103"/>
      <c r="J66" s="100"/>
      <c r="K66" s="198"/>
      <c r="L66" s="19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4"/>
      <c r="B67" s="207"/>
      <c r="C67" s="97"/>
      <c r="D67" s="97"/>
      <c r="E67" s="97"/>
      <c r="F67" s="97"/>
      <c r="G67" s="97"/>
      <c r="H67" s="97"/>
      <c r="I67" s="97"/>
      <c r="J67" s="101"/>
      <c r="K67" s="198"/>
      <c r="L67" s="19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 customHeight="1">
      <c r="A68" s="195"/>
      <c r="B68" s="196" t="s">
        <v>58</v>
      </c>
      <c r="C68" s="103"/>
      <c r="D68" s="103"/>
      <c r="E68" s="103"/>
      <c r="F68" s="103"/>
      <c r="G68" s="103"/>
      <c r="H68" s="103"/>
      <c r="I68" s="103"/>
      <c r="J68" s="100"/>
      <c r="K68" s="198"/>
      <c r="L68" s="19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75" customHeight="1">
      <c r="A69" s="194"/>
      <c r="B69" s="105"/>
      <c r="C69" s="97"/>
      <c r="D69" s="97"/>
      <c r="E69" s="97"/>
      <c r="F69" s="97"/>
      <c r="G69" s="97"/>
      <c r="H69" s="97"/>
      <c r="I69" s="97"/>
      <c r="J69" s="101"/>
      <c r="K69" s="198"/>
      <c r="L69" s="19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75" customHeight="1">
      <c r="A70" s="193"/>
      <c r="B70" s="196" t="s">
        <v>59</v>
      </c>
      <c r="C70" s="103"/>
      <c r="D70" s="103"/>
      <c r="E70" s="103"/>
      <c r="F70" s="103"/>
      <c r="G70" s="103"/>
      <c r="H70" s="103"/>
      <c r="I70" s="103"/>
      <c r="J70" s="100"/>
      <c r="K70" s="198"/>
      <c r="L70" s="19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75" customHeight="1">
      <c r="A71" s="194"/>
      <c r="B71" s="105"/>
      <c r="C71" s="97"/>
      <c r="D71" s="97"/>
      <c r="E71" s="97"/>
      <c r="F71" s="97"/>
      <c r="G71" s="97"/>
      <c r="H71" s="97"/>
      <c r="I71" s="97"/>
      <c r="J71" s="101"/>
      <c r="K71" s="198"/>
      <c r="L71" s="19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75" customHeight="1">
      <c r="A72" s="193"/>
      <c r="B72" s="209" t="s">
        <v>60</v>
      </c>
      <c r="C72" s="103"/>
      <c r="D72" s="103"/>
      <c r="E72" s="103"/>
      <c r="F72" s="103"/>
      <c r="G72" s="103"/>
      <c r="H72" s="103"/>
      <c r="I72" s="103"/>
      <c r="J72" s="100"/>
      <c r="K72" s="198"/>
      <c r="L72" s="19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3.25" customHeight="1">
      <c r="A73" s="194"/>
      <c r="B73" s="105"/>
      <c r="C73" s="97"/>
      <c r="D73" s="97"/>
      <c r="E73" s="97"/>
      <c r="F73" s="97"/>
      <c r="G73" s="97"/>
      <c r="H73" s="97"/>
      <c r="I73" s="97"/>
      <c r="J73" s="101"/>
      <c r="K73" s="198"/>
      <c r="L73" s="19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75" customHeight="1">
      <c r="A74" s="193"/>
      <c r="B74" s="196" t="s">
        <v>61</v>
      </c>
      <c r="C74" s="103"/>
      <c r="D74" s="103"/>
      <c r="E74" s="103"/>
      <c r="F74" s="103"/>
      <c r="G74" s="103"/>
      <c r="H74" s="103"/>
      <c r="I74" s="103"/>
      <c r="J74" s="100"/>
      <c r="K74" s="198"/>
      <c r="L74" s="19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 customHeight="1">
      <c r="A75" s="194"/>
      <c r="B75" s="105"/>
      <c r="C75" s="97"/>
      <c r="D75" s="97"/>
      <c r="E75" s="97"/>
      <c r="F75" s="97"/>
      <c r="G75" s="97"/>
      <c r="H75" s="97"/>
      <c r="I75" s="97"/>
      <c r="J75" s="101"/>
      <c r="K75" s="198"/>
      <c r="L75" s="19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75" customHeight="1">
      <c r="A76" s="193"/>
      <c r="B76" s="196" t="s">
        <v>62</v>
      </c>
      <c r="C76" s="103"/>
      <c r="D76" s="103"/>
      <c r="E76" s="103"/>
      <c r="F76" s="103"/>
      <c r="G76" s="103"/>
      <c r="H76" s="103"/>
      <c r="I76" s="103"/>
      <c r="J76" s="100"/>
      <c r="K76" s="198"/>
      <c r="L76" s="19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75" customHeight="1">
      <c r="A77" s="194"/>
      <c r="B77" s="105"/>
      <c r="C77" s="97"/>
      <c r="D77" s="97"/>
      <c r="E77" s="97"/>
      <c r="F77" s="97"/>
      <c r="G77" s="97"/>
      <c r="H77" s="97"/>
      <c r="I77" s="97"/>
      <c r="J77" s="101"/>
      <c r="K77" s="198"/>
      <c r="L77" s="19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75" customHeight="1">
      <c r="A78" s="193"/>
      <c r="B78" s="196" t="s">
        <v>63</v>
      </c>
      <c r="C78" s="103"/>
      <c r="D78" s="103"/>
      <c r="E78" s="103"/>
      <c r="F78" s="103"/>
      <c r="G78" s="103"/>
      <c r="H78" s="103"/>
      <c r="I78" s="103"/>
      <c r="J78" s="100"/>
      <c r="K78" s="198"/>
      <c r="L78" s="19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75" customHeight="1">
      <c r="A79" s="194"/>
      <c r="B79" s="105"/>
      <c r="C79" s="97"/>
      <c r="D79" s="97"/>
      <c r="E79" s="97"/>
      <c r="F79" s="97"/>
      <c r="G79" s="97"/>
      <c r="H79" s="97"/>
      <c r="I79" s="97"/>
      <c r="J79" s="101"/>
      <c r="K79" s="198"/>
      <c r="L79" s="19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75" customHeight="1">
      <c r="A80" s="193"/>
      <c r="B80" s="196" t="s">
        <v>64</v>
      </c>
      <c r="C80" s="103"/>
      <c r="D80" s="103"/>
      <c r="E80" s="103"/>
      <c r="F80" s="103"/>
      <c r="G80" s="103"/>
      <c r="H80" s="103"/>
      <c r="I80" s="103"/>
      <c r="J80" s="100"/>
      <c r="K80" s="198"/>
      <c r="L80" s="19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75" customHeight="1">
      <c r="A81" s="194"/>
      <c r="B81" s="105"/>
      <c r="C81" s="97"/>
      <c r="D81" s="97"/>
      <c r="E81" s="97"/>
      <c r="F81" s="97"/>
      <c r="G81" s="97"/>
      <c r="H81" s="97"/>
      <c r="I81" s="97"/>
      <c r="J81" s="101"/>
      <c r="K81" s="198"/>
      <c r="L81" s="19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75" customHeight="1">
      <c r="A82" s="193"/>
      <c r="B82" s="202" t="s">
        <v>65</v>
      </c>
      <c r="C82" s="111"/>
      <c r="D82" s="111"/>
      <c r="E82" s="111"/>
      <c r="F82" s="111"/>
      <c r="G82" s="111"/>
      <c r="H82" s="111"/>
      <c r="I82" s="111"/>
      <c r="J82" s="135"/>
      <c r="K82" s="198"/>
      <c r="L82" s="19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75" customHeight="1">
      <c r="A83" s="194"/>
      <c r="B83" s="200"/>
      <c r="C83" s="203"/>
      <c r="D83" s="203"/>
      <c r="E83" s="203"/>
      <c r="F83" s="203"/>
      <c r="G83" s="203"/>
      <c r="H83" s="203"/>
      <c r="I83" s="203"/>
      <c r="J83" s="204"/>
      <c r="K83" s="200"/>
      <c r="L83" s="20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75" customHeight="1">
      <c r="A85" s="164" t="s">
        <v>66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75" customHeight="1">
      <c r="A86" s="165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66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75" customHeight="1">
      <c r="A87" s="167" t="s">
        <v>67</v>
      </c>
      <c r="B87" s="131"/>
      <c r="C87" s="131"/>
      <c r="D87" s="131"/>
      <c r="E87" s="131"/>
      <c r="F87" s="131"/>
      <c r="G87" s="131"/>
      <c r="H87" s="131"/>
      <c r="I87" s="131"/>
      <c r="J87" s="132"/>
      <c r="K87" s="168" t="s">
        <v>68</v>
      </c>
      <c r="L87" s="16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75" customHeight="1">
      <c r="A88" s="96"/>
      <c r="B88" s="97"/>
      <c r="C88" s="97"/>
      <c r="D88" s="97"/>
      <c r="E88" s="97"/>
      <c r="F88" s="97"/>
      <c r="G88" s="97"/>
      <c r="H88" s="97"/>
      <c r="I88" s="97"/>
      <c r="J88" s="101"/>
      <c r="K88" s="105"/>
      <c r="L88" s="9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75" customHeight="1">
      <c r="A89" s="99" t="s">
        <v>69</v>
      </c>
      <c r="B89" s="103"/>
      <c r="C89" s="103"/>
      <c r="D89" s="103"/>
      <c r="E89" s="103"/>
      <c r="F89" s="103"/>
      <c r="G89" s="103"/>
      <c r="H89" s="103"/>
      <c r="I89" s="103"/>
      <c r="J89" s="100"/>
      <c r="K89" s="170">
        <f>SUM(K183,L112,L147,K186,K189,K195,K198,K192)</f>
        <v>0</v>
      </c>
      <c r="L89" s="10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75" customHeight="1">
      <c r="A90" s="96"/>
      <c r="B90" s="97"/>
      <c r="C90" s="97"/>
      <c r="D90" s="97"/>
      <c r="E90" s="97"/>
      <c r="F90" s="97"/>
      <c r="G90" s="97"/>
      <c r="H90" s="97"/>
      <c r="I90" s="97"/>
      <c r="J90" s="101"/>
      <c r="K90" s="105"/>
      <c r="L90" s="9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75" customHeight="1">
      <c r="A91" s="99" t="s">
        <v>70</v>
      </c>
      <c r="B91" s="103"/>
      <c r="C91" s="103"/>
      <c r="D91" s="103"/>
      <c r="E91" s="103"/>
      <c r="F91" s="103"/>
      <c r="G91" s="103"/>
      <c r="H91" s="103"/>
      <c r="I91" s="103"/>
      <c r="J91" s="100"/>
      <c r="K91" s="170">
        <f>SUM(K201,K204)</f>
        <v>0</v>
      </c>
      <c r="L91" s="10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75" customHeight="1">
      <c r="A92" s="96"/>
      <c r="B92" s="97"/>
      <c r="C92" s="97"/>
      <c r="D92" s="97"/>
      <c r="E92" s="97"/>
      <c r="F92" s="97"/>
      <c r="G92" s="97"/>
      <c r="H92" s="97"/>
      <c r="I92" s="97"/>
      <c r="J92" s="101"/>
      <c r="K92" s="105"/>
      <c r="L92" s="9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75" customHeight="1">
      <c r="A93" s="99" t="s">
        <v>71</v>
      </c>
      <c r="B93" s="103"/>
      <c r="C93" s="103"/>
      <c r="D93" s="103"/>
      <c r="E93" s="103"/>
      <c r="F93" s="103"/>
      <c r="G93" s="103"/>
      <c r="H93" s="103"/>
      <c r="I93" s="103"/>
      <c r="J93" s="100"/>
      <c r="K93" s="170">
        <f>K207</f>
        <v>0</v>
      </c>
      <c r="L93" s="10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75" customHeight="1">
      <c r="A94" s="96"/>
      <c r="B94" s="97"/>
      <c r="C94" s="97"/>
      <c r="D94" s="97"/>
      <c r="E94" s="97"/>
      <c r="F94" s="97"/>
      <c r="G94" s="97"/>
      <c r="H94" s="97"/>
      <c r="I94" s="97"/>
      <c r="J94" s="101"/>
      <c r="K94" s="105"/>
      <c r="L94" s="9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75" customHeight="1">
      <c r="A95" s="99" t="s">
        <v>72</v>
      </c>
      <c r="B95" s="103"/>
      <c r="C95" s="103"/>
      <c r="D95" s="103"/>
      <c r="E95" s="103"/>
      <c r="F95" s="103"/>
      <c r="G95" s="103"/>
      <c r="H95" s="103"/>
      <c r="I95" s="103"/>
      <c r="J95" s="100"/>
      <c r="K95" s="170">
        <f>K211</f>
        <v>0</v>
      </c>
      <c r="L95" s="10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75" customHeight="1">
      <c r="A96" s="96"/>
      <c r="B96" s="97"/>
      <c r="C96" s="97"/>
      <c r="D96" s="97"/>
      <c r="E96" s="97"/>
      <c r="F96" s="97"/>
      <c r="G96" s="97"/>
      <c r="H96" s="97"/>
      <c r="I96" s="97"/>
      <c r="J96" s="101"/>
      <c r="K96" s="105"/>
      <c r="L96" s="9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75" customHeight="1">
      <c r="A97" s="171" t="s">
        <v>55</v>
      </c>
      <c r="B97" s="103"/>
      <c r="C97" s="103"/>
      <c r="D97" s="103"/>
      <c r="E97" s="103"/>
      <c r="F97" s="103"/>
      <c r="G97" s="103"/>
      <c r="H97" s="103"/>
      <c r="I97" s="103"/>
      <c r="J97" s="100"/>
      <c r="K97" s="173">
        <f>SUM(K89:L96)</f>
        <v>0</v>
      </c>
      <c r="L97" s="10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75" customHeight="1">
      <c r="A98" s="165"/>
      <c r="B98" s="112"/>
      <c r="C98" s="112"/>
      <c r="D98" s="112"/>
      <c r="E98" s="112"/>
      <c r="F98" s="112"/>
      <c r="G98" s="112"/>
      <c r="H98" s="112"/>
      <c r="I98" s="112"/>
      <c r="J98" s="172"/>
      <c r="K98" s="174"/>
      <c r="L98" s="16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75" t="s">
        <v>73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65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6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>
      <c r="A103" s="176" t="s">
        <v>74</v>
      </c>
      <c r="B103" s="94"/>
      <c r="C103" s="94"/>
      <c r="D103" s="94"/>
      <c r="E103" s="94"/>
      <c r="F103" s="94"/>
      <c r="G103" s="94"/>
      <c r="H103" s="94"/>
      <c r="I103" s="94"/>
      <c r="J103" s="177"/>
      <c r="K103" s="178">
        <f>K105</f>
        <v>0</v>
      </c>
      <c r="L103" s="9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75" customHeight="1">
      <c r="A104" s="96"/>
      <c r="B104" s="97"/>
      <c r="C104" s="97"/>
      <c r="D104" s="97"/>
      <c r="E104" s="97"/>
      <c r="F104" s="97"/>
      <c r="G104" s="97"/>
      <c r="H104" s="97"/>
      <c r="I104" s="97"/>
      <c r="J104" s="101"/>
      <c r="K104" s="105"/>
      <c r="L104" s="9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>
      <c r="A105" s="179" t="s">
        <v>75</v>
      </c>
      <c r="B105" s="103"/>
      <c r="C105" s="103"/>
      <c r="D105" s="103"/>
      <c r="E105" s="103"/>
      <c r="F105" s="103"/>
      <c r="G105" s="103"/>
      <c r="H105" s="103"/>
      <c r="I105" s="103"/>
      <c r="J105" s="100"/>
      <c r="K105" s="180"/>
      <c r="L105" s="10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75" customHeight="1">
      <c r="A106" s="165"/>
      <c r="B106" s="112"/>
      <c r="C106" s="112"/>
      <c r="D106" s="112"/>
      <c r="E106" s="112"/>
      <c r="F106" s="112"/>
      <c r="G106" s="112"/>
      <c r="H106" s="112"/>
      <c r="I106" s="112"/>
      <c r="J106" s="172"/>
      <c r="K106" s="174"/>
      <c r="L106" s="166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75" customHeight="1">
      <c r="A108" s="15"/>
      <c r="B108" s="16"/>
      <c r="C108" s="16"/>
      <c r="D108" s="16"/>
      <c r="E108" s="16"/>
      <c r="F108" s="16"/>
      <c r="G108" s="16"/>
      <c r="H108" s="16"/>
      <c r="I108" s="16"/>
      <c r="J108" s="16"/>
      <c r="K108" s="17"/>
      <c r="L108" s="18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2.25" customHeight="1">
      <c r="A109" s="181" t="s">
        <v>76</v>
      </c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22" customHeight="1">
      <c r="A110" s="182" t="s">
        <v>77</v>
      </c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8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33" customHeight="1">
      <c r="A111" s="183" t="s">
        <v>78</v>
      </c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8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30" customHeight="1">
      <c r="A112" s="176" t="s">
        <v>79</v>
      </c>
      <c r="B112" s="177"/>
      <c r="C112" s="184" t="s">
        <v>80</v>
      </c>
      <c r="D112" s="94"/>
      <c r="E112" s="177"/>
      <c r="F112" s="184" t="s">
        <v>81</v>
      </c>
      <c r="G112" s="177"/>
      <c r="H112" s="185" t="s">
        <v>82</v>
      </c>
      <c r="I112" s="185" t="s">
        <v>83</v>
      </c>
      <c r="J112" s="185" t="s">
        <v>84</v>
      </c>
      <c r="K112" s="185" t="s">
        <v>85</v>
      </c>
      <c r="L112" s="187">
        <f>SUM(L114:L144)</f>
        <v>0</v>
      </c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27" customHeight="1">
      <c r="A113" s="165"/>
      <c r="B113" s="172"/>
      <c r="C113" s="174"/>
      <c r="D113" s="112"/>
      <c r="E113" s="172"/>
      <c r="F113" s="174"/>
      <c r="G113" s="172"/>
      <c r="H113" s="186"/>
      <c r="I113" s="186"/>
      <c r="J113" s="186"/>
      <c r="K113" s="186"/>
      <c r="L113" s="188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24.75" customHeight="1">
      <c r="A114" s="210"/>
      <c r="B114" s="177"/>
      <c r="C114" s="211"/>
      <c r="D114" s="114"/>
      <c r="E114" s="212"/>
      <c r="F114" s="213"/>
      <c r="G114" s="212"/>
      <c r="H114" s="20"/>
      <c r="I114" s="21"/>
      <c r="J114" s="22"/>
      <c r="K114" s="23"/>
      <c r="L114" s="24">
        <f t="shared" ref="L114:L144" si="0">J114*K114</f>
        <v>0</v>
      </c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24.75" customHeight="1">
      <c r="A115" s="210"/>
      <c r="B115" s="177"/>
      <c r="C115" s="214"/>
      <c r="D115" s="87"/>
      <c r="E115" s="91"/>
      <c r="F115" s="215"/>
      <c r="G115" s="91"/>
      <c r="H115" s="25"/>
      <c r="I115" s="26"/>
      <c r="J115" s="26"/>
      <c r="K115" s="27"/>
      <c r="L115" s="24">
        <f t="shared" si="0"/>
        <v>0</v>
      </c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24.75" customHeight="1">
      <c r="A116" s="210"/>
      <c r="B116" s="177"/>
      <c r="C116" s="214"/>
      <c r="D116" s="87"/>
      <c r="E116" s="91"/>
      <c r="F116" s="215"/>
      <c r="G116" s="91"/>
      <c r="H116" s="25"/>
      <c r="I116" s="26"/>
      <c r="J116" s="26"/>
      <c r="K116" s="27"/>
      <c r="L116" s="24">
        <f t="shared" si="0"/>
        <v>0</v>
      </c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24.75" customHeight="1">
      <c r="A117" s="210"/>
      <c r="B117" s="177"/>
      <c r="C117" s="214"/>
      <c r="D117" s="87"/>
      <c r="E117" s="91"/>
      <c r="F117" s="215"/>
      <c r="G117" s="91"/>
      <c r="H117" s="25"/>
      <c r="I117" s="26"/>
      <c r="J117" s="26"/>
      <c r="K117" s="27"/>
      <c r="L117" s="24">
        <f t="shared" si="0"/>
        <v>0</v>
      </c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24.75" customHeight="1">
      <c r="A118" s="210"/>
      <c r="B118" s="177"/>
      <c r="C118" s="214"/>
      <c r="D118" s="87"/>
      <c r="E118" s="91"/>
      <c r="F118" s="215"/>
      <c r="G118" s="91"/>
      <c r="H118" s="28"/>
      <c r="I118" s="26"/>
      <c r="J118" s="26"/>
      <c r="K118" s="27"/>
      <c r="L118" s="24">
        <f t="shared" si="0"/>
        <v>0</v>
      </c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24.75" customHeight="1">
      <c r="A119" s="210"/>
      <c r="B119" s="177"/>
      <c r="C119" s="214"/>
      <c r="D119" s="87"/>
      <c r="E119" s="91"/>
      <c r="F119" s="217"/>
      <c r="G119" s="91"/>
      <c r="H119" s="28"/>
      <c r="I119" s="26"/>
      <c r="J119" s="26"/>
      <c r="K119" s="27"/>
      <c r="L119" s="24">
        <f t="shared" si="0"/>
        <v>0</v>
      </c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24.75" customHeight="1">
      <c r="A120" s="210"/>
      <c r="B120" s="177"/>
      <c r="C120" s="214"/>
      <c r="D120" s="87"/>
      <c r="E120" s="91"/>
      <c r="F120" s="217"/>
      <c r="G120" s="91"/>
      <c r="H120" s="28"/>
      <c r="I120" s="26"/>
      <c r="J120" s="26"/>
      <c r="K120" s="27"/>
      <c r="L120" s="24">
        <f t="shared" si="0"/>
        <v>0</v>
      </c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24.75" customHeight="1">
      <c r="A121" s="210"/>
      <c r="B121" s="177"/>
      <c r="C121" s="214"/>
      <c r="D121" s="87"/>
      <c r="E121" s="91"/>
      <c r="F121" s="217"/>
      <c r="G121" s="91"/>
      <c r="H121" s="28"/>
      <c r="I121" s="26"/>
      <c r="J121" s="26"/>
      <c r="K121" s="27"/>
      <c r="L121" s="24">
        <f t="shared" si="0"/>
        <v>0</v>
      </c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24.75" customHeight="1">
      <c r="A122" s="210"/>
      <c r="B122" s="177"/>
      <c r="C122" s="214"/>
      <c r="D122" s="87"/>
      <c r="E122" s="91"/>
      <c r="F122" s="217"/>
      <c r="G122" s="91"/>
      <c r="H122" s="28"/>
      <c r="I122" s="26"/>
      <c r="J122" s="29"/>
      <c r="K122" s="27"/>
      <c r="L122" s="24">
        <f t="shared" si="0"/>
        <v>0</v>
      </c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24.75" customHeight="1">
      <c r="A123" s="210"/>
      <c r="B123" s="177"/>
      <c r="C123" s="214"/>
      <c r="D123" s="87"/>
      <c r="E123" s="91"/>
      <c r="F123" s="217"/>
      <c r="G123" s="91"/>
      <c r="H123" s="28"/>
      <c r="I123" s="26"/>
      <c r="J123" s="29"/>
      <c r="K123" s="27"/>
      <c r="L123" s="24">
        <f t="shared" si="0"/>
        <v>0</v>
      </c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24.75" customHeight="1">
      <c r="A124" s="210"/>
      <c r="B124" s="177"/>
      <c r="C124" s="216"/>
      <c r="D124" s="87"/>
      <c r="E124" s="91"/>
      <c r="F124" s="217"/>
      <c r="G124" s="91"/>
      <c r="H124" s="28"/>
      <c r="I124" s="26"/>
      <c r="J124" s="29"/>
      <c r="K124" s="27"/>
      <c r="L124" s="24">
        <f t="shared" si="0"/>
        <v>0</v>
      </c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24.75" customHeight="1">
      <c r="A125" s="210"/>
      <c r="B125" s="177"/>
      <c r="C125" s="216"/>
      <c r="D125" s="87"/>
      <c r="E125" s="91"/>
      <c r="F125" s="217"/>
      <c r="G125" s="91"/>
      <c r="H125" s="28"/>
      <c r="I125" s="26"/>
      <c r="J125" s="29"/>
      <c r="K125" s="27"/>
      <c r="L125" s="24">
        <f t="shared" si="0"/>
        <v>0</v>
      </c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24.75" customHeight="1">
      <c r="A126" s="210"/>
      <c r="B126" s="177"/>
      <c r="C126" s="216"/>
      <c r="D126" s="87"/>
      <c r="E126" s="91"/>
      <c r="F126" s="217"/>
      <c r="G126" s="91"/>
      <c r="H126" s="28"/>
      <c r="I126" s="26"/>
      <c r="J126" s="29"/>
      <c r="K126" s="27"/>
      <c r="L126" s="24">
        <f t="shared" si="0"/>
        <v>0</v>
      </c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24.75" customHeight="1">
      <c r="A127" s="210"/>
      <c r="B127" s="177"/>
      <c r="C127" s="216"/>
      <c r="D127" s="87"/>
      <c r="E127" s="91"/>
      <c r="F127" s="217"/>
      <c r="G127" s="91"/>
      <c r="H127" s="28"/>
      <c r="I127" s="26"/>
      <c r="J127" s="29"/>
      <c r="K127" s="27"/>
      <c r="L127" s="24">
        <f t="shared" si="0"/>
        <v>0</v>
      </c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24.75" customHeight="1">
      <c r="A128" s="210"/>
      <c r="B128" s="177"/>
      <c r="C128" s="216"/>
      <c r="D128" s="87"/>
      <c r="E128" s="91"/>
      <c r="F128" s="217"/>
      <c r="G128" s="91"/>
      <c r="H128" s="28"/>
      <c r="I128" s="26"/>
      <c r="J128" s="29"/>
      <c r="K128" s="27"/>
      <c r="L128" s="24">
        <f t="shared" si="0"/>
        <v>0</v>
      </c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24.75" customHeight="1">
      <c r="A129" s="210"/>
      <c r="B129" s="177"/>
      <c r="C129" s="216"/>
      <c r="D129" s="87"/>
      <c r="E129" s="91"/>
      <c r="F129" s="217"/>
      <c r="G129" s="91"/>
      <c r="H129" s="28"/>
      <c r="I129" s="26"/>
      <c r="J129" s="29"/>
      <c r="K129" s="27"/>
      <c r="L129" s="24">
        <f t="shared" si="0"/>
        <v>0</v>
      </c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24.75" customHeight="1">
      <c r="A130" s="210"/>
      <c r="B130" s="177"/>
      <c r="C130" s="216"/>
      <c r="D130" s="87"/>
      <c r="E130" s="91"/>
      <c r="F130" s="217"/>
      <c r="G130" s="91"/>
      <c r="H130" s="28"/>
      <c r="I130" s="26"/>
      <c r="J130" s="29"/>
      <c r="K130" s="27"/>
      <c r="L130" s="24">
        <f t="shared" si="0"/>
        <v>0</v>
      </c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24.75" customHeight="1">
      <c r="A131" s="210"/>
      <c r="B131" s="177"/>
      <c r="C131" s="216"/>
      <c r="D131" s="87"/>
      <c r="E131" s="91"/>
      <c r="F131" s="217"/>
      <c r="G131" s="91"/>
      <c r="H131" s="28"/>
      <c r="I131" s="26"/>
      <c r="J131" s="29"/>
      <c r="K131" s="27"/>
      <c r="L131" s="24">
        <f t="shared" si="0"/>
        <v>0</v>
      </c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24.75" customHeight="1">
      <c r="A132" s="210"/>
      <c r="B132" s="177"/>
      <c r="C132" s="216"/>
      <c r="D132" s="87"/>
      <c r="E132" s="91"/>
      <c r="F132" s="217"/>
      <c r="G132" s="91"/>
      <c r="H132" s="28"/>
      <c r="I132" s="26"/>
      <c r="J132" s="29"/>
      <c r="K132" s="27"/>
      <c r="L132" s="24">
        <f t="shared" si="0"/>
        <v>0</v>
      </c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24.75" customHeight="1">
      <c r="A133" s="210"/>
      <c r="B133" s="177"/>
      <c r="C133" s="216"/>
      <c r="D133" s="87"/>
      <c r="E133" s="91"/>
      <c r="F133" s="217"/>
      <c r="G133" s="91"/>
      <c r="H133" s="28"/>
      <c r="I133" s="26"/>
      <c r="J133" s="29"/>
      <c r="K133" s="27"/>
      <c r="L133" s="24">
        <f t="shared" si="0"/>
        <v>0</v>
      </c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24.75" customHeight="1">
      <c r="A134" s="210"/>
      <c r="B134" s="177"/>
      <c r="C134" s="216"/>
      <c r="D134" s="87"/>
      <c r="E134" s="91"/>
      <c r="F134" s="217"/>
      <c r="G134" s="91"/>
      <c r="H134" s="28"/>
      <c r="I134" s="26"/>
      <c r="J134" s="29"/>
      <c r="K134" s="27"/>
      <c r="L134" s="24">
        <f t="shared" si="0"/>
        <v>0</v>
      </c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24.75" customHeight="1">
      <c r="A135" s="210"/>
      <c r="B135" s="177"/>
      <c r="C135" s="216"/>
      <c r="D135" s="87"/>
      <c r="E135" s="91"/>
      <c r="F135" s="217"/>
      <c r="G135" s="91"/>
      <c r="H135" s="28"/>
      <c r="I135" s="26"/>
      <c r="J135" s="29"/>
      <c r="K135" s="27"/>
      <c r="L135" s="24">
        <f t="shared" si="0"/>
        <v>0</v>
      </c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24.75" customHeight="1">
      <c r="A136" s="210"/>
      <c r="B136" s="177"/>
      <c r="C136" s="216"/>
      <c r="D136" s="87"/>
      <c r="E136" s="91"/>
      <c r="F136" s="217"/>
      <c r="G136" s="91"/>
      <c r="H136" s="28"/>
      <c r="I136" s="26"/>
      <c r="J136" s="29"/>
      <c r="K136" s="27"/>
      <c r="L136" s="24">
        <f t="shared" si="0"/>
        <v>0</v>
      </c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24.75" customHeight="1">
      <c r="A137" s="210"/>
      <c r="B137" s="177"/>
      <c r="C137" s="216"/>
      <c r="D137" s="87"/>
      <c r="E137" s="91"/>
      <c r="F137" s="217"/>
      <c r="G137" s="91"/>
      <c r="H137" s="28"/>
      <c r="I137" s="26"/>
      <c r="J137" s="29"/>
      <c r="K137" s="27"/>
      <c r="L137" s="24">
        <f t="shared" si="0"/>
        <v>0</v>
      </c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24.75" customHeight="1">
      <c r="A138" s="210"/>
      <c r="B138" s="177"/>
      <c r="C138" s="216"/>
      <c r="D138" s="87"/>
      <c r="E138" s="91"/>
      <c r="F138" s="217"/>
      <c r="G138" s="91"/>
      <c r="H138" s="28"/>
      <c r="I138" s="26"/>
      <c r="J138" s="29"/>
      <c r="K138" s="27"/>
      <c r="L138" s="24">
        <f t="shared" si="0"/>
        <v>0</v>
      </c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24.75" customHeight="1">
      <c r="A139" s="210"/>
      <c r="B139" s="177"/>
      <c r="C139" s="216"/>
      <c r="D139" s="87"/>
      <c r="E139" s="91"/>
      <c r="F139" s="217"/>
      <c r="G139" s="91"/>
      <c r="H139" s="28"/>
      <c r="I139" s="26"/>
      <c r="J139" s="29"/>
      <c r="K139" s="27"/>
      <c r="L139" s="24">
        <f t="shared" si="0"/>
        <v>0</v>
      </c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24.75" customHeight="1">
      <c r="A140" s="210"/>
      <c r="B140" s="177"/>
      <c r="C140" s="216"/>
      <c r="D140" s="87"/>
      <c r="E140" s="91"/>
      <c r="F140" s="217"/>
      <c r="G140" s="91"/>
      <c r="H140" s="28"/>
      <c r="I140" s="26"/>
      <c r="J140" s="29"/>
      <c r="K140" s="27"/>
      <c r="L140" s="24">
        <f t="shared" si="0"/>
        <v>0</v>
      </c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23.25" customHeight="1">
      <c r="A141" s="210"/>
      <c r="B141" s="177"/>
      <c r="C141" s="216"/>
      <c r="D141" s="87"/>
      <c r="E141" s="91"/>
      <c r="F141" s="217"/>
      <c r="G141" s="91"/>
      <c r="H141" s="28"/>
      <c r="I141" s="26"/>
      <c r="J141" s="29"/>
      <c r="K141" s="27"/>
      <c r="L141" s="24">
        <f t="shared" si="0"/>
        <v>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4" customHeight="1">
      <c r="A142" s="210"/>
      <c r="B142" s="177"/>
      <c r="C142" s="216"/>
      <c r="D142" s="87"/>
      <c r="E142" s="91"/>
      <c r="F142" s="217"/>
      <c r="G142" s="91"/>
      <c r="H142" s="28"/>
      <c r="I142" s="26"/>
      <c r="J142" s="29"/>
      <c r="K142" s="27"/>
      <c r="L142" s="24">
        <f t="shared" si="0"/>
        <v>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.75" customHeight="1">
      <c r="A143" s="210"/>
      <c r="B143" s="177"/>
      <c r="C143" s="216"/>
      <c r="D143" s="87"/>
      <c r="E143" s="91"/>
      <c r="F143" s="217"/>
      <c r="G143" s="91"/>
      <c r="H143" s="28"/>
      <c r="I143" s="26"/>
      <c r="J143" s="29"/>
      <c r="K143" s="27"/>
      <c r="L143" s="24">
        <f t="shared" si="0"/>
        <v>0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4" customHeight="1">
      <c r="A144" s="219"/>
      <c r="B144" s="91"/>
      <c r="C144" s="220"/>
      <c r="D144" s="162"/>
      <c r="E144" s="158"/>
      <c r="F144" s="221"/>
      <c r="G144" s="158"/>
      <c r="H144" s="30"/>
      <c r="I144" s="31"/>
      <c r="J144" s="32"/>
      <c r="K144" s="27"/>
      <c r="L144" s="33">
        <f t="shared" si="0"/>
        <v>0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75" customHeight="1">
      <c r="A145" s="10"/>
      <c r="B145" s="10"/>
      <c r="C145" s="5"/>
      <c r="D145" s="5"/>
      <c r="E145" s="5"/>
      <c r="F145" s="5"/>
      <c r="G145" s="5"/>
      <c r="H145" s="5"/>
      <c r="I145" s="5"/>
      <c r="J145" s="5"/>
      <c r="K145" s="5"/>
      <c r="L145" s="3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41.25" customHeight="1">
      <c r="A146" s="225" t="s">
        <v>86</v>
      </c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0" customHeight="1">
      <c r="A147" s="176" t="s">
        <v>79</v>
      </c>
      <c r="B147" s="177"/>
      <c r="C147" s="184" t="s">
        <v>80</v>
      </c>
      <c r="D147" s="94"/>
      <c r="E147" s="177"/>
      <c r="F147" s="228" t="s">
        <v>87</v>
      </c>
      <c r="G147" s="177"/>
      <c r="H147" s="185" t="s">
        <v>82</v>
      </c>
      <c r="I147" s="185" t="s">
        <v>88</v>
      </c>
      <c r="J147" s="185" t="s">
        <v>84</v>
      </c>
      <c r="K147" s="222" t="s">
        <v>85</v>
      </c>
      <c r="L147" s="223">
        <f>SUM(L149:L181)</f>
        <v>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9.25" customHeight="1">
      <c r="A148" s="165"/>
      <c r="B148" s="172"/>
      <c r="C148" s="174"/>
      <c r="D148" s="112"/>
      <c r="E148" s="172"/>
      <c r="F148" s="229"/>
      <c r="G148" s="172"/>
      <c r="H148" s="186"/>
      <c r="I148" s="186"/>
      <c r="J148" s="186"/>
      <c r="K148" s="188"/>
      <c r="L148" s="22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75" customHeight="1">
      <c r="A149" s="210"/>
      <c r="B149" s="177"/>
      <c r="C149" s="218"/>
      <c r="D149" s="114"/>
      <c r="E149" s="212"/>
      <c r="F149" s="218"/>
      <c r="G149" s="212"/>
      <c r="H149" s="35"/>
      <c r="I149" s="36"/>
      <c r="J149" s="37"/>
      <c r="K149" s="38"/>
      <c r="L149" s="24">
        <f t="shared" ref="L149:L181" si="1">J149*K149</f>
        <v>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75" customHeight="1">
      <c r="A150" s="210"/>
      <c r="B150" s="177"/>
      <c r="C150" s="216"/>
      <c r="D150" s="87"/>
      <c r="E150" s="91"/>
      <c r="F150" s="216"/>
      <c r="G150" s="91"/>
      <c r="H150" s="28"/>
      <c r="I150" s="26"/>
      <c r="J150" s="29"/>
      <c r="K150" s="39"/>
      <c r="L150" s="24">
        <f t="shared" si="1"/>
        <v>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75" customHeight="1">
      <c r="A151" s="210"/>
      <c r="B151" s="177"/>
      <c r="C151" s="216"/>
      <c r="D151" s="87"/>
      <c r="E151" s="91"/>
      <c r="F151" s="216"/>
      <c r="G151" s="91"/>
      <c r="H151" s="28"/>
      <c r="I151" s="26"/>
      <c r="J151" s="29"/>
      <c r="K151" s="39"/>
      <c r="L151" s="24">
        <f t="shared" si="1"/>
        <v>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75" customHeight="1">
      <c r="A152" s="210"/>
      <c r="B152" s="177"/>
      <c r="C152" s="216"/>
      <c r="D152" s="87"/>
      <c r="E152" s="91"/>
      <c r="F152" s="216"/>
      <c r="G152" s="91"/>
      <c r="H152" s="28"/>
      <c r="I152" s="26"/>
      <c r="J152" s="29"/>
      <c r="K152" s="39"/>
      <c r="L152" s="24">
        <f t="shared" si="1"/>
        <v>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75" customHeight="1">
      <c r="A153" s="210"/>
      <c r="B153" s="177"/>
      <c r="C153" s="216"/>
      <c r="D153" s="87"/>
      <c r="E153" s="91"/>
      <c r="F153" s="216"/>
      <c r="G153" s="91"/>
      <c r="H153" s="28"/>
      <c r="I153" s="26"/>
      <c r="J153" s="29"/>
      <c r="K153" s="39"/>
      <c r="L153" s="24">
        <f t="shared" si="1"/>
        <v>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75" customHeight="1">
      <c r="A154" s="210"/>
      <c r="B154" s="177"/>
      <c r="C154" s="216"/>
      <c r="D154" s="87"/>
      <c r="E154" s="91"/>
      <c r="F154" s="216"/>
      <c r="G154" s="91"/>
      <c r="H154" s="28"/>
      <c r="I154" s="26"/>
      <c r="J154" s="29"/>
      <c r="K154" s="39"/>
      <c r="L154" s="24">
        <f t="shared" si="1"/>
        <v>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75" customHeight="1">
      <c r="A155" s="210"/>
      <c r="B155" s="177"/>
      <c r="C155" s="216"/>
      <c r="D155" s="87"/>
      <c r="E155" s="91"/>
      <c r="F155" s="216"/>
      <c r="G155" s="91"/>
      <c r="H155" s="28"/>
      <c r="I155" s="26"/>
      <c r="J155" s="29"/>
      <c r="K155" s="39"/>
      <c r="L155" s="24">
        <f t="shared" si="1"/>
        <v>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75" customHeight="1">
      <c r="A156" s="210"/>
      <c r="B156" s="177"/>
      <c r="C156" s="216"/>
      <c r="D156" s="87"/>
      <c r="E156" s="91"/>
      <c r="F156" s="216"/>
      <c r="G156" s="91"/>
      <c r="H156" s="28"/>
      <c r="I156" s="26"/>
      <c r="J156" s="29"/>
      <c r="K156" s="39"/>
      <c r="L156" s="24">
        <f t="shared" si="1"/>
        <v>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75" customHeight="1">
      <c r="A157" s="210"/>
      <c r="B157" s="177"/>
      <c r="C157" s="216"/>
      <c r="D157" s="87"/>
      <c r="E157" s="91"/>
      <c r="F157" s="216"/>
      <c r="G157" s="91"/>
      <c r="H157" s="28"/>
      <c r="I157" s="26"/>
      <c r="J157" s="29"/>
      <c r="K157" s="39"/>
      <c r="L157" s="24">
        <f t="shared" si="1"/>
        <v>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75" customHeight="1">
      <c r="A158" s="210"/>
      <c r="B158" s="177"/>
      <c r="C158" s="216"/>
      <c r="D158" s="87"/>
      <c r="E158" s="91"/>
      <c r="F158" s="216"/>
      <c r="G158" s="91"/>
      <c r="H158" s="28"/>
      <c r="I158" s="26"/>
      <c r="J158" s="29"/>
      <c r="K158" s="39"/>
      <c r="L158" s="24">
        <f t="shared" si="1"/>
        <v>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75" customHeight="1">
      <c r="A159" s="210"/>
      <c r="B159" s="177"/>
      <c r="C159" s="216"/>
      <c r="D159" s="87"/>
      <c r="E159" s="91"/>
      <c r="F159" s="216"/>
      <c r="G159" s="91"/>
      <c r="H159" s="28"/>
      <c r="I159" s="26"/>
      <c r="J159" s="29"/>
      <c r="K159" s="39"/>
      <c r="L159" s="24">
        <f t="shared" si="1"/>
        <v>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75" customHeight="1">
      <c r="A160" s="210"/>
      <c r="B160" s="177"/>
      <c r="C160" s="216"/>
      <c r="D160" s="87"/>
      <c r="E160" s="91"/>
      <c r="F160" s="216"/>
      <c r="G160" s="91"/>
      <c r="H160" s="28"/>
      <c r="I160" s="26"/>
      <c r="J160" s="29"/>
      <c r="K160" s="39"/>
      <c r="L160" s="24">
        <f t="shared" si="1"/>
        <v>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75" customHeight="1">
      <c r="A161" s="210"/>
      <c r="B161" s="177"/>
      <c r="C161" s="216"/>
      <c r="D161" s="87"/>
      <c r="E161" s="91"/>
      <c r="F161" s="216"/>
      <c r="G161" s="91"/>
      <c r="H161" s="28"/>
      <c r="I161" s="26"/>
      <c r="J161" s="29"/>
      <c r="K161" s="39"/>
      <c r="L161" s="24">
        <f t="shared" si="1"/>
        <v>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75" customHeight="1">
      <c r="A162" s="210"/>
      <c r="B162" s="177"/>
      <c r="C162" s="216"/>
      <c r="D162" s="87"/>
      <c r="E162" s="91"/>
      <c r="F162" s="216"/>
      <c r="G162" s="91"/>
      <c r="H162" s="28"/>
      <c r="I162" s="26"/>
      <c r="J162" s="29"/>
      <c r="K162" s="39"/>
      <c r="L162" s="24">
        <f t="shared" si="1"/>
        <v>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75" customHeight="1">
      <c r="A163" s="210"/>
      <c r="B163" s="177"/>
      <c r="C163" s="216"/>
      <c r="D163" s="87"/>
      <c r="E163" s="91"/>
      <c r="F163" s="216"/>
      <c r="G163" s="91"/>
      <c r="H163" s="28"/>
      <c r="I163" s="26"/>
      <c r="J163" s="29"/>
      <c r="K163" s="39"/>
      <c r="L163" s="24">
        <f t="shared" si="1"/>
        <v>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75" customHeight="1">
      <c r="A164" s="210"/>
      <c r="B164" s="177"/>
      <c r="C164" s="216"/>
      <c r="D164" s="87"/>
      <c r="E164" s="91"/>
      <c r="F164" s="216"/>
      <c r="G164" s="91"/>
      <c r="H164" s="28"/>
      <c r="I164" s="26"/>
      <c r="J164" s="29"/>
      <c r="K164" s="39"/>
      <c r="L164" s="24">
        <f t="shared" si="1"/>
        <v>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75" customHeight="1">
      <c r="A165" s="210"/>
      <c r="B165" s="177"/>
      <c r="C165" s="216"/>
      <c r="D165" s="87"/>
      <c r="E165" s="91"/>
      <c r="F165" s="216"/>
      <c r="G165" s="91"/>
      <c r="H165" s="28"/>
      <c r="I165" s="26"/>
      <c r="J165" s="29"/>
      <c r="K165" s="39"/>
      <c r="L165" s="24">
        <f t="shared" si="1"/>
        <v>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75" customHeight="1">
      <c r="A166" s="210"/>
      <c r="B166" s="177"/>
      <c r="C166" s="216"/>
      <c r="D166" s="87"/>
      <c r="E166" s="91"/>
      <c r="F166" s="216"/>
      <c r="G166" s="91"/>
      <c r="H166" s="28"/>
      <c r="I166" s="26"/>
      <c r="J166" s="29"/>
      <c r="K166" s="39"/>
      <c r="L166" s="24">
        <f t="shared" si="1"/>
        <v>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75" customHeight="1">
      <c r="A167" s="210"/>
      <c r="B167" s="177"/>
      <c r="C167" s="216"/>
      <c r="D167" s="87"/>
      <c r="E167" s="91"/>
      <c r="F167" s="216"/>
      <c r="G167" s="91"/>
      <c r="H167" s="28"/>
      <c r="I167" s="26"/>
      <c r="J167" s="29"/>
      <c r="K167" s="39"/>
      <c r="L167" s="24">
        <f t="shared" si="1"/>
        <v>0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75" customHeight="1">
      <c r="A168" s="210"/>
      <c r="B168" s="177"/>
      <c r="C168" s="216"/>
      <c r="D168" s="87"/>
      <c r="E168" s="91"/>
      <c r="F168" s="216"/>
      <c r="G168" s="91"/>
      <c r="H168" s="28"/>
      <c r="I168" s="26"/>
      <c r="J168" s="29"/>
      <c r="K168" s="39"/>
      <c r="L168" s="24">
        <f t="shared" si="1"/>
        <v>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75" customHeight="1">
      <c r="A169" s="210"/>
      <c r="B169" s="177"/>
      <c r="C169" s="216"/>
      <c r="D169" s="87"/>
      <c r="E169" s="91"/>
      <c r="F169" s="216"/>
      <c r="G169" s="91"/>
      <c r="H169" s="28"/>
      <c r="I169" s="26"/>
      <c r="J169" s="29"/>
      <c r="K169" s="39"/>
      <c r="L169" s="24">
        <f t="shared" si="1"/>
        <v>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75" customHeight="1">
      <c r="A170" s="210"/>
      <c r="B170" s="177"/>
      <c r="C170" s="216"/>
      <c r="D170" s="87"/>
      <c r="E170" s="91"/>
      <c r="F170" s="216"/>
      <c r="G170" s="91"/>
      <c r="H170" s="28"/>
      <c r="I170" s="26"/>
      <c r="J170" s="29"/>
      <c r="K170" s="39"/>
      <c r="L170" s="24">
        <f t="shared" si="1"/>
        <v>0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75" customHeight="1">
      <c r="A171" s="210"/>
      <c r="B171" s="177"/>
      <c r="C171" s="216"/>
      <c r="D171" s="87"/>
      <c r="E171" s="91"/>
      <c r="F171" s="216"/>
      <c r="G171" s="91"/>
      <c r="H171" s="28"/>
      <c r="I171" s="26"/>
      <c r="J171" s="29"/>
      <c r="K171" s="39"/>
      <c r="L171" s="24">
        <f t="shared" si="1"/>
        <v>0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75" customHeight="1">
      <c r="A172" s="210"/>
      <c r="B172" s="177"/>
      <c r="C172" s="216"/>
      <c r="D172" s="87"/>
      <c r="E172" s="91"/>
      <c r="F172" s="216"/>
      <c r="G172" s="91"/>
      <c r="H172" s="28"/>
      <c r="I172" s="26"/>
      <c r="J172" s="29"/>
      <c r="K172" s="39"/>
      <c r="L172" s="24">
        <f t="shared" si="1"/>
        <v>0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75" customHeight="1">
      <c r="A173" s="210"/>
      <c r="B173" s="177"/>
      <c r="C173" s="216"/>
      <c r="D173" s="87"/>
      <c r="E173" s="91"/>
      <c r="F173" s="216"/>
      <c r="G173" s="91"/>
      <c r="H173" s="28"/>
      <c r="I173" s="26"/>
      <c r="J173" s="29"/>
      <c r="K173" s="39"/>
      <c r="L173" s="24">
        <f t="shared" si="1"/>
        <v>0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75" customHeight="1">
      <c r="A174" s="210"/>
      <c r="B174" s="177"/>
      <c r="C174" s="216"/>
      <c r="D174" s="87"/>
      <c r="E174" s="91"/>
      <c r="F174" s="216"/>
      <c r="G174" s="91"/>
      <c r="H174" s="28"/>
      <c r="I174" s="26"/>
      <c r="J174" s="29"/>
      <c r="K174" s="39"/>
      <c r="L174" s="24">
        <f t="shared" si="1"/>
        <v>0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75" customHeight="1">
      <c r="A175" s="210"/>
      <c r="B175" s="177"/>
      <c r="C175" s="216"/>
      <c r="D175" s="87"/>
      <c r="E175" s="91"/>
      <c r="F175" s="216"/>
      <c r="G175" s="91"/>
      <c r="H175" s="28"/>
      <c r="I175" s="26"/>
      <c r="J175" s="29"/>
      <c r="K175" s="39"/>
      <c r="L175" s="24">
        <f t="shared" si="1"/>
        <v>0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75" customHeight="1">
      <c r="A176" s="210"/>
      <c r="B176" s="177"/>
      <c r="C176" s="216"/>
      <c r="D176" s="87"/>
      <c r="E176" s="91"/>
      <c r="F176" s="216"/>
      <c r="G176" s="91"/>
      <c r="H176" s="28"/>
      <c r="I176" s="26"/>
      <c r="J176" s="29"/>
      <c r="K176" s="39"/>
      <c r="L176" s="24">
        <f t="shared" si="1"/>
        <v>0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75" customHeight="1">
      <c r="A177" s="210"/>
      <c r="B177" s="177"/>
      <c r="C177" s="216"/>
      <c r="D177" s="87"/>
      <c r="E177" s="91"/>
      <c r="F177" s="216"/>
      <c r="G177" s="91"/>
      <c r="H177" s="28"/>
      <c r="I177" s="26"/>
      <c r="J177" s="29"/>
      <c r="K177" s="39"/>
      <c r="L177" s="24">
        <f t="shared" si="1"/>
        <v>0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75" customHeight="1">
      <c r="A178" s="210"/>
      <c r="B178" s="177"/>
      <c r="C178" s="216"/>
      <c r="D178" s="87"/>
      <c r="E178" s="91"/>
      <c r="F178" s="216"/>
      <c r="G178" s="91"/>
      <c r="H178" s="28"/>
      <c r="I178" s="26"/>
      <c r="J178" s="29"/>
      <c r="K178" s="39"/>
      <c r="L178" s="24">
        <f t="shared" si="1"/>
        <v>0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75" customHeight="1">
      <c r="A179" s="210"/>
      <c r="B179" s="177"/>
      <c r="C179" s="216"/>
      <c r="D179" s="87"/>
      <c r="E179" s="91"/>
      <c r="F179" s="216"/>
      <c r="G179" s="91"/>
      <c r="H179" s="28"/>
      <c r="I179" s="26"/>
      <c r="J179" s="29"/>
      <c r="K179" s="39"/>
      <c r="L179" s="24">
        <f t="shared" si="1"/>
        <v>0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75" customHeight="1">
      <c r="A180" s="210"/>
      <c r="B180" s="177"/>
      <c r="C180" s="216"/>
      <c r="D180" s="87"/>
      <c r="E180" s="91"/>
      <c r="F180" s="216"/>
      <c r="G180" s="91"/>
      <c r="H180" s="28"/>
      <c r="I180" s="26"/>
      <c r="J180" s="29"/>
      <c r="K180" s="39"/>
      <c r="L180" s="24">
        <f t="shared" si="1"/>
        <v>0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75" customHeight="1">
      <c r="A181" s="219"/>
      <c r="B181" s="91"/>
      <c r="C181" s="220"/>
      <c r="D181" s="162"/>
      <c r="E181" s="158"/>
      <c r="F181" s="220"/>
      <c r="G181" s="158"/>
      <c r="H181" s="30"/>
      <c r="I181" s="31"/>
      <c r="J181" s="32"/>
      <c r="K181" s="40"/>
      <c r="L181" s="41">
        <f t="shared" si="1"/>
        <v>0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75" customHeight="1">
      <c r="A182" s="42"/>
      <c r="B182" s="42"/>
      <c r="C182" s="43"/>
      <c r="D182" s="43"/>
      <c r="E182" s="43"/>
      <c r="F182" s="43"/>
      <c r="G182" s="43"/>
      <c r="H182" s="44"/>
      <c r="I182" s="43"/>
      <c r="J182" s="45"/>
      <c r="K182" s="46"/>
      <c r="L182" s="4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75" customHeight="1">
      <c r="A183" s="230" t="s">
        <v>89</v>
      </c>
      <c r="B183" s="94"/>
      <c r="C183" s="94"/>
      <c r="D183" s="94"/>
      <c r="E183" s="94"/>
      <c r="F183" s="94"/>
      <c r="G183" s="94"/>
      <c r="H183" s="94"/>
      <c r="I183" s="94"/>
      <c r="J183" s="95"/>
      <c r="K183" s="231"/>
      <c r="L183" s="9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75" customHeight="1">
      <c r="A184" s="165"/>
      <c r="B184" s="112"/>
      <c r="C184" s="112"/>
      <c r="D184" s="112"/>
      <c r="E184" s="112"/>
      <c r="F184" s="112"/>
      <c r="G184" s="112"/>
      <c r="H184" s="112"/>
      <c r="I184" s="112"/>
      <c r="J184" s="166"/>
      <c r="K184" s="165"/>
      <c r="L184" s="166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75" customHeight="1">
      <c r="A186" s="232" t="s">
        <v>90</v>
      </c>
      <c r="B186" s="94"/>
      <c r="C186" s="94"/>
      <c r="D186" s="94"/>
      <c r="E186" s="94"/>
      <c r="F186" s="94"/>
      <c r="G186" s="94"/>
      <c r="H186" s="94"/>
      <c r="I186" s="94"/>
      <c r="J186" s="177"/>
      <c r="K186" s="233"/>
      <c r="L186" s="9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75" customHeight="1">
      <c r="A187" s="165"/>
      <c r="B187" s="112"/>
      <c r="C187" s="112"/>
      <c r="D187" s="112"/>
      <c r="E187" s="112"/>
      <c r="F187" s="112"/>
      <c r="G187" s="112"/>
      <c r="H187" s="112"/>
      <c r="I187" s="112"/>
      <c r="J187" s="172"/>
      <c r="K187" s="174"/>
      <c r="L187" s="166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75" customHeight="1">
      <c r="A189" s="232" t="s">
        <v>91</v>
      </c>
      <c r="B189" s="94"/>
      <c r="C189" s="94"/>
      <c r="D189" s="94"/>
      <c r="E189" s="94"/>
      <c r="F189" s="94"/>
      <c r="G189" s="94"/>
      <c r="H189" s="94"/>
      <c r="I189" s="94"/>
      <c r="J189" s="177"/>
      <c r="K189" s="233"/>
      <c r="L189" s="9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75" customHeight="1">
      <c r="A190" s="165"/>
      <c r="B190" s="112"/>
      <c r="C190" s="112"/>
      <c r="D190" s="112"/>
      <c r="E190" s="112"/>
      <c r="F190" s="112"/>
      <c r="G190" s="112"/>
      <c r="H190" s="112"/>
      <c r="I190" s="112"/>
      <c r="J190" s="172"/>
      <c r="K190" s="174"/>
      <c r="L190" s="166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75" customHeight="1">
      <c r="A192" s="234" t="s">
        <v>92</v>
      </c>
      <c r="B192" s="226"/>
      <c r="C192" s="226"/>
      <c r="D192" s="226"/>
      <c r="E192" s="226"/>
      <c r="F192" s="226"/>
      <c r="G192" s="226"/>
      <c r="H192" s="226"/>
      <c r="I192" s="226"/>
      <c r="J192" s="235"/>
      <c r="K192" s="233"/>
      <c r="L192" s="9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75" customHeight="1">
      <c r="A193" s="236" t="s">
        <v>93</v>
      </c>
      <c r="B193" s="237"/>
      <c r="C193" s="237"/>
      <c r="D193" s="237"/>
      <c r="E193" s="237"/>
      <c r="F193" s="237"/>
      <c r="G193" s="237"/>
      <c r="H193" s="237"/>
      <c r="I193" s="237"/>
      <c r="J193" s="238"/>
      <c r="K193" s="174"/>
      <c r="L193" s="166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75" customHeight="1">
      <c r="A195" s="232" t="s">
        <v>94</v>
      </c>
      <c r="B195" s="94"/>
      <c r="C195" s="94"/>
      <c r="D195" s="94"/>
      <c r="E195" s="94"/>
      <c r="F195" s="94"/>
      <c r="G195" s="94"/>
      <c r="H195" s="94"/>
      <c r="I195" s="94"/>
      <c r="J195" s="177"/>
      <c r="K195" s="239"/>
      <c r="L195" s="9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75" customHeight="1">
      <c r="A196" s="165"/>
      <c r="B196" s="112"/>
      <c r="C196" s="112"/>
      <c r="D196" s="112"/>
      <c r="E196" s="112"/>
      <c r="F196" s="112"/>
      <c r="G196" s="112"/>
      <c r="H196" s="112"/>
      <c r="I196" s="112"/>
      <c r="J196" s="172"/>
      <c r="K196" s="174"/>
      <c r="L196" s="166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75" customHeight="1">
      <c r="A198" s="232" t="s">
        <v>95</v>
      </c>
      <c r="B198" s="94"/>
      <c r="C198" s="94"/>
      <c r="D198" s="94"/>
      <c r="E198" s="94"/>
      <c r="F198" s="94"/>
      <c r="G198" s="94"/>
      <c r="H198" s="94"/>
      <c r="I198" s="94"/>
      <c r="J198" s="177"/>
      <c r="K198" s="233"/>
      <c r="L198" s="9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75" customHeight="1">
      <c r="A199" s="165"/>
      <c r="B199" s="112"/>
      <c r="C199" s="112"/>
      <c r="D199" s="112"/>
      <c r="E199" s="112"/>
      <c r="F199" s="112"/>
      <c r="G199" s="112"/>
      <c r="H199" s="112"/>
      <c r="I199" s="112"/>
      <c r="J199" s="172"/>
      <c r="K199" s="174"/>
      <c r="L199" s="166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75" customHeight="1">
      <c r="A201" s="232" t="s">
        <v>96</v>
      </c>
      <c r="B201" s="94"/>
      <c r="C201" s="94"/>
      <c r="D201" s="94"/>
      <c r="E201" s="94"/>
      <c r="F201" s="94"/>
      <c r="G201" s="94"/>
      <c r="H201" s="94"/>
      <c r="I201" s="94"/>
      <c r="J201" s="177"/>
      <c r="K201" s="233">
        <f>K332</f>
        <v>0</v>
      </c>
      <c r="L201" s="9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75" customHeight="1">
      <c r="A202" s="165"/>
      <c r="B202" s="112"/>
      <c r="C202" s="112"/>
      <c r="D202" s="112"/>
      <c r="E202" s="112"/>
      <c r="F202" s="112"/>
      <c r="G202" s="112"/>
      <c r="H202" s="112"/>
      <c r="I202" s="112"/>
      <c r="J202" s="172"/>
      <c r="K202" s="174"/>
      <c r="L202" s="166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75" customHeight="1">
      <c r="A204" s="232" t="s">
        <v>97</v>
      </c>
      <c r="B204" s="94"/>
      <c r="C204" s="94"/>
      <c r="D204" s="94"/>
      <c r="E204" s="94"/>
      <c r="F204" s="94"/>
      <c r="G204" s="94"/>
      <c r="H204" s="94"/>
      <c r="I204" s="94"/>
      <c r="J204" s="177"/>
      <c r="K204" s="239"/>
      <c r="L204" s="9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75" customHeight="1">
      <c r="A205" s="165"/>
      <c r="B205" s="112"/>
      <c r="C205" s="112"/>
      <c r="D205" s="112"/>
      <c r="E205" s="112"/>
      <c r="F205" s="112"/>
      <c r="G205" s="112"/>
      <c r="H205" s="112"/>
      <c r="I205" s="112"/>
      <c r="J205" s="172"/>
      <c r="K205" s="174"/>
      <c r="L205" s="166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75" customHeight="1">
      <c r="A207" s="175" t="s">
        <v>98</v>
      </c>
      <c r="B207" s="94"/>
      <c r="C207" s="94"/>
      <c r="D207" s="94"/>
      <c r="E207" s="94"/>
      <c r="F207" s="94"/>
      <c r="G207" s="94"/>
      <c r="H207" s="94"/>
      <c r="I207" s="94"/>
      <c r="J207" s="177"/>
      <c r="K207" s="240">
        <f>(+K183+L112+K186+K189+K195+L147+K198+K192)*K209</f>
        <v>0</v>
      </c>
      <c r="L207" s="9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75" customHeight="1">
      <c r="A208" s="96"/>
      <c r="B208" s="97"/>
      <c r="C208" s="97"/>
      <c r="D208" s="97"/>
      <c r="E208" s="97"/>
      <c r="F208" s="97"/>
      <c r="G208" s="97"/>
      <c r="H208" s="97"/>
      <c r="I208" s="97"/>
      <c r="J208" s="101"/>
      <c r="K208" s="105"/>
      <c r="L208" s="9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customHeight="1">
      <c r="A209" s="241" t="s">
        <v>99</v>
      </c>
      <c r="B209" s="103"/>
      <c r="C209" s="103"/>
      <c r="D209" s="103"/>
      <c r="E209" s="103"/>
      <c r="F209" s="103"/>
      <c r="G209" s="103"/>
      <c r="H209" s="103"/>
      <c r="I209" s="103"/>
      <c r="J209" s="100"/>
      <c r="K209" s="242"/>
      <c r="L209" s="10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75" customHeight="1">
      <c r="A210" s="96"/>
      <c r="B210" s="97"/>
      <c r="C210" s="97"/>
      <c r="D210" s="97"/>
      <c r="E210" s="97"/>
      <c r="F210" s="97"/>
      <c r="G210" s="97"/>
      <c r="H210" s="97"/>
      <c r="I210" s="97"/>
      <c r="J210" s="101"/>
      <c r="K210" s="105"/>
      <c r="L210" s="9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75" customHeight="1">
      <c r="A211" s="243" t="s">
        <v>100</v>
      </c>
      <c r="B211" s="103"/>
      <c r="C211" s="103"/>
      <c r="D211" s="103"/>
      <c r="E211" s="103"/>
      <c r="F211" s="103"/>
      <c r="G211" s="103"/>
      <c r="H211" s="103"/>
      <c r="I211" s="103"/>
      <c r="J211" s="100"/>
      <c r="K211" s="170">
        <f>(K183+L112+K186+K189+K195+K198+K201+L147+K204+K192)*K214</f>
        <v>0</v>
      </c>
      <c r="L211" s="10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75" customHeight="1">
      <c r="A212" s="155"/>
      <c r="B212" s="111"/>
      <c r="C212" s="111"/>
      <c r="D212" s="111"/>
      <c r="E212" s="111"/>
      <c r="F212" s="111"/>
      <c r="G212" s="111"/>
      <c r="H212" s="111"/>
      <c r="I212" s="111"/>
      <c r="J212" s="135"/>
      <c r="K212" s="198"/>
      <c r="L212" s="24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75" customHeight="1">
      <c r="A213" s="96"/>
      <c r="B213" s="97"/>
      <c r="C213" s="97"/>
      <c r="D213" s="97"/>
      <c r="E213" s="97"/>
      <c r="F213" s="97"/>
      <c r="G213" s="97"/>
      <c r="H213" s="97"/>
      <c r="I213" s="97"/>
      <c r="J213" s="101"/>
      <c r="K213" s="105"/>
      <c r="L213" s="9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75" customHeight="1">
      <c r="A214" s="241" t="s">
        <v>101</v>
      </c>
      <c r="B214" s="103"/>
      <c r="C214" s="103"/>
      <c r="D214" s="103"/>
      <c r="E214" s="103"/>
      <c r="F214" s="103"/>
      <c r="G214" s="103"/>
      <c r="H214" s="103"/>
      <c r="I214" s="103"/>
      <c r="J214" s="100"/>
      <c r="K214" s="245"/>
      <c r="L214" s="10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customHeight="1">
      <c r="A215" s="96"/>
      <c r="B215" s="97"/>
      <c r="C215" s="97"/>
      <c r="D215" s="97"/>
      <c r="E215" s="97"/>
      <c r="F215" s="97"/>
      <c r="G215" s="97"/>
      <c r="H215" s="97"/>
      <c r="I215" s="97"/>
      <c r="J215" s="101"/>
      <c r="K215" s="105"/>
      <c r="L215" s="9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customHeight="1">
      <c r="A216" s="247" t="s">
        <v>102</v>
      </c>
      <c r="B216" s="103"/>
      <c r="C216" s="103"/>
      <c r="D216" s="103"/>
      <c r="E216" s="103"/>
      <c r="F216" s="103"/>
      <c r="G216" s="103"/>
      <c r="H216" s="103"/>
      <c r="I216" s="103"/>
      <c r="J216" s="100"/>
      <c r="K216" s="170">
        <f>(SUM(K183,L112,K186,K189,K195,K198,L147,K201,K204,K207,K211))</f>
        <v>0</v>
      </c>
      <c r="L216" s="10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75" customHeight="1">
      <c r="A217" s="165"/>
      <c r="B217" s="112"/>
      <c r="C217" s="112"/>
      <c r="D217" s="112"/>
      <c r="E217" s="112"/>
      <c r="F217" s="112"/>
      <c r="G217" s="112"/>
      <c r="H217" s="112"/>
      <c r="I217" s="112"/>
      <c r="J217" s="172"/>
      <c r="K217" s="174"/>
      <c r="L217" s="166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49.5" customHeight="1">
      <c r="A219" s="176" t="s">
        <v>103</v>
      </c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75" hidden="1" customHeight="1">
      <c r="A220" s="96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75" customHeight="1">
      <c r="A221" s="247" t="s">
        <v>104</v>
      </c>
      <c r="B221" s="100"/>
      <c r="C221" s="248" t="s">
        <v>105</v>
      </c>
      <c r="D221" s="246" t="s">
        <v>106</v>
      </c>
      <c r="E221" s="103"/>
      <c r="F221" s="103"/>
      <c r="G221" s="103"/>
      <c r="H221" s="103"/>
      <c r="I221" s="103"/>
      <c r="J221" s="100"/>
      <c r="K221" s="250" t="s">
        <v>107</v>
      </c>
      <c r="L221" s="8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66" customHeight="1">
      <c r="A222" s="155"/>
      <c r="B222" s="135"/>
      <c r="C222" s="249"/>
      <c r="D222" s="198"/>
      <c r="E222" s="111"/>
      <c r="F222" s="111"/>
      <c r="G222" s="111"/>
      <c r="H222" s="111"/>
      <c r="I222" s="111"/>
      <c r="J222" s="135"/>
      <c r="K222" s="251" t="s">
        <v>108</v>
      </c>
      <c r="L222" s="8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75" customHeight="1">
      <c r="A223" s="96"/>
      <c r="B223" s="101"/>
      <c r="C223" s="129"/>
      <c r="D223" s="105"/>
      <c r="E223" s="97"/>
      <c r="F223" s="97"/>
      <c r="G223" s="97"/>
      <c r="H223" s="97"/>
      <c r="I223" s="97"/>
      <c r="J223" s="101"/>
      <c r="K223" s="48" t="s">
        <v>109</v>
      </c>
      <c r="L223" s="49" t="s">
        <v>110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75" customHeight="1">
      <c r="A224" s="252"/>
      <c r="B224" s="91"/>
      <c r="C224" s="50"/>
      <c r="D224" s="216" t="s">
        <v>111</v>
      </c>
      <c r="E224" s="87"/>
      <c r="F224" s="87"/>
      <c r="G224" s="87"/>
      <c r="H224" s="87"/>
      <c r="I224" s="87"/>
      <c r="J224" s="91"/>
      <c r="K224" s="51"/>
      <c r="L224" s="5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>
      <c r="A225" s="252"/>
      <c r="B225" s="91"/>
      <c r="C225" s="50"/>
      <c r="D225" s="216" t="s">
        <v>111</v>
      </c>
      <c r="E225" s="87"/>
      <c r="F225" s="87"/>
      <c r="G225" s="87"/>
      <c r="H225" s="87"/>
      <c r="I225" s="87"/>
      <c r="J225" s="91"/>
      <c r="K225" s="51"/>
      <c r="L225" s="5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75" customHeight="1">
      <c r="A226" s="252"/>
      <c r="B226" s="91"/>
      <c r="C226" s="50"/>
      <c r="D226" s="216" t="s">
        <v>111</v>
      </c>
      <c r="E226" s="87"/>
      <c r="F226" s="87"/>
      <c r="G226" s="87"/>
      <c r="H226" s="87"/>
      <c r="I226" s="87"/>
      <c r="J226" s="91"/>
      <c r="K226" s="51"/>
      <c r="L226" s="5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75" customHeight="1">
      <c r="A227" s="252"/>
      <c r="B227" s="91"/>
      <c r="C227" s="50"/>
      <c r="D227" s="216" t="s">
        <v>111</v>
      </c>
      <c r="E227" s="87"/>
      <c r="F227" s="87"/>
      <c r="G227" s="87"/>
      <c r="H227" s="87"/>
      <c r="I227" s="87"/>
      <c r="J227" s="91"/>
      <c r="K227" s="51"/>
      <c r="L227" s="5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4" customHeight="1">
      <c r="A228" s="252"/>
      <c r="B228" s="91"/>
      <c r="C228" s="50"/>
      <c r="D228" s="264" t="s">
        <v>111</v>
      </c>
      <c r="E228" s="87"/>
      <c r="F228" s="87"/>
      <c r="G228" s="87"/>
      <c r="H228" s="87"/>
      <c r="I228" s="87"/>
      <c r="J228" s="91"/>
      <c r="K228" s="51"/>
      <c r="L228" s="5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75" customHeight="1">
      <c r="A229" s="53"/>
      <c r="B229" s="54"/>
      <c r="C229" s="55"/>
      <c r="D229" s="264" t="s">
        <v>111</v>
      </c>
      <c r="E229" s="87"/>
      <c r="F229" s="87"/>
      <c r="G229" s="87"/>
      <c r="H229" s="87"/>
      <c r="I229" s="87"/>
      <c r="J229" s="91"/>
      <c r="K229" s="56"/>
      <c r="L229" s="5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75" customHeight="1">
      <c r="A230" s="53"/>
      <c r="B230" s="54"/>
      <c r="C230" s="55"/>
      <c r="D230" s="264" t="s">
        <v>111</v>
      </c>
      <c r="E230" s="87"/>
      <c r="F230" s="87"/>
      <c r="G230" s="87"/>
      <c r="H230" s="87"/>
      <c r="I230" s="87"/>
      <c r="J230" s="91"/>
      <c r="K230" s="56"/>
      <c r="L230" s="5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75" customHeight="1">
      <c r="A231" s="53"/>
      <c r="B231" s="54"/>
      <c r="C231" s="55"/>
      <c r="D231" s="264" t="s">
        <v>111</v>
      </c>
      <c r="E231" s="87"/>
      <c r="F231" s="87"/>
      <c r="G231" s="87"/>
      <c r="H231" s="87"/>
      <c r="I231" s="87"/>
      <c r="J231" s="91"/>
      <c r="K231" s="56"/>
      <c r="L231" s="5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75" customHeight="1">
      <c r="A232" s="53"/>
      <c r="B232" s="54"/>
      <c r="C232" s="55"/>
      <c r="D232" s="264" t="s">
        <v>111</v>
      </c>
      <c r="E232" s="87"/>
      <c r="F232" s="87"/>
      <c r="G232" s="87"/>
      <c r="H232" s="87"/>
      <c r="I232" s="87"/>
      <c r="J232" s="91"/>
      <c r="K232" s="56"/>
      <c r="L232" s="5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75" customHeight="1">
      <c r="A233" s="53"/>
      <c r="B233" s="54"/>
      <c r="C233" s="55"/>
      <c r="D233" s="264" t="s">
        <v>111</v>
      </c>
      <c r="E233" s="87"/>
      <c r="F233" s="87"/>
      <c r="G233" s="87"/>
      <c r="H233" s="87"/>
      <c r="I233" s="87"/>
      <c r="J233" s="91"/>
      <c r="K233" s="56"/>
      <c r="L233" s="5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75" customHeight="1">
      <c r="A234" s="53"/>
      <c r="B234" s="54"/>
      <c r="C234" s="55"/>
      <c r="D234" s="264" t="s">
        <v>111</v>
      </c>
      <c r="E234" s="87"/>
      <c r="F234" s="87"/>
      <c r="G234" s="87"/>
      <c r="H234" s="87"/>
      <c r="I234" s="87"/>
      <c r="J234" s="91"/>
      <c r="K234" s="56"/>
      <c r="L234" s="5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75" customHeight="1">
      <c r="A235" s="53"/>
      <c r="B235" s="54"/>
      <c r="C235" s="55"/>
      <c r="D235" s="264" t="s">
        <v>111</v>
      </c>
      <c r="E235" s="87"/>
      <c r="F235" s="87"/>
      <c r="G235" s="87"/>
      <c r="H235" s="87"/>
      <c r="I235" s="87"/>
      <c r="J235" s="91"/>
      <c r="K235" s="56"/>
      <c r="L235" s="5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75" customHeight="1">
      <c r="A236" s="53"/>
      <c r="B236" s="54"/>
      <c r="C236" s="55"/>
      <c r="D236" s="264" t="s">
        <v>111</v>
      </c>
      <c r="E236" s="87"/>
      <c r="F236" s="87"/>
      <c r="G236" s="87"/>
      <c r="H236" s="87"/>
      <c r="I236" s="87"/>
      <c r="J236" s="91"/>
      <c r="K236" s="56"/>
      <c r="L236" s="5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75" customHeight="1">
      <c r="A237" s="265"/>
      <c r="B237" s="162"/>
      <c r="C237" s="162"/>
      <c r="D237" s="162"/>
      <c r="E237" s="162"/>
      <c r="F237" s="162"/>
      <c r="G237" s="162"/>
      <c r="H237" s="162"/>
      <c r="I237" s="162"/>
      <c r="J237" s="158"/>
      <c r="K237" s="266"/>
      <c r="L237" s="163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58"/>
      <c r="L238" s="5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75" customHeight="1">
      <c r="A239" s="176" t="s">
        <v>112</v>
      </c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>
      <c r="A240" s="96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75" customHeight="1">
      <c r="A241" s="267" t="s">
        <v>113</v>
      </c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9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75" customHeight="1">
      <c r="A242" s="59" t="s">
        <v>114</v>
      </c>
      <c r="B242" s="92" t="s">
        <v>115</v>
      </c>
      <c r="C242" s="87"/>
      <c r="D242" s="87"/>
      <c r="E242" s="87"/>
      <c r="F242" s="87"/>
      <c r="G242" s="87"/>
      <c r="H242" s="87"/>
      <c r="I242" s="87"/>
      <c r="J242" s="87"/>
      <c r="K242" s="87"/>
      <c r="L242" s="9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75" customHeight="1">
      <c r="A243" s="59" t="s">
        <v>114</v>
      </c>
      <c r="B243" s="92" t="s">
        <v>115</v>
      </c>
      <c r="C243" s="87"/>
      <c r="D243" s="87"/>
      <c r="E243" s="87"/>
      <c r="F243" s="87"/>
      <c r="G243" s="87"/>
      <c r="H243" s="87"/>
      <c r="I243" s="87"/>
      <c r="J243" s="87"/>
      <c r="K243" s="87"/>
      <c r="L243" s="9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75" customHeight="1">
      <c r="A244" s="59" t="s">
        <v>114</v>
      </c>
      <c r="B244" s="92" t="s">
        <v>115</v>
      </c>
      <c r="C244" s="87"/>
      <c r="D244" s="87"/>
      <c r="E244" s="87"/>
      <c r="F244" s="87"/>
      <c r="G244" s="87"/>
      <c r="H244" s="87"/>
      <c r="I244" s="87"/>
      <c r="J244" s="87"/>
      <c r="K244" s="87"/>
      <c r="L244" s="9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75" customHeight="1">
      <c r="A245" s="59" t="s">
        <v>114</v>
      </c>
      <c r="B245" s="92" t="s">
        <v>115</v>
      </c>
      <c r="C245" s="87"/>
      <c r="D245" s="87"/>
      <c r="E245" s="87"/>
      <c r="F245" s="87"/>
      <c r="G245" s="87"/>
      <c r="H245" s="87"/>
      <c r="I245" s="87"/>
      <c r="J245" s="87"/>
      <c r="K245" s="87"/>
      <c r="L245" s="9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75" customHeight="1">
      <c r="A246" s="59" t="s">
        <v>114</v>
      </c>
      <c r="B246" s="92" t="s">
        <v>115</v>
      </c>
      <c r="C246" s="87"/>
      <c r="D246" s="87"/>
      <c r="E246" s="87"/>
      <c r="F246" s="87"/>
      <c r="G246" s="87"/>
      <c r="H246" s="87"/>
      <c r="I246" s="87"/>
      <c r="J246" s="87"/>
      <c r="K246" s="87"/>
      <c r="L246" s="9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75" customHeight="1">
      <c r="A247" s="59" t="s">
        <v>114</v>
      </c>
      <c r="B247" s="92" t="s">
        <v>115</v>
      </c>
      <c r="C247" s="87"/>
      <c r="D247" s="87"/>
      <c r="E247" s="87"/>
      <c r="F247" s="87"/>
      <c r="G247" s="87"/>
      <c r="H247" s="87"/>
      <c r="I247" s="87"/>
      <c r="J247" s="87"/>
      <c r="K247" s="87"/>
      <c r="L247" s="9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75" customHeight="1">
      <c r="A248" s="59" t="s">
        <v>114</v>
      </c>
      <c r="B248" s="92" t="s">
        <v>115</v>
      </c>
      <c r="C248" s="87"/>
      <c r="D248" s="87"/>
      <c r="E248" s="87"/>
      <c r="F248" s="87"/>
      <c r="G248" s="87"/>
      <c r="H248" s="87"/>
      <c r="I248" s="87"/>
      <c r="J248" s="87"/>
      <c r="K248" s="87"/>
      <c r="L248" s="9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75" customHeight="1">
      <c r="A249" s="59" t="s">
        <v>114</v>
      </c>
      <c r="B249" s="92" t="s">
        <v>115</v>
      </c>
      <c r="C249" s="87"/>
      <c r="D249" s="87"/>
      <c r="E249" s="87"/>
      <c r="F249" s="87"/>
      <c r="G249" s="87"/>
      <c r="H249" s="87"/>
      <c r="I249" s="87"/>
      <c r="J249" s="87"/>
      <c r="K249" s="87"/>
      <c r="L249" s="9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75" customHeight="1">
      <c r="A250" s="59" t="s">
        <v>114</v>
      </c>
      <c r="B250" s="92" t="s">
        <v>115</v>
      </c>
      <c r="C250" s="87"/>
      <c r="D250" s="87"/>
      <c r="E250" s="87"/>
      <c r="F250" s="87"/>
      <c r="G250" s="87"/>
      <c r="H250" s="87"/>
      <c r="I250" s="87"/>
      <c r="J250" s="87"/>
      <c r="K250" s="87"/>
      <c r="L250" s="9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75" customHeight="1">
      <c r="A251" s="59" t="s">
        <v>114</v>
      </c>
      <c r="B251" s="92" t="s">
        <v>115</v>
      </c>
      <c r="C251" s="87"/>
      <c r="D251" s="87"/>
      <c r="E251" s="87"/>
      <c r="F251" s="87"/>
      <c r="G251" s="87"/>
      <c r="H251" s="87"/>
      <c r="I251" s="87"/>
      <c r="J251" s="87"/>
      <c r="K251" s="87"/>
      <c r="L251" s="9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75" customHeight="1">
      <c r="A252" s="59" t="s">
        <v>114</v>
      </c>
      <c r="B252" s="92" t="s">
        <v>115</v>
      </c>
      <c r="C252" s="87"/>
      <c r="D252" s="87"/>
      <c r="E252" s="87"/>
      <c r="F252" s="87"/>
      <c r="G252" s="87"/>
      <c r="H252" s="87"/>
      <c r="I252" s="87"/>
      <c r="J252" s="87"/>
      <c r="K252" s="87"/>
      <c r="L252" s="9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75" customHeight="1">
      <c r="A253" s="59" t="s">
        <v>114</v>
      </c>
      <c r="B253" s="92" t="s">
        <v>115</v>
      </c>
      <c r="C253" s="87"/>
      <c r="D253" s="87"/>
      <c r="E253" s="87"/>
      <c r="F253" s="87"/>
      <c r="G253" s="87"/>
      <c r="H253" s="87"/>
      <c r="I253" s="87"/>
      <c r="J253" s="87"/>
      <c r="K253" s="87"/>
      <c r="L253" s="9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75" customHeight="1">
      <c r="A254" s="59" t="s">
        <v>114</v>
      </c>
      <c r="B254" s="92" t="s">
        <v>115</v>
      </c>
      <c r="C254" s="87"/>
      <c r="D254" s="87"/>
      <c r="E254" s="87"/>
      <c r="F254" s="87"/>
      <c r="G254" s="87"/>
      <c r="H254" s="87"/>
      <c r="I254" s="87"/>
      <c r="J254" s="87"/>
      <c r="K254" s="87"/>
      <c r="L254" s="9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75" customHeight="1">
      <c r="A255" s="59" t="s">
        <v>114</v>
      </c>
      <c r="B255" s="92" t="s">
        <v>115</v>
      </c>
      <c r="C255" s="87"/>
      <c r="D255" s="87"/>
      <c r="E255" s="87"/>
      <c r="F255" s="87"/>
      <c r="G255" s="87"/>
      <c r="H255" s="87"/>
      <c r="I255" s="87"/>
      <c r="J255" s="87"/>
      <c r="K255" s="87"/>
      <c r="L255" s="9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75" customHeight="1">
      <c r="A256" s="108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9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58"/>
      <c r="L257" s="5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75" customHeight="1">
      <c r="A258" s="271" t="s">
        <v>116</v>
      </c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75" customHeight="1">
      <c r="A259" s="271" t="s">
        <v>117</v>
      </c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75" customHeight="1">
      <c r="A261" s="175" t="s">
        <v>118</v>
      </c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5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75" customHeight="1">
      <c r="A262" s="165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66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75" customHeight="1">
      <c r="A263" s="61"/>
      <c r="B263" s="272" t="s">
        <v>119</v>
      </c>
      <c r="C263" s="117"/>
      <c r="D263" s="117"/>
      <c r="E263" s="118"/>
      <c r="F263" s="62"/>
      <c r="G263" s="273" t="s">
        <v>120</v>
      </c>
      <c r="H263" s="114"/>
      <c r="I263" s="114"/>
      <c r="J263" s="114"/>
      <c r="K263" s="115"/>
      <c r="L263" s="63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75" customHeight="1">
      <c r="A264" s="64"/>
      <c r="B264" s="65" t="s">
        <v>121</v>
      </c>
      <c r="C264" s="66" t="s">
        <v>68</v>
      </c>
      <c r="D264" s="66" t="s">
        <v>121</v>
      </c>
      <c r="E264" s="67" t="s">
        <v>68</v>
      </c>
      <c r="F264" s="1"/>
      <c r="G264" s="68" t="s">
        <v>122</v>
      </c>
      <c r="H264" s="274" t="s">
        <v>123</v>
      </c>
      <c r="I264" s="158"/>
      <c r="J264" s="274" t="s">
        <v>68</v>
      </c>
      <c r="K264" s="163"/>
      <c r="L264" s="69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75" customHeight="1">
      <c r="A265" s="64"/>
      <c r="B265" s="70">
        <v>1</v>
      </c>
      <c r="C265" s="71"/>
      <c r="D265" s="72">
        <v>31</v>
      </c>
      <c r="E265" s="71"/>
      <c r="F265" s="1"/>
      <c r="G265" s="275"/>
      <c r="H265" s="94"/>
      <c r="I265" s="94"/>
      <c r="J265" s="94"/>
      <c r="K265" s="95"/>
      <c r="L265" s="69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75" customHeight="1">
      <c r="A266" s="64"/>
      <c r="B266" s="70">
        <v>2</v>
      </c>
      <c r="C266" s="71"/>
      <c r="D266" s="72">
        <v>32</v>
      </c>
      <c r="E266" s="71"/>
      <c r="F266" s="1"/>
      <c r="G266" s="96"/>
      <c r="H266" s="97"/>
      <c r="I266" s="97"/>
      <c r="J266" s="97"/>
      <c r="K266" s="98"/>
      <c r="L266" s="69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75" customHeight="1">
      <c r="A267" s="64"/>
      <c r="B267" s="70">
        <v>3</v>
      </c>
      <c r="C267" s="71"/>
      <c r="D267" s="72">
        <v>33</v>
      </c>
      <c r="E267" s="71"/>
      <c r="F267" s="1"/>
      <c r="G267" s="277" t="s">
        <v>124</v>
      </c>
      <c r="H267" s="279" t="s">
        <v>125</v>
      </c>
      <c r="I267" s="91"/>
      <c r="J267" s="280"/>
      <c r="K267" s="88"/>
      <c r="L267" s="69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75" customHeight="1">
      <c r="A268" s="64"/>
      <c r="B268" s="70">
        <v>4</v>
      </c>
      <c r="C268" s="71"/>
      <c r="D268" s="72">
        <v>34</v>
      </c>
      <c r="E268" s="71"/>
      <c r="F268" s="1"/>
      <c r="G268" s="278"/>
      <c r="H268" s="281" t="s">
        <v>126</v>
      </c>
      <c r="I268" s="158"/>
      <c r="J268" s="282"/>
      <c r="K268" s="163"/>
      <c r="L268" s="69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75" customHeight="1">
      <c r="A269" s="64"/>
      <c r="B269" s="70">
        <v>5</v>
      </c>
      <c r="C269" s="71"/>
      <c r="D269" s="72">
        <v>35</v>
      </c>
      <c r="E269" s="71"/>
      <c r="F269" s="1"/>
      <c r="G269" s="275"/>
      <c r="H269" s="94"/>
      <c r="I269" s="94"/>
      <c r="J269" s="94"/>
      <c r="K269" s="95"/>
      <c r="L269" s="69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75" customHeight="1">
      <c r="A270" s="64"/>
      <c r="B270" s="70">
        <v>6</v>
      </c>
      <c r="C270" s="71"/>
      <c r="D270" s="72">
        <v>36</v>
      </c>
      <c r="E270" s="71"/>
      <c r="F270" s="1"/>
      <c r="G270" s="96"/>
      <c r="H270" s="97"/>
      <c r="I270" s="97"/>
      <c r="J270" s="97"/>
      <c r="K270" s="98"/>
      <c r="L270" s="69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75" customHeight="1">
      <c r="A271" s="64"/>
      <c r="B271" s="70">
        <v>7</v>
      </c>
      <c r="C271" s="71"/>
      <c r="D271" s="72">
        <v>37</v>
      </c>
      <c r="E271" s="71"/>
      <c r="F271" s="1"/>
      <c r="G271" s="277" t="s">
        <v>127</v>
      </c>
      <c r="H271" s="279" t="s">
        <v>125</v>
      </c>
      <c r="I271" s="91"/>
      <c r="J271" s="280"/>
      <c r="K271" s="88"/>
      <c r="L271" s="69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75" customHeight="1">
      <c r="A272" s="64"/>
      <c r="B272" s="70">
        <v>8</v>
      </c>
      <c r="C272" s="71"/>
      <c r="D272" s="72">
        <v>38</v>
      </c>
      <c r="E272" s="71"/>
      <c r="F272" s="1"/>
      <c r="G272" s="278"/>
      <c r="H272" s="281" t="s">
        <v>126</v>
      </c>
      <c r="I272" s="158"/>
      <c r="J272" s="282"/>
      <c r="K272" s="163"/>
      <c r="L272" s="69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75" customHeight="1">
      <c r="A273" s="64"/>
      <c r="B273" s="70">
        <v>9</v>
      </c>
      <c r="C273" s="71"/>
      <c r="D273" s="72">
        <v>39</v>
      </c>
      <c r="E273" s="71"/>
      <c r="F273" s="1"/>
      <c r="G273" s="275"/>
      <c r="H273" s="94"/>
      <c r="I273" s="94"/>
      <c r="J273" s="94"/>
      <c r="K273" s="95"/>
      <c r="L273" s="69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75" customHeight="1">
      <c r="A274" s="64"/>
      <c r="B274" s="70">
        <v>10</v>
      </c>
      <c r="C274" s="71"/>
      <c r="D274" s="72">
        <v>40</v>
      </c>
      <c r="E274" s="71"/>
      <c r="F274" s="1"/>
      <c r="G274" s="96"/>
      <c r="H274" s="97"/>
      <c r="I274" s="97"/>
      <c r="J274" s="97"/>
      <c r="K274" s="98"/>
      <c r="L274" s="69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75" customHeight="1">
      <c r="A275" s="64"/>
      <c r="B275" s="70">
        <v>11</v>
      </c>
      <c r="C275" s="71"/>
      <c r="D275" s="72">
        <v>41</v>
      </c>
      <c r="E275" s="71"/>
      <c r="F275" s="1"/>
      <c r="G275" s="277" t="s">
        <v>128</v>
      </c>
      <c r="H275" s="279" t="s">
        <v>125</v>
      </c>
      <c r="I275" s="91"/>
      <c r="J275" s="280"/>
      <c r="K275" s="88"/>
      <c r="L275" s="69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75" customHeight="1">
      <c r="A276" s="64"/>
      <c r="B276" s="70">
        <v>12</v>
      </c>
      <c r="C276" s="71"/>
      <c r="D276" s="72">
        <v>42</v>
      </c>
      <c r="E276" s="71"/>
      <c r="F276" s="1"/>
      <c r="G276" s="278"/>
      <c r="H276" s="281" t="s">
        <v>126</v>
      </c>
      <c r="I276" s="158"/>
      <c r="J276" s="282"/>
      <c r="K276" s="163"/>
      <c r="L276" s="69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customHeight="1">
      <c r="A277" s="64"/>
      <c r="B277" s="70">
        <v>13</v>
      </c>
      <c r="C277" s="71"/>
      <c r="D277" s="72">
        <v>43</v>
      </c>
      <c r="E277" s="71"/>
      <c r="F277" s="1"/>
      <c r="G277" s="275"/>
      <c r="H277" s="94"/>
      <c r="I277" s="94"/>
      <c r="J277" s="94"/>
      <c r="K277" s="95"/>
      <c r="L277" s="69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75" customHeight="1">
      <c r="A278" s="64"/>
      <c r="B278" s="70">
        <v>14</v>
      </c>
      <c r="C278" s="71"/>
      <c r="D278" s="72">
        <v>44</v>
      </c>
      <c r="E278" s="71"/>
      <c r="F278" s="1"/>
      <c r="G278" s="96"/>
      <c r="H278" s="97"/>
      <c r="I278" s="97"/>
      <c r="J278" s="97"/>
      <c r="K278" s="98"/>
      <c r="L278" s="69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75" customHeight="1">
      <c r="A279" s="64"/>
      <c r="B279" s="70">
        <v>15</v>
      </c>
      <c r="C279" s="71"/>
      <c r="D279" s="72">
        <v>45</v>
      </c>
      <c r="E279" s="71"/>
      <c r="F279" s="1"/>
      <c r="G279" s="277" t="s">
        <v>129</v>
      </c>
      <c r="H279" s="279" t="s">
        <v>125</v>
      </c>
      <c r="I279" s="91"/>
      <c r="J279" s="280"/>
      <c r="K279" s="88"/>
      <c r="L279" s="69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customHeight="1">
      <c r="A280" s="64"/>
      <c r="B280" s="70">
        <v>16</v>
      </c>
      <c r="C280" s="71"/>
      <c r="D280" s="72">
        <v>46</v>
      </c>
      <c r="E280" s="71"/>
      <c r="F280" s="1"/>
      <c r="G280" s="278"/>
      <c r="H280" s="281" t="s">
        <v>126</v>
      </c>
      <c r="I280" s="158"/>
      <c r="J280" s="282"/>
      <c r="K280" s="163"/>
      <c r="L280" s="69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customHeight="1">
      <c r="A281" s="64"/>
      <c r="B281" s="70">
        <v>17</v>
      </c>
      <c r="C281" s="71"/>
      <c r="D281" s="72">
        <v>47</v>
      </c>
      <c r="E281" s="71"/>
      <c r="F281" s="1"/>
      <c r="G281" s="286"/>
      <c r="H281" s="131"/>
      <c r="I281" s="131"/>
      <c r="J281" s="131"/>
      <c r="K281" s="132"/>
      <c r="L281" s="69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75" customHeight="1">
      <c r="A282" s="64"/>
      <c r="B282" s="70">
        <v>18</v>
      </c>
      <c r="C282" s="71"/>
      <c r="D282" s="72">
        <v>48</v>
      </c>
      <c r="E282" s="71"/>
      <c r="F282" s="1"/>
      <c r="G282" s="105"/>
      <c r="H282" s="97"/>
      <c r="I282" s="97"/>
      <c r="J282" s="97"/>
      <c r="K282" s="101"/>
      <c r="L282" s="69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75" customHeight="1">
      <c r="A283" s="64"/>
      <c r="B283" s="70">
        <v>19</v>
      </c>
      <c r="C283" s="71"/>
      <c r="D283" s="72">
        <v>49</v>
      </c>
      <c r="E283" s="71"/>
      <c r="F283" s="1"/>
      <c r="G283" s="285" t="s">
        <v>130</v>
      </c>
      <c r="H283" s="287" t="s">
        <v>125</v>
      </c>
      <c r="I283" s="288"/>
      <c r="J283" s="289"/>
      <c r="K283" s="122"/>
      <c r="L283" s="69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75" customHeight="1">
      <c r="A284" s="64"/>
      <c r="B284" s="70">
        <v>20</v>
      </c>
      <c r="C284" s="71"/>
      <c r="D284" s="72">
        <v>50</v>
      </c>
      <c r="E284" s="71"/>
      <c r="F284" s="1"/>
      <c r="G284" s="278"/>
      <c r="H284" s="281" t="s">
        <v>126</v>
      </c>
      <c r="I284" s="158"/>
      <c r="J284" s="282"/>
      <c r="K284" s="163"/>
      <c r="L284" s="69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75" customHeight="1">
      <c r="A285" s="64"/>
      <c r="B285" s="70">
        <v>21</v>
      </c>
      <c r="C285" s="71"/>
      <c r="D285" s="72">
        <v>51</v>
      </c>
      <c r="E285" s="71"/>
      <c r="F285" s="1"/>
      <c r="G285" s="276" t="s">
        <v>55</v>
      </c>
      <c r="H285" s="237"/>
      <c r="I285" s="238"/>
      <c r="J285" s="283">
        <f>SUM(J267,J268,J271,J272,J275,J276,J279,J280,J283,J284)</f>
        <v>0</v>
      </c>
      <c r="K285" s="284"/>
      <c r="L285" s="69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75" customHeight="1">
      <c r="A286" s="64"/>
      <c r="B286" s="70">
        <v>22</v>
      </c>
      <c r="C286" s="71"/>
      <c r="D286" s="72">
        <v>52</v>
      </c>
      <c r="E286" s="71"/>
      <c r="F286" s="1"/>
      <c r="G286" s="60"/>
      <c r="H286" s="60"/>
      <c r="I286" s="60"/>
      <c r="J286" s="60"/>
      <c r="K286" s="60"/>
      <c r="L286" s="73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75" customHeight="1">
      <c r="A287" s="64"/>
      <c r="B287" s="70">
        <v>23</v>
      </c>
      <c r="C287" s="71"/>
      <c r="D287" s="72">
        <v>53</v>
      </c>
      <c r="E287" s="71"/>
      <c r="F287" s="1"/>
      <c r="G287" s="268" t="s">
        <v>131</v>
      </c>
      <c r="H287" s="117"/>
      <c r="I287" s="117"/>
      <c r="J287" s="118"/>
      <c r="K287" s="1"/>
      <c r="L287" s="73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75" customHeight="1">
      <c r="A288" s="64"/>
      <c r="B288" s="70">
        <v>24</v>
      </c>
      <c r="C288" s="71"/>
      <c r="D288" s="72">
        <v>54</v>
      </c>
      <c r="E288" s="71"/>
      <c r="F288" s="1"/>
      <c r="G288" s="269" t="s">
        <v>122</v>
      </c>
      <c r="H288" s="212"/>
      <c r="I288" s="270" t="s">
        <v>68</v>
      </c>
      <c r="J288" s="115"/>
      <c r="K288" s="1"/>
      <c r="L288" s="73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75" customHeight="1">
      <c r="A289" s="64"/>
      <c r="B289" s="70">
        <v>25</v>
      </c>
      <c r="C289" s="71"/>
      <c r="D289" s="72">
        <v>55</v>
      </c>
      <c r="E289" s="71"/>
      <c r="F289" s="1"/>
      <c r="G289" s="256" t="s">
        <v>132</v>
      </c>
      <c r="H289" s="91"/>
      <c r="I289" s="254"/>
      <c r="J289" s="88"/>
      <c r="K289" s="1"/>
      <c r="L289" s="73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75" customHeight="1">
      <c r="A290" s="64"/>
      <c r="B290" s="70">
        <v>26</v>
      </c>
      <c r="C290" s="71"/>
      <c r="D290" s="72">
        <v>56</v>
      </c>
      <c r="E290" s="71"/>
      <c r="F290" s="1"/>
      <c r="G290" s="256" t="s">
        <v>133</v>
      </c>
      <c r="H290" s="91"/>
      <c r="I290" s="254"/>
      <c r="J290" s="88"/>
      <c r="K290" s="1"/>
      <c r="L290" s="73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75" customHeight="1">
      <c r="A291" s="64"/>
      <c r="B291" s="70">
        <v>27</v>
      </c>
      <c r="C291" s="71"/>
      <c r="D291" s="72">
        <v>57</v>
      </c>
      <c r="E291" s="71"/>
      <c r="F291" s="1"/>
      <c r="G291" s="256" t="s">
        <v>134</v>
      </c>
      <c r="H291" s="91"/>
      <c r="I291" s="254"/>
      <c r="J291" s="88"/>
      <c r="K291" s="1"/>
      <c r="L291" s="73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75" customHeight="1">
      <c r="A292" s="64"/>
      <c r="B292" s="70">
        <v>28</v>
      </c>
      <c r="C292" s="71"/>
      <c r="D292" s="72">
        <v>58</v>
      </c>
      <c r="E292" s="71"/>
      <c r="F292" s="1"/>
      <c r="G292" s="256" t="s">
        <v>135</v>
      </c>
      <c r="H292" s="91"/>
      <c r="I292" s="254"/>
      <c r="J292" s="88"/>
      <c r="K292" s="1"/>
      <c r="L292" s="7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75" customHeight="1">
      <c r="A293" s="64"/>
      <c r="B293" s="70">
        <v>29</v>
      </c>
      <c r="C293" s="71"/>
      <c r="D293" s="72">
        <v>59</v>
      </c>
      <c r="E293" s="71"/>
      <c r="F293" s="1"/>
      <c r="G293" s="256" t="s">
        <v>136</v>
      </c>
      <c r="H293" s="91"/>
      <c r="I293" s="254"/>
      <c r="J293" s="88"/>
      <c r="K293" s="1"/>
      <c r="L293" s="73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75" customHeight="1">
      <c r="A294" s="64"/>
      <c r="B294" s="70">
        <v>30</v>
      </c>
      <c r="C294" s="71"/>
      <c r="D294" s="72">
        <v>60</v>
      </c>
      <c r="E294" s="71"/>
      <c r="F294" s="1"/>
      <c r="G294" s="257" t="s">
        <v>55</v>
      </c>
      <c r="H294" s="158"/>
      <c r="I294" s="255">
        <f>SUM(I289:J293)</f>
        <v>0</v>
      </c>
      <c r="J294" s="163"/>
      <c r="K294" s="1"/>
      <c r="L294" s="7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75" customHeight="1">
      <c r="A295" s="74"/>
      <c r="B295" s="258" t="s">
        <v>55</v>
      </c>
      <c r="C295" s="162"/>
      <c r="D295" s="158"/>
      <c r="E295" s="75">
        <f>SUM(C265:C294,E265:E294)</f>
        <v>0</v>
      </c>
      <c r="F295" s="76"/>
      <c r="G295" s="76"/>
      <c r="H295" s="76"/>
      <c r="I295" s="76"/>
      <c r="J295" s="76"/>
      <c r="K295" s="76"/>
      <c r="L295" s="7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75" customHeight="1">
      <c r="A297" s="176" t="s">
        <v>137</v>
      </c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5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75" customHeight="1">
      <c r="A298" s="165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66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75" customHeight="1">
      <c r="A299" s="290" t="s">
        <v>67</v>
      </c>
      <c r="B299" s="114"/>
      <c r="C299" s="114"/>
      <c r="D299" s="114"/>
      <c r="E299" s="114"/>
      <c r="F299" s="114"/>
      <c r="G299" s="212"/>
      <c r="H299" s="78" t="s">
        <v>138</v>
      </c>
      <c r="I299" s="259" t="s">
        <v>139</v>
      </c>
      <c r="J299" s="212"/>
      <c r="K299" s="260" t="s">
        <v>140</v>
      </c>
      <c r="L299" s="115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75" customHeight="1">
      <c r="A300" s="252" t="s">
        <v>141</v>
      </c>
      <c r="B300" s="87"/>
      <c r="C300" s="87"/>
      <c r="D300" s="87"/>
      <c r="E300" s="87"/>
      <c r="F300" s="87"/>
      <c r="G300" s="91"/>
      <c r="H300" s="79"/>
      <c r="I300" s="253"/>
      <c r="J300" s="91"/>
      <c r="K300" s="261">
        <f t="shared" ref="K300:K331" si="2">H300*I300</f>
        <v>0</v>
      </c>
      <c r="L300" s="8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75" customHeight="1">
      <c r="A301" s="252" t="s">
        <v>141</v>
      </c>
      <c r="B301" s="87"/>
      <c r="C301" s="87"/>
      <c r="D301" s="87"/>
      <c r="E301" s="87"/>
      <c r="F301" s="87"/>
      <c r="G301" s="91"/>
      <c r="H301" s="79"/>
      <c r="I301" s="253"/>
      <c r="J301" s="91"/>
      <c r="K301" s="261">
        <f t="shared" si="2"/>
        <v>0</v>
      </c>
      <c r="L301" s="8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75" customHeight="1">
      <c r="A302" s="252" t="s">
        <v>141</v>
      </c>
      <c r="B302" s="87"/>
      <c r="C302" s="87"/>
      <c r="D302" s="87"/>
      <c r="E302" s="87"/>
      <c r="F302" s="87"/>
      <c r="G302" s="91"/>
      <c r="H302" s="79"/>
      <c r="I302" s="253"/>
      <c r="J302" s="91"/>
      <c r="K302" s="261">
        <f t="shared" si="2"/>
        <v>0</v>
      </c>
      <c r="L302" s="8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75" customHeight="1">
      <c r="A303" s="252" t="s">
        <v>141</v>
      </c>
      <c r="B303" s="87"/>
      <c r="C303" s="87"/>
      <c r="D303" s="87"/>
      <c r="E303" s="87"/>
      <c r="F303" s="87"/>
      <c r="G303" s="91"/>
      <c r="H303" s="79"/>
      <c r="I303" s="253"/>
      <c r="J303" s="91"/>
      <c r="K303" s="261">
        <f t="shared" si="2"/>
        <v>0</v>
      </c>
      <c r="L303" s="8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75" customHeight="1">
      <c r="A304" s="252" t="s">
        <v>141</v>
      </c>
      <c r="B304" s="87"/>
      <c r="C304" s="87"/>
      <c r="D304" s="87"/>
      <c r="E304" s="87"/>
      <c r="F304" s="87"/>
      <c r="G304" s="91"/>
      <c r="H304" s="79"/>
      <c r="I304" s="253"/>
      <c r="J304" s="91"/>
      <c r="K304" s="261">
        <f t="shared" si="2"/>
        <v>0</v>
      </c>
      <c r="L304" s="8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75" customHeight="1">
      <c r="A305" s="252" t="s">
        <v>141</v>
      </c>
      <c r="B305" s="87"/>
      <c r="C305" s="87"/>
      <c r="D305" s="87"/>
      <c r="E305" s="87"/>
      <c r="F305" s="87"/>
      <c r="G305" s="91"/>
      <c r="H305" s="79"/>
      <c r="I305" s="253"/>
      <c r="J305" s="91"/>
      <c r="K305" s="261">
        <f t="shared" si="2"/>
        <v>0</v>
      </c>
      <c r="L305" s="8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75" customHeight="1">
      <c r="A306" s="252" t="s">
        <v>141</v>
      </c>
      <c r="B306" s="87"/>
      <c r="C306" s="87"/>
      <c r="D306" s="87"/>
      <c r="E306" s="87"/>
      <c r="F306" s="87"/>
      <c r="G306" s="91"/>
      <c r="H306" s="79"/>
      <c r="I306" s="253"/>
      <c r="J306" s="91"/>
      <c r="K306" s="261">
        <f t="shared" si="2"/>
        <v>0</v>
      </c>
      <c r="L306" s="8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75" customHeight="1">
      <c r="A307" s="252" t="s">
        <v>141</v>
      </c>
      <c r="B307" s="87"/>
      <c r="C307" s="87"/>
      <c r="D307" s="87"/>
      <c r="E307" s="87"/>
      <c r="F307" s="87"/>
      <c r="G307" s="91"/>
      <c r="H307" s="79"/>
      <c r="I307" s="253"/>
      <c r="J307" s="91"/>
      <c r="K307" s="261">
        <f t="shared" si="2"/>
        <v>0</v>
      </c>
      <c r="L307" s="8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75" customHeight="1">
      <c r="A308" s="252" t="s">
        <v>141</v>
      </c>
      <c r="B308" s="87"/>
      <c r="C308" s="87"/>
      <c r="D308" s="87"/>
      <c r="E308" s="87"/>
      <c r="F308" s="87"/>
      <c r="G308" s="91"/>
      <c r="H308" s="79"/>
      <c r="I308" s="253"/>
      <c r="J308" s="91"/>
      <c r="K308" s="261">
        <f t="shared" si="2"/>
        <v>0</v>
      </c>
      <c r="L308" s="8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75" customHeight="1">
      <c r="A309" s="252" t="s">
        <v>141</v>
      </c>
      <c r="B309" s="87"/>
      <c r="C309" s="87"/>
      <c r="D309" s="87"/>
      <c r="E309" s="87"/>
      <c r="F309" s="87"/>
      <c r="G309" s="91"/>
      <c r="H309" s="79"/>
      <c r="I309" s="253"/>
      <c r="J309" s="91"/>
      <c r="K309" s="261">
        <f t="shared" si="2"/>
        <v>0</v>
      </c>
      <c r="L309" s="8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75" customHeight="1">
      <c r="A310" s="252" t="s">
        <v>141</v>
      </c>
      <c r="B310" s="87"/>
      <c r="C310" s="87"/>
      <c r="D310" s="87"/>
      <c r="E310" s="87"/>
      <c r="F310" s="87"/>
      <c r="G310" s="91"/>
      <c r="H310" s="79"/>
      <c r="I310" s="253"/>
      <c r="J310" s="91"/>
      <c r="K310" s="261">
        <f t="shared" si="2"/>
        <v>0</v>
      </c>
      <c r="L310" s="8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75" customHeight="1">
      <c r="A311" s="252" t="s">
        <v>141</v>
      </c>
      <c r="B311" s="87"/>
      <c r="C311" s="87"/>
      <c r="D311" s="87"/>
      <c r="E311" s="87"/>
      <c r="F311" s="87"/>
      <c r="G311" s="91"/>
      <c r="H311" s="79"/>
      <c r="I311" s="253"/>
      <c r="J311" s="91"/>
      <c r="K311" s="261">
        <f t="shared" si="2"/>
        <v>0</v>
      </c>
      <c r="L311" s="8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75" customHeight="1">
      <c r="A312" s="252" t="s">
        <v>141</v>
      </c>
      <c r="B312" s="87"/>
      <c r="C312" s="87"/>
      <c r="D312" s="87"/>
      <c r="E312" s="87"/>
      <c r="F312" s="87"/>
      <c r="G312" s="91"/>
      <c r="H312" s="79"/>
      <c r="I312" s="253"/>
      <c r="J312" s="91"/>
      <c r="K312" s="261">
        <f t="shared" si="2"/>
        <v>0</v>
      </c>
      <c r="L312" s="8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75" customHeight="1">
      <c r="A313" s="252" t="s">
        <v>141</v>
      </c>
      <c r="B313" s="87"/>
      <c r="C313" s="87"/>
      <c r="D313" s="87"/>
      <c r="E313" s="87"/>
      <c r="F313" s="87"/>
      <c r="G313" s="91"/>
      <c r="H313" s="79"/>
      <c r="I313" s="253"/>
      <c r="J313" s="91"/>
      <c r="K313" s="261">
        <f t="shared" si="2"/>
        <v>0</v>
      </c>
      <c r="L313" s="8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75" customHeight="1">
      <c r="A314" s="252" t="s">
        <v>141</v>
      </c>
      <c r="B314" s="87"/>
      <c r="C314" s="87"/>
      <c r="D314" s="87"/>
      <c r="E314" s="87"/>
      <c r="F314" s="87"/>
      <c r="G314" s="91"/>
      <c r="H314" s="79"/>
      <c r="I314" s="253"/>
      <c r="J314" s="91"/>
      <c r="K314" s="261">
        <f t="shared" si="2"/>
        <v>0</v>
      </c>
      <c r="L314" s="8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252" t="s">
        <v>141</v>
      </c>
      <c r="B315" s="87"/>
      <c r="C315" s="87"/>
      <c r="D315" s="87"/>
      <c r="E315" s="87"/>
      <c r="F315" s="87"/>
      <c r="G315" s="91"/>
      <c r="H315" s="79"/>
      <c r="I315" s="253"/>
      <c r="J315" s="91"/>
      <c r="K315" s="261">
        <f t="shared" si="2"/>
        <v>0</v>
      </c>
      <c r="L315" s="8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252" t="s">
        <v>141</v>
      </c>
      <c r="B316" s="87"/>
      <c r="C316" s="87"/>
      <c r="D316" s="87"/>
      <c r="E316" s="87"/>
      <c r="F316" s="87"/>
      <c r="G316" s="91"/>
      <c r="H316" s="79"/>
      <c r="I316" s="253"/>
      <c r="J316" s="91"/>
      <c r="K316" s="261">
        <f t="shared" si="2"/>
        <v>0</v>
      </c>
      <c r="L316" s="8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252" t="s">
        <v>141</v>
      </c>
      <c r="B317" s="87"/>
      <c r="C317" s="87"/>
      <c r="D317" s="87"/>
      <c r="E317" s="87"/>
      <c r="F317" s="87"/>
      <c r="G317" s="91"/>
      <c r="H317" s="79"/>
      <c r="I317" s="253"/>
      <c r="J317" s="91"/>
      <c r="K317" s="261">
        <f t="shared" si="2"/>
        <v>0</v>
      </c>
      <c r="L317" s="8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252" t="s">
        <v>141</v>
      </c>
      <c r="B318" s="87"/>
      <c r="C318" s="87"/>
      <c r="D318" s="87"/>
      <c r="E318" s="87"/>
      <c r="F318" s="87"/>
      <c r="G318" s="91"/>
      <c r="H318" s="79"/>
      <c r="I318" s="253"/>
      <c r="J318" s="91"/>
      <c r="K318" s="261">
        <f t="shared" si="2"/>
        <v>0</v>
      </c>
      <c r="L318" s="8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252" t="s">
        <v>141</v>
      </c>
      <c r="B319" s="87"/>
      <c r="C319" s="87"/>
      <c r="D319" s="87"/>
      <c r="E319" s="87"/>
      <c r="F319" s="87"/>
      <c r="G319" s="91"/>
      <c r="H319" s="79"/>
      <c r="I319" s="253"/>
      <c r="J319" s="91"/>
      <c r="K319" s="261">
        <f t="shared" si="2"/>
        <v>0</v>
      </c>
      <c r="L319" s="8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252" t="s">
        <v>141</v>
      </c>
      <c r="B320" s="87"/>
      <c r="C320" s="87"/>
      <c r="D320" s="87"/>
      <c r="E320" s="87"/>
      <c r="F320" s="87"/>
      <c r="G320" s="91"/>
      <c r="H320" s="79"/>
      <c r="I320" s="253"/>
      <c r="J320" s="91"/>
      <c r="K320" s="261">
        <f t="shared" si="2"/>
        <v>0</v>
      </c>
      <c r="L320" s="8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75" customHeight="1">
      <c r="A321" s="252" t="s">
        <v>141</v>
      </c>
      <c r="B321" s="87"/>
      <c r="C321" s="87"/>
      <c r="D321" s="87"/>
      <c r="E321" s="87"/>
      <c r="F321" s="87"/>
      <c r="G321" s="91"/>
      <c r="H321" s="79"/>
      <c r="I321" s="253"/>
      <c r="J321" s="91"/>
      <c r="K321" s="261">
        <f t="shared" si="2"/>
        <v>0</v>
      </c>
      <c r="L321" s="8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customHeight="1">
      <c r="A322" s="252" t="s">
        <v>141</v>
      </c>
      <c r="B322" s="87"/>
      <c r="C322" s="87"/>
      <c r="D322" s="87"/>
      <c r="E322" s="87"/>
      <c r="F322" s="87"/>
      <c r="G322" s="91"/>
      <c r="H322" s="79"/>
      <c r="I322" s="253"/>
      <c r="J322" s="91"/>
      <c r="K322" s="261">
        <f t="shared" si="2"/>
        <v>0</v>
      </c>
      <c r="L322" s="8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75" customHeight="1">
      <c r="A323" s="252" t="s">
        <v>141</v>
      </c>
      <c r="B323" s="87"/>
      <c r="C323" s="87"/>
      <c r="D323" s="87"/>
      <c r="E323" s="87"/>
      <c r="F323" s="87"/>
      <c r="G323" s="91"/>
      <c r="H323" s="79"/>
      <c r="I323" s="253"/>
      <c r="J323" s="91"/>
      <c r="K323" s="261">
        <f t="shared" si="2"/>
        <v>0</v>
      </c>
      <c r="L323" s="8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customHeight="1">
      <c r="A324" s="252" t="s">
        <v>141</v>
      </c>
      <c r="B324" s="87"/>
      <c r="C324" s="87"/>
      <c r="D324" s="87"/>
      <c r="E324" s="87"/>
      <c r="F324" s="87"/>
      <c r="G324" s="91"/>
      <c r="H324" s="79"/>
      <c r="I324" s="253"/>
      <c r="J324" s="91"/>
      <c r="K324" s="261">
        <f t="shared" si="2"/>
        <v>0</v>
      </c>
      <c r="L324" s="8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75" customHeight="1">
      <c r="A325" s="252" t="s">
        <v>141</v>
      </c>
      <c r="B325" s="87"/>
      <c r="C325" s="87"/>
      <c r="D325" s="87"/>
      <c r="E325" s="87"/>
      <c r="F325" s="87"/>
      <c r="G325" s="91"/>
      <c r="H325" s="79"/>
      <c r="I325" s="253"/>
      <c r="J325" s="91"/>
      <c r="K325" s="261">
        <f t="shared" si="2"/>
        <v>0</v>
      </c>
      <c r="L325" s="8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75" customHeight="1">
      <c r="A326" s="252" t="s">
        <v>141</v>
      </c>
      <c r="B326" s="87"/>
      <c r="C326" s="87"/>
      <c r="D326" s="87"/>
      <c r="E326" s="87"/>
      <c r="F326" s="87"/>
      <c r="G326" s="91"/>
      <c r="H326" s="79"/>
      <c r="I326" s="253"/>
      <c r="J326" s="91"/>
      <c r="K326" s="261">
        <f t="shared" si="2"/>
        <v>0</v>
      </c>
      <c r="L326" s="8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75" customHeight="1">
      <c r="A327" s="252" t="s">
        <v>141</v>
      </c>
      <c r="B327" s="87"/>
      <c r="C327" s="87"/>
      <c r="D327" s="87"/>
      <c r="E327" s="87"/>
      <c r="F327" s="87"/>
      <c r="G327" s="91"/>
      <c r="H327" s="79"/>
      <c r="I327" s="253"/>
      <c r="J327" s="91"/>
      <c r="K327" s="261">
        <f t="shared" si="2"/>
        <v>0</v>
      </c>
      <c r="L327" s="8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75" customHeight="1">
      <c r="A328" s="252" t="s">
        <v>141</v>
      </c>
      <c r="B328" s="87"/>
      <c r="C328" s="87"/>
      <c r="D328" s="87"/>
      <c r="E328" s="87"/>
      <c r="F328" s="87"/>
      <c r="G328" s="91"/>
      <c r="H328" s="79"/>
      <c r="I328" s="253"/>
      <c r="J328" s="91"/>
      <c r="K328" s="261">
        <f t="shared" si="2"/>
        <v>0</v>
      </c>
      <c r="L328" s="8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75" customHeight="1">
      <c r="A329" s="252" t="s">
        <v>141</v>
      </c>
      <c r="B329" s="87"/>
      <c r="C329" s="87"/>
      <c r="D329" s="87"/>
      <c r="E329" s="87"/>
      <c r="F329" s="87"/>
      <c r="G329" s="91"/>
      <c r="H329" s="79"/>
      <c r="I329" s="253"/>
      <c r="J329" s="91"/>
      <c r="K329" s="261">
        <f t="shared" si="2"/>
        <v>0</v>
      </c>
      <c r="L329" s="8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75" customHeight="1">
      <c r="A330" s="252" t="s">
        <v>141</v>
      </c>
      <c r="B330" s="87"/>
      <c r="C330" s="87"/>
      <c r="D330" s="87"/>
      <c r="E330" s="87"/>
      <c r="F330" s="87"/>
      <c r="G330" s="91"/>
      <c r="H330" s="79"/>
      <c r="I330" s="253"/>
      <c r="J330" s="91"/>
      <c r="K330" s="261">
        <f t="shared" si="2"/>
        <v>0</v>
      </c>
      <c r="L330" s="8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75" customHeight="1">
      <c r="A331" s="252" t="s">
        <v>141</v>
      </c>
      <c r="B331" s="87"/>
      <c r="C331" s="87"/>
      <c r="D331" s="87"/>
      <c r="E331" s="87"/>
      <c r="F331" s="87"/>
      <c r="G331" s="91"/>
      <c r="H331" s="79"/>
      <c r="I331" s="253"/>
      <c r="J331" s="91"/>
      <c r="K331" s="261">
        <f t="shared" si="2"/>
        <v>0</v>
      </c>
      <c r="L331" s="8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75" customHeight="1">
      <c r="A332" s="298" t="s">
        <v>55</v>
      </c>
      <c r="B332" s="162"/>
      <c r="C332" s="162"/>
      <c r="D332" s="162"/>
      <c r="E332" s="162"/>
      <c r="F332" s="162"/>
      <c r="G332" s="162"/>
      <c r="H332" s="162"/>
      <c r="I332" s="162"/>
      <c r="J332" s="158"/>
      <c r="K332" s="292">
        <f>SUM(K300:L331)</f>
        <v>0</v>
      </c>
      <c r="L332" s="163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75" customHeight="1">
      <c r="A334" s="293" t="s">
        <v>142</v>
      </c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75" customHeight="1">
      <c r="A335" s="294" t="s">
        <v>143</v>
      </c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75" customHeight="1">
      <c r="A336" s="295" t="s">
        <v>144</v>
      </c>
      <c r="B336" s="87"/>
      <c r="C336" s="87"/>
      <c r="D336" s="91"/>
      <c r="E336" s="296" t="s">
        <v>145</v>
      </c>
      <c r="F336" s="91"/>
      <c r="G336" s="297" t="s">
        <v>146</v>
      </c>
      <c r="H336" s="91"/>
      <c r="I336" s="297" t="s">
        <v>147</v>
      </c>
      <c r="J336" s="87"/>
      <c r="K336" s="87"/>
      <c r="L336" s="8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75" customHeight="1">
      <c r="A337" s="291"/>
      <c r="B337" s="87"/>
      <c r="C337" s="87"/>
      <c r="D337" s="91"/>
      <c r="E337" s="137"/>
      <c r="F337" s="91"/>
      <c r="G337" s="137"/>
      <c r="H337" s="91"/>
      <c r="I337" s="107" t="s">
        <v>148</v>
      </c>
      <c r="J337" s="87"/>
      <c r="K337" s="87"/>
      <c r="L337" s="8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75" customHeight="1">
      <c r="A338" s="291"/>
      <c r="B338" s="87"/>
      <c r="C338" s="87"/>
      <c r="D338" s="91"/>
      <c r="E338" s="137"/>
      <c r="F338" s="91"/>
      <c r="G338" s="137"/>
      <c r="H338" s="91"/>
      <c r="I338" s="107" t="s">
        <v>148</v>
      </c>
      <c r="J338" s="87"/>
      <c r="K338" s="87"/>
      <c r="L338" s="8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75" customHeight="1">
      <c r="A339" s="291"/>
      <c r="B339" s="87"/>
      <c r="C339" s="87"/>
      <c r="D339" s="91"/>
      <c r="E339" s="137"/>
      <c r="F339" s="91"/>
      <c r="G339" s="137"/>
      <c r="H339" s="91"/>
      <c r="I339" s="107" t="s">
        <v>148</v>
      </c>
      <c r="J339" s="87"/>
      <c r="K339" s="87"/>
      <c r="L339" s="8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75" customHeight="1">
      <c r="A340" s="291"/>
      <c r="B340" s="87"/>
      <c r="C340" s="87"/>
      <c r="D340" s="91"/>
      <c r="E340" s="137"/>
      <c r="F340" s="91"/>
      <c r="G340" s="137"/>
      <c r="H340" s="91"/>
      <c r="I340" s="107" t="s">
        <v>148</v>
      </c>
      <c r="J340" s="87"/>
      <c r="K340" s="87"/>
      <c r="L340" s="8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75" customHeight="1">
      <c r="A341" s="291"/>
      <c r="B341" s="87"/>
      <c r="C341" s="87"/>
      <c r="D341" s="91"/>
      <c r="E341" s="137"/>
      <c r="F341" s="91"/>
      <c r="G341" s="137"/>
      <c r="H341" s="91"/>
      <c r="I341" s="107" t="s">
        <v>148</v>
      </c>
      <c r="J341" s="87"/>
      <c r="K341" s="87"/>
      <c r="L341" s="8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75" customHeight="1">
      <c r="A342" s="291"/>
      <c r="B342" s="87"/>
      <c r="C342" s="87"/>
      <c r="D342" s="91"/>
      <c r="E342" s="137"/>
      <c r="F342" s="91"/>
      <c r="G342" s="137"/>
      <c r="H342" s="91"/>
      <c r="I342" s="107" t="s">
        <v>148</v>
      </c>
      <c r="J342" s="87"/>
      <c r="K342" s="87"/>
      <c r="L342" s="8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75" customHeight="1">
      <c r="A343" s="299"/>
      <c r="B343" s="162"/>
      <c r="C343" s="162"/>
      <c r="D343" s="158"/>
      <c r="E343" s="262"/>
      <c r="F343" s="158"/>
      <c r="G343" s="262"/>
      <c r="H343" s="158"/>
      <c r="I343" s="263" t="s">
        <v>148</v>
      </c>
      <c r="J343" s="162"/>
      <c r="K343" s="162"/>
      <c r="L343" s="163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577">
    <mergeCell ref="A343:D343"/>
    <mergeCell ref="E343:F343"/>
    <mergeCell ref="A14:E14"/>
    <mergeCell ref="F14:L14"/>
    <mergeCell ref="A340:D340"/>
    <mergeCell ref="E340:F340"/>
    <mergeCell ref="G340:H340"/>
    <mergeCell ref="I340:L340"/>
    <mergeCell ref="E341:F341"/>
    <mergeCell ref="G341:H341"/>
    <mergeCell ref="I341:L341"/>
    <mergeCell ref="A341:D341"/>
    <mergeCell ref="A342:D342"/>
    <mergeCell ref="E342:F342"/>
    <mergeCell ref="G342:H342"/>
    <mergeCell ref="I342:L342"/>
    <mergeCell ref="E337:F337"/>
    <mergeCell ref="G337:H337"/>
    <mergeCell ref="I337:L337"/>
    <mergeCell ref="G339:H339"/>
    <mergeCell ref="I339:L339"/>
    <mergeCell ref="A337:D337"/>
    <mergeCell ref="A338:D338"/>
    <mergeCell ref="E338:F338"/>
    <mergeCell ref="G338:H338"/>
    <mergeCell ref="I338:L338"/>
    <mergeCell ref="A339:D339"/>
    <mergeCell ref="E339:F339"/>
    <mergeCell ref="K329:L329"/>
    <mergeCell ref="K330:L330"/>
    <mergeCell ref="K331:L331"/>
    <mergeCell ref="K332:L332"/>
    <mergeCell ref="A334:L334"/>
    <mergeCell ref="A335:L335"/>
    <mergeCell ref="A336:D336"/>
    <mergeCell ref="E336:F336"/>
    <mergeCell ref="G336:H336"/>
    <mergeCell ref="I336:L336"/>
    <mergeCell ref="A331:G331"/>
    <mergeCell ref="A332:J332"/>
    <mergeCell ref="A329:G329"/>
    <mergeCell ref="I329:J329"/>
    <mergeCell ref="A330:G330"/>
    <mergeCell ref="I330:J330"/>
    <mergeCell ref="I331:J331"/>
    <mergeCell ref="I323:J323"/>
    <mergeCell ref="A323:G323"/>
    <mergeCell ref="A324:G324"/>
    <mergeCell ref="I324:J324"/>
    <mergeCell ref="A325:G325"/>
    <mergeCell ref="I325:J325"/>
    <mergeCell ref="A326:G326"/>
    <mergeCell ref="A327:G327"/>
    <mergeCell ref="K328:L328"/>
    <mergeCell ref="K323:L323"/>
    <mergeCell ref="K324:L324"/>
    <mergeCell ref="K325:L325"/>
    <mergeCell ref="K326:L326"/>
    <mergeCell ref="K327:L327"/>
    <mergeCell ref="I326:J326"/>
    <mergeCell ref="I327:J327"/>
    <mergeCell ref="A328:G328"/>
    <mergeCell ref="I328:J328"/>
    <mergeCell ref="I291:J291"/>
    <mergeCell ref="I292:J292"/>
    <mergeCell ref="I310:J310"/>
    <mergeCell ref="I311:J311"/>
    <mergeCell ref="A320:G320"/>
    <mergeCell ref="I320:J320"/>
    <mergeCell ref="A321:G321"/>
    <mergeCell ref="I321:J321"/>
    <mergeCell ref="A322:G322"/>
    <mergeCell ref="I322:J322"/>
    <mergeCell ref="I303:J303"/>
    <mergeCell ref="A299:G299"/>
    <mergeCell ref="A300:G300"/>
    <mergeCell ref="I300:J300"/>
    <mergeCell ref="A301:G301"/>
    <mergeCell ref="I301:J301"/>
    <mergeCell ref="A302:G302"/>
    <mergeCell ref="A303:G303"/>
    <mergeCell ref="I302:J302"/>
    <mergeCell ref="I318:J318"/>
    <mergeCell ref="I319:J319"/>
    <mergeCell ref="A315:G315"/>
    <mergeCell ref="A316:G316"/>
    <mergeCell ref="I316:J316"/>
    <mergeCell ref="H275:I275"/>
    <mergeCell ref="J275:K275"/>
    <mergeCell ref="G271:G272"/>
    <mergeCell ref="H271:I271"/>
    <mergeCell ref="J271:K271"/>
    <mergeCell ref="H272:I272"/>
    <mergeCell ref="J272:K272"/>
    <mergeCell ref="G273:K274"/>
    <mergeCell ref="J285:K285"/>
    <mergeCell ref="H276:I276"/>
    <mergeCell ref="J276:K276"/>
    <mergeCell ref="G275:G276"/>
    <mergeCell ref="G279:G280"/>
    <mergeCell ref="G283:G284"/>
    <mergeCell ref="G277:K278"/>
    <mergeCell ref="H279:I279"/>
    <mergeCell ref="J279:K279"/>
    <mergeCell ref="H280:I280"/>
    <mergeCell ref="J280:K280"/>
    <mergeCell ref="G281:K282"/>
    <mergeCell ref="H283:I283"/>
    <mergeCell ref="J283:K283"/>
    <mergeCell ref="H284:I284"/>
    <mergeCell ref="J284:K284"/>
    <mergeCell ref="G287:J287"/>
    <mergeCell ref="G288:H288"/>
    <mergeCell ref="I288:J288"/>
    <mergeCell ref="G289:H289"/>
    <mergeCell ref="I289:J289"/>
    <mergeCell ref="G290:H290"/>
    <mergeCell ref="I290:J290"/>
    <mergeCell ref="G291:H291"/>
    <mergeCell ref="A256:L256"/>
    <mergeCell ref="A258:L258"/>
    <mergeCell ref="A259:L259"/>
    <mergeCell ref="A261:L262"/>
    <mergeCell ref="B263:E263"/>
    <mergeCell ref="G263:K263"/>
    <mergeCell ref="H264:I264"/>
    <mergeCell ref="J264:K264"/>
    <mergeCell ref="G265:K266"/>
    <mergeCell ref="G285:I285"/>
    <mergeCell ref="G267:G268"/>
    <mergeCell ref="H267:I267"/>
    <mergeCell ref="J267:K267"/>
    <mergeCell ref="H268:I268"/>
    <mergeCell ref="J268:K268"/>
    <mergeCell ref="G269:K270"/>
    <mergeCell ref="B247:L247"/>
    <mergeCell ref="B248:L248"/>
    <mergeCell ref="B249:L249"/>
    <mergeCell ref="B250:L250"/>
    <mergeCell ref="B251:L251"/>
    <mergeCell ref="B252:L252"/>
    <mergeCell ref="B253:L253"/>
    <mergeCell ref="B254:L254"/>
    <mergeCell ref="B255:L255"/>
    <mergeCell ref="G343:H343"/>
    <mergeCell ref="I343:L343"/>
    <mergeCell ref="D228:J228"/>
    <mergeCell ref="D229:J229"/>
    <mergeCell ref="D230:J230"/>
    <mergeCell ref="D231:J231"/>
    <mergeCell ref="D232:J232"/>
    <mergeCell ref="D233:J233"/>
    <mergeCell ref="D234:J234"/>
    <mergeCell ref="D235:J235"/>
    <mergeCell ref="D236:J236"/>
    <mergeCell ref="A237:J237"/>
    <mergeCell ref="K237:L237"/>
    <mergeCell ref="A239:L240"/>
    <mergeCell ref="A241:L241"/>
    <mergeCell ref="B242:L242"/>
    <mergeCell ref="B243:L243"/>
    <mergeCell ref="B244:L244"/>
    <mergeCell ref="B245:L245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A317:G317"/>
    <mergeCell ref="I317:J317"/>
    <mergeCell ref="A318:G318"/>
    <mergeCell ref="A319:G319"/>
    <mergeCell ref="A310:G310"/>
    <mergeCell ref="A311:G311"/>
    <mergeCell ref="A312:G312"/>
    <mergeCell ref="I312:J312"/>
    <mergeCell ref="A313:G313"/>
    <mergeCell ref="I313:J313"/>
    <mergeCell ref="A314:G314"/>
    <mergeCell ref="I314:J314"/>
    <mergeCell ref="I315:J315"/>
    <mergeCell ref="A305:G305"/>
    <mergeCell ref="I305:J305"/>
    <mergeCell ref="A306:G306"/>
    <mergeCell ref="I306:J306"/>
    <mergeCell ref="I307:J307"/>
    <mergeCell ref="A307:G307"/>
    <mergeCell ref="A308:G308"/>
    <mergeCell ref="I308:J308"/>
    <mergeCell ref="A309:G309"/>
    <mergeCell ref="I309:J309"/>
    <mergeCell ref="A225:B225"/>
    <mergeCell ref="D225:J225"/>
    <mergeCell ref="A226:B226"/>
    <mergeCell ref="D226:J226"/>
    <mergeCell ref="A227:B227"/>
    <mergeCell ref="D227:J227"/>
    <mergeCell ref="A228:B228"/>
    <mergeCell ref="A304:G304"/>
    <mergeCell ref="I304:J304"/>
    <mergeCell ref="I293:J293"/>
    <mergeCell ref="I294:J294"/>
    <mergeCell ref="G292:H292"/>
    <mergeCell ref="G293:H293"/>
    <mergeCell ref="G294:H294"/>
    <mergeCell ref="B295:D295"/>
    <mergeCell ref="A297:L298"/>
    <mergeCell ref="I299:J299"/>
    <mergeCell ref="K299:L299"/>
    <mergeCell ref="K300:L300"/>
    <mergeCell ref="K301:L301"/>
    <mergeCell ref="K302:L302"/>
    <mergeCell ref="K303:L303"/>
    <mergeCell ref="K304:L304"/>
    <mergeCell ref="B246:L246"/>
    <mergeCell ref="A209:J210"/>
    <mergeCell ref="K209:L210"/>
    <mergeCell ref="A211:J213"/>
    <mergeCell ref="K211:L213"/>
    <mergeCell ref="A214:J215"/>
    <mergeCell ref="K214:L215"/>
    <mergeCell ref="K216:L217"/>
    <mergeCell ref="D221:J223"/>
    <mergeCell ref="D224:J224"/>
    <mergeCell ref="A216:J217"/>
    <mergeCell ref="A219:L220"/>
    <mergeCell ref="A221:B223"/>
    <mergeCell ref="C221:C223"/>
    <mergeCell ref="K221:L221"/>
    <mergeCell ref="K222:L222"/>
    <mergeCell ref="A224:B224"/>
    <mergeCell ref="A195:J196"/>
    <mergeCell ref="K195:L196"/>
    <mergeCell ref="K198:L199"/>
    <mergeCell ref="A198:J199"/>
    <mergeCell ref="A201:J202"/>
    <mergeCell ref="K201:L202"/>
    <mergeCell ref="A204:J205"/>
    <mergeCell ref="K204:L205"/>
    <mergeCell ref="A207:J208"/>
    <mergeCell ref="K207:L208"/>
    <mergeCell ref="C181:E181"/>
    <mergeCell ref="F181:G181"/>
    <mergeCell ref="A183:J184"/>
    <mergeCell ref="K183:L184"/>
    <mergeCell ref="A186:J187"/>
    <mergeCell ref="K186:L187"/>
    <mergeCell ref="K189:L190"/>
    <mergeCell ref="A189:J190"/>
    <mergeCell ref="A192:J192"/>
    <mergeCell ref="K192:L193"/>
    <mergeCell ref="A193:J193"/>
    <mergeCell ref="C175:E175"/>
    <mergeCell ref="F175:G175"/>
    <mergeCell ref="A173:B173"/>
    <mergeCell ref="C173:E173"/>
    <mergeCell ref="F173:G173"/>
    <mergeCell ref="A174:B174"/>
    <mergeCell ref="C174:E174"/>
    <mergeCell ref="F174:G174"/>
    <mergeCell ref="A175:B175"/>
    <mergeCell ref="C168:E168"/>
    <mergeCell ref="F168:G168"/>
    <mergeCell ref="A169:B169"/>
    <mergeCell ref="C172:E172"/>
    <mergeCell ref="F172:G172"/>
    <mergeCell ref="A170:B170"/>
    <mergeCell ref="C170:E170"/>
    <mergeCell ref="F170:G170"/>
    <mergeCell ref="A171:B171"/>
    <mergeCell ref="C171:E171"/>
    <mergeCell ref="F171:G171"/>
    <mergeCell ref="A172:B172"/>
    <mergeCell ref="A158:B158"/>
    <mergeCell ref="C158:E158"/>
    <mergeCell ref="F158:G158"/>
    <mergeCell ref="A159:B159"/>
    <mergeCell ref="C159:E159"/>
    <mergeCell ref="F159:G159"/>
    <mergeCell ref="A160:B160"/>
    <mergeCell ref="C163:E163"/>
    <mergeCell ref="F163:G163"/>
    <mergeCell ref="A161:B161"/>
    <mergeCell ref="C161:E161"/>
    <mergeCell ref="F161:G161"/>
    <mergeCell ref="A162:B162"/>
    <mergeCell ref="C162:E162"/>
    <mergeCell ref="F162:G162"/>
    <mergeCell ref="A163:B163"/>
    <mergeCell ref="A179:B179"/>
    <mergeCell ref="C179:E179"/>
    <mergeCell ref="F179:G179"/>
    <mergeCell ref="A180:B180"/>
    <mergeCell ref="C180:E180"/>
    <mergeCell ref="F180:G180"/>
    <mergeCell ref="A181:B181"/>
    <mergeCell ref="C160:E160"/>
    <mergeCell ref="F160:G160"/>
    <mergeCell ref="C166:E166"/>
    <mergeCell ref="F166:G166"/>
    <mergeCell ref="A164:B164"/>
    <mergeCell ref="C164:E164"/>
    <mergeCell ref="F164:G164"/>
    <mergeCell ref="A165:B165"/>
    <mergeCell ref="C165:E165"/>
    <mergeCell ref="F165:G165"/>
    <mergeCell ref="A166:B166"/>
    <mergeCell ref="C169:E169"/>
    <mergeCell ref="F169:G169"/>
    <mergeCell ref="A167:B167"/>
    <mergeCell ref="C167:E167"/>
    <mergeCell ref="F167:G167"/>
    <mergeCell ref="A168:B168"/>
    <mergeCell ref="K147:K148"/>
    <mergeCell ref="L147:L148"/>
    <mergeCell ref="C142:E142"/>
    <mergeCell ref="F142:G142"/>
    <mergeCell ref="A146:L146"/>
    <mergeCell ref="A147:B148"/>
    <mergeCell ref="C147:E148"/>
    <mergeCell ref="F147:G148"/>
    <mergeCell ref="H147:H148"/>
    <mergeCell ref="A140:B140"/>
    <mergeCell ref="C140:E140"/>
    <mergeCell ref="F140:G140"/>
    <mergeCell ref="A141:B141"/>
    <mergeCell ref="C141:E141"/>
    <mergeCell ref="F141:G141"/>
    <mergeCell ref="A142:B142"/>
    <mergeCell ref="I147:I148"/>
    <mergeCell ref="J147:J148"/>
    <mergeCell ref="A143:B143"/>
    <mergeCell ref="C143:E143"/>
    <mergeCell ref="F143:G143"/>
    <mergeCell ref="A144:B144"/>
    <mergeCell ref="C144:E144"/>
    <mergeCell ref="F144:G144"/>
    <mergeCell ref="C178:E178"/>
    <mergeCell ref="F178:G178"/>
    <mergeCell ref="A176:B176"/>
    <mergeCell ref="C176:E176"/>
    <mergeCell ref="F176:G176"/>
    <mergeCell ref="A177:B177"/>
    <mergeCell ref="C177:E177"/>
    <mergeCell ref="F177:G177"/>
    <mergeCell ref="A178:B178"/>
    <mergeCell ref="C157:E157"/>
    <mergeCell ref="F157:G157"/>
    <mergeCell ref="A155:B155"/>
    <mergeCell ref="C155:E155"/>
    <mergeCell ref="F155:G155"/>
    <mergeCell ref="A156:B156"/>
    <mergeCell ref="C156:E156"/>
    <mergeCell ref="F156:G156"/>
    <mergeCell ref="A157:B157"/>
    <mergeCell ref="C154:E154"/>
    <mergeCell ref="F154:G154"/>
    <mergeCell ref="A152:B152"/>
    <mergeCell ref="C152:E152"/>
    <mergeCell ref="F152:G152"/>
    <mergeCell ref="A153:B153"/>
    <mergeCell ref="C153:E153"/>
    <mergeCell ref="F153:G153"/>
    <mergeCell ref="A154:B154"/>
    <mergeCell ref="C151:E151"/>
    <mergeCell ref="F151:G151"/>
    <mergeCell ref="A149:B149"/>
    <mergeCell ref="C149:E149"/>
    <mergeCell ref="F149:G149"/>
    <mergeCell ref="A150:B150"/>
    <mergeCell ref="C150:E150"/>
    <mergeCell ref="F150:G150"/>
    <mergeCell ref="A151:B151"/>
    <mergeCell ref="C124:E124"/>
    <mergeCell ref="F124:G124"/>
    <mergeCell ref="A122:B122"/>
    <mergeCell ref="C122:E122"/>
    <mergeCell ref="F122:G122"/>
    <mergeCell ref="A123:B123"/>
    <mergeCell ref="C123:E123"/>
    <mergeCell ref="F123:G123"/>
    <mergeCell ref="A124:B124"/>
    <mergeCell ref="C121:E121"/>
    <mergeCell ref="F121:G121"/>
    <mergeCell ref="A119:B119"/>
    <mergeCell ref="C119:E119"/>
    <mergeCell ref="F119:G119"/>
    <mergeCell ref="A120:B120"/>
    <mergeCell ref="C120:E120"/>
    <mergeCell ref="F120:G120"/>
    <mergeCell ref="A121:B121"/>
    <mergeCell ref="C139:E139"/>
    <mergeCell ref="F139:G139"/>
    <mergeCell ref="A137:B137"/>
    <mergeCell ref="C137:E137"/>
    <mergeCell ref="F137:G137"/>
    <mergeCell ref="A138:B138"/>
    <mergeCell ref="C138:E138"/>
    <mergeCell ref="F138:G138"/>
    <mergeCell ref="A139:B139"/>
    <mergeCell ref="C136:E136"/>
    <mergeCell ref="F136:G136"/>
    <mergeCell ref="A134:B134"/>
    <mergeCell ref="C134:E134"/>
    <mergeCell ref="F134:G134"/>
    <mergeCell ref="A135:B135"/>
    <mergeCell ref="C135:E135"/>
    <mergeCell ref="F135:G135"/>
    <mergeCell ref="A136:B136"/>
    <mergeCell ref="C133:E133"/>
    <mergeCell ref="F133:G133"/>
    <mergeCell ref="A131:B131"/>
    <mergeCell ref="C131:E131"/>
    <mergeCell ref="F131:G131"/>
    <mergeCell ref="A132:B132"/>
    <mergeCell ref="C132:E132"/>
    <mergeCell ref="F132:G132"/>
    <mergeCell ref="A133:B133"/>
    <mergeCell ref="C130:E130"/>
    <mergeCell ref="F130:G130"/>
    <mergeCell ref="A128:B128"/>
    <mergeCell ref="C128:E128"/>
    <mergeCell ref="F128:G128"/>
    <mergeCell ref="A129:B129"/>
    <mergeCell ref="C129:E129"/>
    <mergeCell ref="F129:G129"/>
    <mergeCell ref="A130:B130"/>
    <mergeCell ref="A114:B114"/>
    <mergeCell ref="C114:E114"/>
    <mergeCell ref="F114:G114"/>
    <mergeCell ref="A115:B115"/>
    <mergeCell ref="C115:E115"/>
    <mergeCell ref="F115:G115"/>
    <mergeCell ref="C127:E127"/>
    <mergeCell ref="F127:G127"/>
    <mergeCell ref="A125:B125"/>
    <mergeCell ref="C125:E125"/>
    <mergeCell ref="F125:G125"/>
    <mergeCell ref="A126:B126"/>
    <mergeCell ref="C126:E126"/>
    <mergeCell ref="F126:G126"/>
    <mergeCell ref="A127:B127"/>
    <mergeCell ref="C118:E118"/>
    <mergeCell ref="F118:G118"/>
    <mergeCell ref="A116:B116"/>
    <mergeCell ref="C116:E116"/>
    <mergeCell ref="F116:G116"/>
    <mergeCell ref="A117:B117"/>
    <mergeCell ref="C117:E117"/>
    <mergeCell ref="F117:G117"/>
    <mergeCell ref="A118:B118"/>
    <mergeCell ref="K63:L63"/>
    <mergeCell ref="A54:L54"/>
    <mergeCell ref="A70:A71"/>
    <mergeCell ref="A72:A73"/>
    <mergeCell ref="A68:A69"/>
    <mergeCell ref="A74:A75"/>
    <mergeCell ref="A82:A83"/>
    <mergeCell ref="A78:A79"/>
    <mergeCell ref="B78:J79"/>
    <mergeCell ref="A80:A81"/>
    <mergeCell ref="B80:J81"/>
    <mergeCell ref="K64:L83"/>
    <mergeCell ref="B82:J83"/>
    <mergeCell ref="B74:J75"/>
    <mergeCell ref="A76:A77"/>
    <mergeCell ref="B76:J77"/>
    <mergeCell ref="A63:J63"/>
    <mergeCell ref="B64:J65"/>
    <mergeCell ref="B66:J67"/>
    <mergeCell ref="B68:J69"/>
    <mergeCell ref="B70:J71"/>
    <mergeCell ref="B72:J73"/>
    <mergeCell ref="A44:L45"/>
    <mergeCell ref="A48:L49"/>
    <mergeCell ref="A46:L46"/>
    <mergeCell ref="A50:L50"/>
    <mergeCell ref="A52:L53"/>
    <mergeCell ref="A56:L57"/>
    <mergeCell ref="A58:L58"/>
    <mergeCell ref="A60:L60"/>
    <mergeCell ref="A61:L62"/>
    <mergeCell ref="A109:L109"/>
    <mergeCell ref="A110:L110"/>
    <mergeCell ref="A111:L111"/>
    <mergeCell ref="C112:E113"/>
    <mergeCell ref="F112:G113"/>
    <mergeCell ref="H112:H113"/>
    <mergeCell ref="I112:I113"/>
    <mergeCell ref="J112:J113"/>
    <mergeCell ref="K112:K113"/>
    <mergeCell ref="L112:L113"/>
    <mergeCell ref="A112:B113"/>
    <mergeCell ref="A95:J96"/>
    <mergeCell ref="K95:L96"/>
    <mergeCell ref="A97:J98"/>
    <mergeCell ref="K97:L98"/>
    <mergeCell ref="A100:L101"/>
    <mergeCell ref="A103:J104"/>
    <mergeCell ref="K103:L104"/>
    <mergeCell ref="A105:J106"/>
    <mergeCell ref="K105:L106"/>
    <mergeCell ref="A85:L86"/>
    <mergeCell ref="A87:J88"/>
    <mergeCell ref="K87:L88"/>
    <mergeCell ref="A89:J90"/>
    <mergeCell ref="K89:L90"/>
    <mergeCell ref="A91:J92"/>
    <mergeCell ref="K91:L92"/>
    <mergeCell ref="A93:J94"/>
    <mergeCell ref="K93:L94"/>
    <mergeCell ref="A33:B36"/>
    <mergeCell ref="A37:B38"/>
    <mergeCell ref="A39:B40"/>
    <mergeCell ref="A41:B41"/>
    <mergeCell ref="A42:B42"/>
    <mergeCell ref="C33:L33"/>
    <mergeCell ref="C34:L34"/>
    <mergeCell ref="C35:L35"/>
    <mergeCell ref="C36:L36"/>
    <mergeCell ref="C37:L37"/>
    <mergeCell ref="C38:L38"/>
    <mergeCell ref="C39:L39"/>
    <mergeCell ref="C40:L40"/>
    <mergeCell ref="C41:L41"/>
    <mergeCell ref="C42:L42"/>
    <mergeCell ref="A17:L18"/>
    <mergeCell ref="A19:L19"/>
    <mergeCell ref="A20:A21"/>
    <mergeCell ref="B20:G21"/>
    <mergeCell ref="H20:H21"/>
    <mergeCell ref="I20:L21"/>
    <mergeCell ref="A22:B22"/>
    <mergeCell ref="C22:L22"/>
    <mergeCell ref="A9:E9"/>
    <mergeCell ref="H9:L9"/>
    <mergeCell ref="A10:L10"/>
    <mergeCell ref="A11:G11"/>
    <mergeCell ref="H11:L11"/>
    <mergeCell ref="A12:L12"/>
    <mergeCell ref="A13:C13"/>
    <mergeCell ref="H13:L13"/>
    <mergeCell ref="D13:E13"/>
    <mergeCell ref="F13:G13"/>
    <mergeCell ref="D8:E8"/>
    <mergeCell ref="H8:L8"/>
    <mergeCell ref="A1:L3"/>
    <mergeCell ref="A4:L4"/>
    <mergeCell ref="A5:L5"/>
    <mergeCell ref="A6:G6"/>
    <mergeCell ref="H6:L6"/>
    <mergeCell ref="A7:L7"/>
    <mergeCell ref="A8:C8"/>
    <mergeCell ref="C30:L30"/>
    <mergeCell ref="E31:L31"/>
    <mergeCell ref="B23:H23"/>
    <mergeCell ref="B24:L24"/>
    <mergeCell ref="A26:L27"/>
    <mergeCell ref="A28:B29"/>
    <mergeCell ref="C28:L29"/>
    <mergeCell ref="A30:B30"/>
    <mergeCell ref="D32:L32"/>
    <mergeCell ref="J23:L23"/>
    <mergeCell ref="A31:B32"/>
  </mergeCells>
  <pageMargins left="0.51181102362204722" right="0.51181102362204722" top="0.78740157480314954" bottom="0.78740157480314954" header="0" footer="0"/>
  <pageSetup paperSize="9" fitToHeight="0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Dados!$A$2:$A$9</xm:f>
          </x14:formula1>
          <xm:sqref>C42</xm:sqref>
        </x14:dataValidation>
        <x14:dataValidation type="list" allowBlank="1" showErrorMessage="1" xr:uid="{00000000-0002-0000-0000-000001000000}">
          <x14:formula1>
            <xm:f>Dados!$A$12:$A$27</xm:f>
          </x14:formula1>
          <xm:sqref>A114:A144 A149:A181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/>
  </sheetViews>
  <sheetFormatPr defaultColWidth="14.42578125" defaultRowHeight="15" customHeight="1"/>
  <cols>
    <col min="1" max="1" width="26.28515625" customWidth="1"/>
    <col min="2" max="11" width="8.7109375" customWidth="1"/>
  </cols>
  <sheetData>
    <row r="2" spans="1:11">
      <c r="A2" s="80" t="s">
        <v>46</v>
      </c>
      <c r="E2" s="81" t="s">
        <v>149</v>
      </c>
      <c r="G2" s="81">
        <v>1</v>
      </c>
      <c r="H2" s="81" t="s">
        <v>150</v>
      </c>
      <c r="K2" s="81" t="s">
        <v>151</v>
      </c>
    </row>
    <row r="3" spans="1:11">
      <c r="A3" s="82" t="s">
        <v>152</v>
      </c>
      <c r="E3" s="81" t="s">
        <v>153</v>
      </c>
      <c r="G3" s="81">
        <v>2</v>
      </c>
      <c r="H3" s="81" t="s">
        <v>154</v>
      </c>
      <c r="K3" s="81" t="s">
        <v>155</v>
      </c>
    </row>
    <row r="4" spans="1:11">
      <c r="A4" s="82" t="s">
        <v>156</v>
      </c>
      <c r="E4" s="81" t="s">
        <v>157</v>
      </c>
      <c r="G4" s="81">
        <v>3</v>
      </c>
      <c r="H4" s="81" t="s">
        <v>158</v>
      </c>
      <c r="K4" s="81" t="s">
        <v>159</v>
      </c>
    </row>
    <row r="5" spans="1:11">
      <c r="A5" s="82" t="s">
        <v>160</v>
      </c>
    </row>
    <row r="6" spans="1:11">
      <c r="A6" s="82" t="s">
        <v>161</v>
      </c>
      <c r="E6" s="81" t="s">
        <v>162</v>
      </c>
      <c r="G6" s="81">
        <v>4</v>
      </c>
      <c r="H6" s="81" t="s">
        <v>163</v>
      </c>
      <c r="K6" s="81" t="s">
        <v>164</v>
      </c>
    </row>
    <row r="7" spans="1:11">
      <c r="A7" s="82" t="s">
        <v>165</v>
      </c>
    </row>
    <row r="8" spans="1:11">
      <c r="A8" s="82" t="s">
        <v>166</v>
      </c>
      <c r="E8" s="81" t="s">
        <v>167</v>
      </c>
      <c r="G8" s="81">
        <v>5</v>
      </c>
      <c r="H8" s="81" t="s">
        <v>168</v>
      </c>
      <c r="K8" s="81" t="s">
        <v>169</v>
      </c>
    </row>
    <row r="9" spans="1:11">
      <c r="A9" s="82" t="s">
        <v>170</v>
      </c>
      <c r="E9" s="81" t="s">
        <v>171</v>
      </c>
      <c r="G9" s="81">
        <v>6</v>
      </c>
      <c r="H9" s="81" t="s">
        <v>172</v>
      </c>
      <c r="K9" s="81" t="s">
        <v>173</v>
      </c>
    </row>
    <row r="10" spans="1:11">
      <c r="E10" s="81" t="s">
        <v>174</v>
      </c>
      <c r="G10" s="81">
        <v>7</v>
      </c>
      <c r="H10" s="81" t="s">
        <v>175</v>
      </c>
      <c r="K10" s="81" t="s">
        <v>176</v>
      </c>
    </row>
    <row r="11" spans="1:11">
      <c r="E11" s="81" t="s">
        <v>177</v>
      </c>
      <c r="G11" s="81">
        <v>8</v>
      </c>
      <c r="H11" s="81" t="s">
        <v>178</v>
      </c>
      <c r="K11" s="81" t="s">
        <v>179</v>
      </c>
    </row>
    <row r="12" spans="1:11">
      <c r="A12" s="83" t="s">
        <v>180</v>
      </c>
      <c r="E12" s="81" t="s">
        <v>181</v>
      </c>
      <c r="G12" s="81">
        <v>9</v>
      </c>
      <c r="H12" s="81" t="s">
        <v>182</v>
      </c>
      <c r="K12" s="81" t="s">
        <v>183</v>
      </c>
    </row>
    <row r="13" spans="1:11" ht="45">
      <c r="A13" s="84" t="s">
        <v>184</v>
      </c>
      <c r="E13" s="81" t="s">
        <v>185</v>
      </c>
      <c r="G13" s="81">
        <v>10</v>
      </c>
      <c r="H13" s="81" t="s">
        <v>186</v>
      </c>
      <c r="K13" s="81" t="s">
        <v>187</v>
      </c>
    </row>
    <row r="14" spans="1:11">
      <c r="A14" s="83" t="s">
        <v>188</v>
      </c>
      <c r="E14" s="81" t="s">
        <v>189</v>
      </c>
      <c r="H14" s="81" t="s">
        <v>190</v>
      </c>
      <c r="K14" s="81" t="s">
        <v>191</v>
      </c>
    </row>
    <row r="15" spans="1:11">
      <c r="A15" s="83" t="s">
        <v>192</v>
      </c>
      <c r="E15" s="81" t="s">
        <v>193</v>
      </c>
      <c r="H15" s="81" t="s">
        <v>194</v>
      </c>
      <c r="K15" s="81" t="s">
        <v>195</v>
      </c>
    </row>
    <row r="16" spans="1:11">
      <c r="A16" s="83" t="s">
        <v>196</v>
      </c>
      <c r="E16" s="81" t="s">
        <v>197</v>
      </c>
      <c r="H16" s="81" t="s">
        <v>198</v>
      </c>
      <c r="K16" s="81" t="s">
        <v>199</v>
      </c>
    </row>
    <row r="17" spans="1:11">
      <c r="A17" s="83" t="s">
        <v>200</v>
      </c>
      <c r="E17" s="81" t="s">
        <v>201</v>
      </c>
      <c r="H17" s="81" t="s">
        <v>202</v>
      </c>
      <c r="K17" s="81" t="s">
        <v>203</v>
      </c>
    </row>
    <row r="18" spans="1:11">
      <c r="A18" s="83" t="s">
        <v>204</v>
      </c>
      <c r="E18" s="81" t="s">
        <v>205</v>
      </c>
      <c r="H18" s="81" t="s">
        <v>206</v>
      </c>
      <c r="K18" s="81" t="s">
        <v>207</v>
      </c>
    </row>
    <row r="19" spans="1:11">
      <c r="A19" s="83" t="s">
        <v>208</v>
      </c>
      <c r="E19" s="81" t="s">
        <v>209</v>
      </c>
      <c r="H19" s="81" t="s">
        <v>210</v>
      </c>
      <c r="K19" s="81" t="s">
        <v>211</v>
      </c>
    </row>
    <row r="20" spans="1:11">
      <c r="A20" s="83" t="s">
        <v>212</v>
      </c>
      <c r="E20" s="81" t="s">
        <v>213</v>
      </c>
      <c r="H20" s="81" t="s">
        <v>214</v>
      </c>
      <c r="K20" s="81" t="s">
        <v>215</v>
      </c>
    </row>
    <row r="21" spans="1:11" ht="15.75" customHeight="1">
      <c r="A21" s="83" t="s">
        <v>216</v>
      </c>
      <c r="E21" s="81" t="s">
        <v>217</v>
      </c>
      <c r="H21" s="81" t="s">
        <v>218</v>
      </c>
      <c r="K21" s="81" t="s">
        <v>219</v>
      </c>
    </row>
    <row r="22" spans="1:11" ht="15.75" customHeight="1">
      <c r="A22" s="83" t="s">
        <v>220</v>
      </c>
      <c r="E22" s="81" t="s">
        <v>221</v>
      </c>
      <c r="H22" s="81" t="s">
        <v>222</v>
      </c>
      <c r="K22" s="81" t="s">
        <v>223</v>
      </c>
    </row>
    <row r="23" spans="1:11" ht="15.75" customHeight="1">
      <c r="A23" s="83" t="s">
        <v>224</v>
      </c>
      <c r="E23" s="81" t="s">
        <v>225</v>
      </c>
      <c r="H23" s="81" t="s">
        <v>226</v>
      </c>
      <c r="K23" s="81" t="s">
        <v>227</v>
      </c>
    </row>
    <row r="24" spans="1:11" ht="15.75" customHeight="1">
      <c r="A24" s="83" t="s">
        <v>228</v>
      </c>
      <c r="E24" s="81" t="s">
        <v>229</v>
      </c>
      <c r="H24" s="81" t="s">
        <v>230</v>
      </c>
      <c r="K24" s="81" t="s">
        <v>231</v>
      </c>
    </row>
    <row r="25" spans="1:11" ht="15.75" customHeight="1">
      <c r="A25" s="83" t="s">
        <v>232</v>
      </c>
      <c r="E25" s="81" t="s">
        <v>233</v>
      </c>
      <c r="H25" s="81" t="s">
        <v>234</v>
      </c>
      <c r="K25" s="81" t="s">
        <v>235</v>
      </c>
    </row>
    <row r="26" spans="1:11" ht="15.75" customHeight="1">
      <c r="A26" s="85" t="s">
        <v>236</v>
      </c>
      <c r="E26" s="81" t="s">
        <v>237</v>
      </c>
      <c r="H26" s="81" t="s">
        <v>238</v>
      </c>
      <c r="K26" s="81" t="s">
        <v>239</v>
      </c>
    </row>
    <row r="27" spans="1:11" ht="15.75" customHeight="1">
      <c r="A27" s="85" t="s">
        <v>240</v>
      </c>
      <c r="E27" s="81" t="s">
        <v>241</v>
      </c>
      <c r="H27" s="81" t="s">
        <v>242</v>
      </c>
      <c r="K27" s="81" t="s">
        <v>243</v>
      </c>
    </row>
    <row r="28" spans="1:11" ht="15.75" customHeight="1">
      <c r="E28" s="81" t="s">
        <v>244</v>
      </c>
      <c r="H28" s="81" t="s">
        <v>245</v>
      </c>
      <c r="K28" s="81" t="s">
        <v>246</v>
      </c>
    </row>
    <row r="29" spans="1:11" ht="15.75" customHeight="1">
      <c r="E29" s="81" t="s">
        <v>247</v>
      </c>
      <c r="H29" s="81" t="s">
        <v>248</v>
      </c>
      <c r="K29" s="81" t="s">
        <v>249</v>
      </c>
    </row>
    <row r="30" spans="1:11" ht="15.75" customHeight="1">
      <c r="E30" s="81" t="s">
        <v>250</v>
      </c>
      <c r="H30" s="81" t="s">
        <v>251</v>
      </c>
      <c r="K30" s="81" t="s">
        <v>252</v>
      </c>
    </row>
    <row r="31" spans="1:11" ht="15.75" customHeight="1">
      <c r="E31" s="81" t="s">
        <v>253</v>
      </c>
      <c r="H31" s="81" t="s">
        <v>254</v>
      </c>
      <c r="K31" s="81" t="s">
        <v>255</v>
      </c>
    </row>
    <row r="32" spans="1:11" ht="15.75" customHeight="1">
      <c r="E32" s="81" t="s">
        <v>256</v>
      </c>
      <c r="H32" s="81" t="s">
        <v>257</v>
      </c>
      <c r="K32" s="81" t="s">
        <v>258</v>
      </c>
    </row>
    <row r="33" spans="5:11" ht="15.75" customHeight="1">
      <c r="E33" s="81" t="s">
        <v>259</v>
      </c>
      <c r="H33" s="81" t="s">
        <v>260</v>
      </c>
      <c r="K33" s="81" t="s">
        <v>261</v>
      </c>
    </row>
    <row r="34" spans="5:11" ht="15.75" customHeight="1">
      <c r="E34" s="81" t="s">
        <v>262</v>
      </c>
      <c r="H34" s="81" t="s">
        <v>263</v>
      </c>
      <c r="K34" s="81" t="s">
        <v>264</v>
      </c>
    </row>
    <row r="35" spans="5:11" ht="15.75" customHeight="1">
      <c r="E35" s="81" t="s">
        <v>265</v>
      </c>
      <c r="H35" s="81" t="s">
        <v>266</v>
      </c>
      <c r="K35" s="81" t="s">
        <v>267</v>
      </c>
    </row>
    <row r="36" spans="5:11" ht="15.75" customHeight="1">
      <c r="E36" s="81" t="s">
        <v>268</v>
      </c>
      <c r="H36" s="81" t="s">
        <v>269</v>
      </c>
      <c r="K36" s="81" t="s">
        <v>270</v>
      </c>
    </row>
    <row r="37" spans="5:11" ht="15.75" customHeight="1">
      <c r="E37" s="81" t="s">
        <v>271</v>
      </c>
      <c r="H37" s="81" t="s">
        <v>272</v>
      </c>
      <c r="K37" s="81" t="s">
        <v>273</v>
      </c>
    </row>
    <row r="38" spans="5:11" ht="15.75" customHeight="1">
      <c r="E38" s="81" t="s">
        <v>274</v>
      </c>
      <c r="H38" s="81" t="s">
        <v>275</v>
      </c>
      <c r="K38" s="81" t="s">
        <v>276</v>
      </c>
    </row>
    <row r="39" spans="5:11" ht="15.75" customHeight="1">
      <c r="E39" s="81" t="s">
        <v>277</v>
      </c>
      <c r="H39" s="81" t="s">
        <v>278</v>
      </c>
      <c r="K39" s="81" t="s">
        <v>279</v>
      </c>
    </row>
    <row r="40" spans="5:11" ht="15.75" customHeight="1">
      <c r="E40" s="81" t="s">
        <v>280</v>
      </c>
      <c r="H40" s="81" t="s">
        <v>281</v>
      </c>
      <c r="K40" s="81" t="s">
        <v>282</v>
      </c>
    </row>
    <row r="41" spans="5:11" ht="15.75" customHeight="1">
      <c r="E41" s="81" t="s">
        <v>283</v>
      </c>
      <c r="H41" s="81" t="s">
        <v>284</v>
      </c>
      <c r="K41" s="81" t="s">
        <v>285</v>
      </c>
    </row>
    <row r="42" spans="5:11" ht="15.75" customHeight="1">
      <c r="E42" s="81" t="s">
        <v>286</v>
      </c>
      <c r="H42" s="81" t="s">
        <v>287</v>
      </c>
      <c r="K42" s="81" t="s">
        <v>288</v>
      </c>
    </row>
    <row r="43" spans="5:11" ht="15.75" customHeight="1">
      <c r="E43" s="81" t="s">
        <v>289</v>
      </c>
      <c r="H43" s="81" t="s">
        <v>290</v>
      </c>
      <c r="K43" s="81" t="s">
        <v>291</v>
      </c>
    </row>
    <row r="44" spans="5:11" ht="15.75" customHeight="1">
      <c r="E44" s="81" t="s">
        <v>292</v>
      </c>
      <c r="H44" s="81" t="s">
        <v>293</v>
      </c>
    </row>
    <row r="45" spans="5:11" ht="15.75" customHeight="1">
      <c r="E45" s="81" t="s">
        <v>294</v>
      </c>
      <c r="H45" s="81" t="s">
        <v>295</v>
      </c>
    </row>
    <row r="46" spans="5:11" ht="15.75" customHeight="1">
      <c r="E46" s="81" t="s">
        <v>296</v>
      </c>
      <c r="H46" s="81" t="s">
        <v>297</v>
      </c>
    </row>
    <row r="47" spans="5:11" ht="15.75" customHeight="1">
      <c r="E47" s="81" t="s">
        <v>298</v>
      </c>
      <c r="H47" s="81" t="s">
        <v>299</v>
      </c>
    </row>
    <row r="48" spans="5:11" ht="15.75" customHeight="1">
      <c r="E48" s="81" t="s">
        <v>300</v>
      </c>
      <c r="H48" s="81" t="s">
        <v>301</v>
      </c>
    </row>
    <row r="49" spans="5:8" ht="15.75" customHeight="1">
      <c r="E49" s="81" t="s">
        <v>302</v>
      </c>
      <c r="H49" s="81" t="s">
        <v>303</v>
      </c>
    </row>
    <row r="50" spans="5:8" ht="15.75" customHeight="1">
      <c r="E50" s="81" t="s">
        <v>304</v>
      </c>
      <c r="H50" s="81" t="s">
        <v>305</v>
      </c>
    </row>
    <row r="51" spans="5:8" ht="15.75" customHeight="1">
      <c r="E51" s="81" t="s">
        <v>306</v>
      </c>
      <c r="H51" s="81" t="s">
        <v>307</v>
      </c>
    </row>
    <row r="52" spans="5:8" ht="15.75" customHeight="1">
      <c r="E52" s="81" t="s">
        <v>308</v>
      </c>
      <c r="H52" s="81" t="s">
        <v>309</v>
      </c>
    </row>
    <row r="53" spans="5:8" ht="15.75" customHeight="1">
      <c r="E53" s="81" t="s">
        <v>310</v>
      </c>
      <c r="H53" s="81" t="s">
        <v>311</v>
      </c>
    </row>
    <row r="54" spans="5:8" ht="15.75" customHeight="1">
      <c r="E54" s="81" t="s">
        <v>312</v>
      </c>
      <c r="H54" s="81" t="s">
        <v>313</v>
      </c>
    </row>
    <row r="55" spans="5:8" ht="15.75" customHeight="1">
      <c r="E55" s="81" t="s">
        <v>314</v>
      </c>
      <c r="H55" s="81" t="s">
        <v>315</v>
      </c>
    </row>
    <row r="56" spans="5:8" ht="15.75" customHeight="1">
      <c r="E56" s="81" t="s">
        <v>316</v>
      </c>
      <c r="H56" s="81" t="s">
        <v>317</v>
      </c>
    </row>
    <row r="57" spans="5:8" ht="15.75" customHeight="1">
      <c r="E57" s="81" t="s">
        <v>318</v>
      </c>
      <c r="H57" s="81" t="s">
        <v>319</v>
      </c>
    </row>
    <row r="58" spans="5:8" ht="15.75" customHeight="1">
      <c r="E58" s="81" t="s">
        <v>320</v>
      </c>
      <c r="H58" s="81" t="s">
        <v>321</v>
      </c>
    </row>
    <row r="59" spans="5:8" ht="15.75" customHeight="1">
      <c r="E59" s="81" t="s">
        <v>322</v>
      </c>
      <c r="H59" s="81" t="s">
        <v>323</v>
      </c>
    </row>
    <row r="60" spans="5:8" ht="15.75" customHeight="1">
      <c r="E60" s="81" t="s">
        <v>324</v>
      </c>
      <c r="H60" s="81" t="s">
        <v>325</v>
      </c>
    </row>
    <row r="61" spans="5:8" ht="15.75" customHeight="1">
      <c r="E61" s="81" t="s">
        <v>326</v>
      </c>
      <c r="H61" s="81" t="s">
        <v>327</v>
      </c>
    </row>
    <row r="62" spans="5:8" ht="15.75" customHeight="1">
      <c r="E62" s="81" t="s">
        <v>328</v>
      </c>
      <c r="H62" s="81" t="s">
        <v>329</v>
      </c>
    </row>
    <row r="63" spans="5:8" ht="15.75" customHeight="1">
      <c r="E63" s="81" t="s">
        <v>330</v>
      </c>
      <c r="H63" s="81" t="s">
        <v>331</v>
      </c>
    </row>
    <row r="64" spans="5:8" ht="15.75" customHeight="1">
      <c r="H64" s="81" t="s">
        <v>332</v>
      </c>
    </row>
    <row r="65" spans="8:8" ht="15.75" customHeight="1">
      <c r="H65" s="81" t="s">
        <v>333</v>
      </c>
    </row>
    <row r="66" spans="8:8" ht="15.75" customHeight="1">
      <c r="H66" s="81" t="s">
        <v>334</v>
      </c>
    </row>
    <row r="67" spans="8:8" ht="15.75" customHeight="1">
      <c r="H67" s="81" t="s">
        <v>335</v>
      </c>
    </row>
    <row r="68" spans="8:8" ht="15.75" customHeight="1">
      <c r="H68" s="81" t="s">
        <v>336</v>
      </c>
    </row>
    <row r="69" spans="8:8" ht="15.75" customHeight="1">
      <c r="H69" s="81" t="s">
        <v>337</v>
      </c>
    </row>
    <row r="70" spans="8:8" ht="15.75" customHeight="1">
      <c r="H70" s="81" t="s">
        <v>338</v>
      </c>
    </row>
    <row r="71" spans="8:8" ht="15.75" customHeight="1">
      <c r="H71" s="81" t="s">
        <v>339</v>
      </c>
    </row>
    <row r="72" spans="8:8" ht="15.75" customHeight="1">
      <c r="H72" s="81" t="s">
        <v>340</v>
      </c>
    </row>
    <row r="73" spans="8:8" ht="15.75" customHeight="1">
      <c r="H73" s="81" t="s">
        <v>341</v>
      </c>
    </row>
    <row r="74" spans="8:8" ht="15.75" customHeight="1">
      <c r="H74" s="81" t="s">
        <v>342</v>
      </c>
    </row>
    <row r="75" spans="8:8" ht="15.75" customHeight="1">
      <c r="H75" s="81" t="s">
        <v>343</v>
      </c>
    </row>
    <row r="76" spans="8:8" ht="15.75" customHeight="1">
      <c r="H76" s="81" t="s">
        <v>344</v>
      </c>
    </row>
    <row r="77" spans="8:8" ht="15.75" customHeight="1">
      <c r="H77" s="81" t="s">
        <v>345</v>
      </c>
    </row>
    <row r="78" spans="8:8" ht="15.75" customHeight="1">
      <c r="H78" s="81" t="s">
        <v>346</v>
      </c>
    </row>
    <row r="79" spans="8:8" ht="15.75" customHeight="1">
      <c r="H79" s="81" t="s">
        <v>347</v>
      </c>
    </row>
    <row r="80" spans="8:8" ht="15.75" customHeight="1">
      <c r="H80" s="81" t="s">
        <v>348</v>
      </c>
    </row>
    <row r="81" spans="8:8" ht="15.75" customHeight="1">
      <c r="H81" s="81" t="s">
        <v>349</v>
      </c>
    </row>
    <row r="82" spans="8:8" ht="15.75" customHeight="1">
      <c r="H82" s="81" t="s">
        <v>350</v>
      </c>
    </row>
    <row r="83" spans="8:8" ht="15.75" customHeight="1">
      <c r="H83" s="81" t="s">
        <v>351</v>
      </c>
    </row>
    <row r="84" spans="8:8" ht="15.75" customHeight="1">
      <c r="H84" s="81" t="s">
        <v>352</v>
      </c>
    </row>
    <row r="85" spans="8:8" ht="15.75" customHeight="1">
      <c r="H85" s="81" t="s">
        <v>353</v>
      </c>
    </row>
    <row r="86" spans="8:8" ht="15.75" customHeight="1">
      <c r="H86" s="81" t="s">
        <v>354</v>
      </c>
    </row>
    <row r="87" spans="8:8" ht="15.75" customHeight="1">
      <c r="H87" s="81" t="s">
        <v>355</v>
      </c>
    </row>
    <row r="88" spans="8:8" ht="15.75" customHeight="1">
      <c r="H88" s="81" t="s">
        <v>356</v>
      </c>
    </row>
    <row r="89" spans="8:8" ht="15.75" customHeight="1">
      <c r="H89" s="81" t="s">
        <v>357</v>
      </c>
    </row>
    <row r="90" spans="8:8" ht="15.75" customHeight="1">
      <c r="H90" s="81" t="s">
        <v>358</v>
      </c>
    </row>
    <row r="91" spans="8:8" ht="15.75" customHeight="1">
      <c r="H91" s="81" t="s">
        <v>359</v>
      </c>
    </row>
    <row r="92" spans="8:8" ht="15.75" customHeight="1">
      <c r="H92" s="81" t="s">
        <v>360</v>
      </c>
    </row>
    <row r="93" spans="8:8" ht="15.75" customHeight="1">
      <c r="H93" s="81" t="s">
        <v>361</v>
      </c>
    </row>
    <row r="94" spans="8:8" ht="15.75" customHeight="1">
      <c r="H94" s="81" t="s">
        <v>362</v>
      </c>
    </row>
    <row r="95" spans="8:8" ht="15.75" customHeight="1">
      <c r="H95" s="81" t="s">
        <v>363</v>
      </c>
    </row>
    <row r="96" spans="8:8" ht="15.75" customHeight="1">
      <c r="H96" s="81" t="s">
        <v>364</v>
      </c>
    </row>
    <row r="97" spans="8:8" ht="15.75" customHeight="1">
      <c r="H97" s="81" t="s">
        <v>365</v>
      </c>
    </row>
    <row r="98" spans="8:8" ht="15.75" customHeight="1">
      <c r="H98" s="81" t="s">
        <v>366</v>
      </c>
    </row>
    <row r="99" spans="8:8" ht="15.75" customHeight="1">
      <c r="H99" s="81" t="s">
        <v>367</v>
      </c>
    </row>
    <row r="100" spans="8:8" ht="15.75" customHeight="1">
      <c r="H100" s="81" t="s">
        <v>368</v>
      </c>
    </row>
    <row r="101" spans="8:8" ht="15.75" customHeight="1">
      <c r="H101" s="81" t="s">
        <v>369</v>
      </c>
    </row>
    <row r="102" spans="8:8" ht="15.75" customHeight="1">
      <c r="H102" s="81" t="s">
        <v>370</v>
      </c>
    </row>
    <row r="103" spans="8:8" ht="15.75" customHeight="1">
      <c r="H103" s="81" t="s">
        <v>371</v>
      </c>
    </row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pccli</dc:creator>
  <cp:lastModifiedBy>Núcleo de Apoio a Projetos da PROINOVA</cp:lastModifiedBy>
  <dcterms:created xsi:type="dcterms:W3CDTF">2023-07-25T12:28:04Z</dcterms:created>
  <dcterms:modified xsi:type="dcterms:W3CDTF">2026-07-29T11:57:29Z</dcterms:modified>
</cp:coreProperties>
</file>