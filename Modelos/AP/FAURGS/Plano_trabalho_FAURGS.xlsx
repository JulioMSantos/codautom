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Planos de trabalhos Modelos\"/>
    </mc:Choice>
  </mc:AlternateContent>
  <xr:revisionPtr revIDLastSave="0" documentId="13_ncr:1_{916FE93B-B18E-4515-AF3C-8ECE0DC1DB9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r:id="rId2"/>
  </sheets>
  <calcPr calcId="191029"/>
  <extLst>
    <ext uri="GoogleSheetsCustomDataVersion2">
      <go:sheetsCustomData xmlns:go="http://customooxmlschemas.google.com/" r:id="rId6" roundtripDataChecksum="450or1Gw1kWyFgc152bYWu12wuunedQAB903IX8d1vA="/>
    </ext>
  </extLst>
</workbook>
</file>

<file path=xl/calcChain.xml><?xml version="1.0" encoding="utf-8"?>
<calcChain xmlns="http://schemas.openxmlformats.org/spreadsheetml/2006/main">
  <c r="K309" i="1" l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431" i="1" s="1"/>
  <c r="K295" i="1" s="1"/>
  <c r="K293" i="1" s="1"/>
  <c r="K94" i="1" s="1"/>
  <c r="E393" i="1"/>
  <c r="I392" i="1"/>
  <c r="J383" i="1"/>
  <c r="K297" i="1"/>
  <c r="K254" i="1"/>
  <c r="K246" i="1"/>
  <c r="K238" i="1"/>
  <c r="K192" i="1"/>
  <c r="K186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0" i="1" s="1"/>
  <c r="L155" i="1"/>
  <c r="L154" i="1"/>
  <c r="L153" i="1"/>
  <c r="L152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5" i="1" s="1"/>
  <c r="K106" i="1"/>
  <c r="K92" i="1" l="1"/>
  <c r="K307" i="1"/>
  <c r="K305" i="1" s="1"/>
  <c r="K98" i="1" l="1"/>
  <c r="K96" i="1"/>
  <c r="K314" i="1"/>
  <c r="K100" i="1"/>
  <c r="K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ID#AAAB1mqcq9k
pccli    (2026-02-26 18:52:16)
(insira aqui o nº de meses de execução do projeto, Global: 60 meses)</t>
        </r>
      </text>
    </comment>
    <comment ref="D32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ID#AAAB1mqcq-I
pccli    (2026-02-26 18:52:16)
(Ou insira aqui a data de término do projeto)</t>
        </r>
      </text>
    </comment>
    <comment ref="B6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108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K30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ID#AAAB1mIRWz0
PERCENTUAL UFSM    (2026-02-26 18:52:16)
De R$ 0,00 (zero reais) a R$ 200.000,00 (duzentos mil reais) = 5%
ACIMA DE R$ 200.001,00 (duzentos mil e um reias reais) = 8%
*VALOR TOTAL DO PROJETO</t>
        </r>
      </text>
    </comment>
    <comment ref="D322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ID#AAAB1mqcq9c
pccli    (2026-02-26 18:52:16)
(descreva aqui a fase da meta de execução)</t>
        </r>
      </text>
    </comment>
    <comment ref="D32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ID#AAAB1mqcq9E
pccli    (2026-02-26 18:52:16)
(descreva aqui a fase da meta de execução)</t>
        </r>
      </text>
    </comment>
    <comment ref="D324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ID#AAAB1mqcq90
pccli    (2026-02-26 18:52:16)
(descreva aqui a fase da meta de execução)</t>
        </r>
      </text>
    </comment>
    <comment ref="D325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ID#AAAB1mqcq-A
pccli    (2026-02-26 18:52:16)
(descreva aqui a fase da meta de execução)</t>
        </r>
      </text>
    </comment>
    <comment ref="D32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ID#AAAB1mqcq9o
pccli    (2026-02-26 18:52:16)
(descreva aqui a fase da meta de execução)</t>
        </r>
      </text>
    </comment>
    <comment ref="D32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ID#AAAB1mqcq8s
pccli    (2026-02-26 18:52:16)
(descreva aqui a fase da meta de execução)</t>
        </r>
      </text>
    </comment>
    <comment ref="D32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ID#AAAB1mqcq9U
pccli    (2026-02-26 18:52:16)
(descreva aqui a fase da meta de execução)</t>
        </r>
      </text>
    </comment>
    <comment ref="D3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ID#AAAB1mIRW0A
pccli    (2026-02-26 18:52:16)
(descreva aqui a fase da meta de execução)</t>
        </r>
      </text>
    </comment>
    <comment ref="D33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ID#AAAB1mIRWzg
pccli    (2026-02-26 18:52:16)
(descreva aqui a fase da meta de execução)</t>
        </r>
      </text>
    </comment>
    <comment ref="D331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ID#AAAB1mqcq-E
pccli    (2026-02-26 18:52:16)
(descreva aqui a fase da meta de execução)</t>
        </r>
      </text>
    </comment>
    <comment ref="D332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ID#AAAB1mIRWzU
pccli    (2026-02-26 18:52:16)
(descreva aqui a fase da meta de execução)</t>
        </r>
      </text>
    </comment>
    <comment ref="D33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ID#AAAB1mqcq8k
pccli    (2026-02-26 18:52:16)
(descreva aqui a fase da meta de execução)</t>
        </r>
      </text>
    </comment>
    <comment ref="D33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ID#AAAB1mqcq9g
pccli    (2026-02-26 18:52:16)
pccli:</t>
        </r>
      </text>
    </comment>
    <comment ref="A39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ID#AAAB1mqcq84
pccli    (2026-02-26 18:52:16)
(Aqui descreva o material permanente)</t>
        </r>
      </text>
    </comment>
    <comment ref="A39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ID#AAAB1mqcq8w
pccli    (2026-02-26 18:52:16)
(Aqui descreva o material permanente)</t>
        </r>
      </text>
    </comment>
    <comment ref="A40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ID#AAAB1mIRWzo
pccli    (2026-02-26 18:52:16)
(Aqui descreva o material permanente)</t>
        </r>
      </text>
    </comment>
    <comment ref="A401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ID#AAAB1mqcq-U
pccli    (2026-02-26 18:52:16)
(Aqui descreva o material permanente)</t>
        </r>
      </text>
    </comment>
    <comment ref="A402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ID#AAAB1mIRWzQ
pccli    (2026-02-26 18:52:16)
(Aqui descreva o material permanente)</t>
        </r>
      </text>
    </comment>
    <comment ref="A403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ID#AAAB1mIRWy0
pccli    (2026-02-26 18:52:16)
(Aqui descreva o material permanente)</t>
        </r>
      </text>
    </comment>
    <comment ref="A404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ID#AAAB1mIRWzY
pccli    (2026-02-26 18:52:16)
(Aqui descreva o material permanente)</t>
        </r>
      </text>
    </comment>
    <comment ref="A405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ID#AAAB1mIRWz8
pccli    (2026-02-26 18:52:16)
(Aqui descreva o material permanente)</t>
        </r>
      </text>
    </comment>
    <comment ref="A40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ID#AAAB1mqcq9M
pccli    (2026-02-26 18:52:16)
(Aqui descreva o material permanente)</t>
        </r>
      </text>
    </comment>
    <comment ref="A40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ID#AAAB1mqcq8o
pccli    (2026-02-26 18:52:16)
(Aqui descreva o material permanente)</t>
        </r>
      </text>
    </comment>
    <comment ref="A408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ID#AAAB1mIRWzk
pccli    (2026-02-26 18:52:16)
(Aqui descreva o material permanente)</t>
        </r>
      </text>
    </comment>
    <comment ref="A409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ID#AAAB1mIRWz4
pccli    (2026-02-26 18:52:16)
(Aqui descreva o material permanente)</t>
        </r>
      </text>
    </comment>
    <comment ref="A410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ID#AAAB1mIRWzA
pccli    (2026-02-26 18:52:16)
(Aqui descreva o material permanente)</t>
        </r>
      </text>
    </comment>
    <comment ref="A41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ID#AAAB1mqcq-Q
pccli    (2026-02-26 18:52:16)
(Aqui descreva o material permanente)</t>
        </r>
      </text>
    </comment>
    <comment ref="A412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ID#AAAB1mqcq80
pccli    (2026-02-26 18:52:16)
(Aqui descreva o material permanente)</t>
        </r>
      </text>
    </comment>
    <comment ref="A413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ID#AAAB1mIRW0E
pccli    (2026-02-26 18:52:16)
(Aqui descreva o material permanente)</t>
        </r>
      </text>
    </comment>
    <comment ref="A4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ID#AAAB1mIRWzM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ID#AAAB1mqcq9A
pccli    (2026-02-26 18:52:16)
(Aqui descreva o material permanente)</t>
        </r>
      </text>
    </comment>
    <comment ref="A416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ID#AAAB1mqcq9I
pccli    (2026-02-26 18:52:16)
(Aqui descreva o material permanente)</t>
        </r>
      </text>
    </comment>
    <comment ref="A417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ID#AAAB1mqcq9Q
pccli    (2026-02-26 18:52:16)
(Aqui descreva o material permanente)</t>
        </r>
      </text>
    </comment>
    <comment ref="A418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ID#AAAB1mqcq9w
pccli    (2026-02-26 18:52:16)
(Aqui descreva o material permanente)</t>
        </r>
      </text>
    </comment>
    <comment ref="A419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ID#AAAB1mIRWzE
pccli    (2026-02-26 18:52:16)
(Aqui descreva o material permanente)</t>
        </r>
      </text>
    </comment>
    <comment ref="A420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ID#AAAB1mIRWzI
pccli    (2026-02-26 18:52:16)
(Aqui descreva o material permanente)</t>
        </r>
      </text>
    </comment>
    <comment ref="A4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ID#AAAB1mIRWyw
pccli    (2026-02-26 18:52:16)
(Aqui descreva o material permanente)</t>
        </r>
      </text>
    </comment>
    <comment ref="A422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ID#AAAB1mIRWy4
pccli    (2026-02-26 18:52:16)
(Aqui descreva o material permanente)</t>
        </r>
      </text>
    </comment>
    <comment ref="A423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ID#AAAB1mIRWzs
pccli    (2026-02-26 18:52:16)
(Aqui descreva o material permanente)</t>
        </r>
      </text>
    </comment>
    <comment ref="A424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ID#AAAB1mIRWy8
pccli    (2026-02-26 18:52:16)
(Aqui descreva o material permanente)</t>
        </r>
      </text>
    </comment>
    <comment ref="A4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ID#AAAB1mqcq9Y
pccli    (2026-02-26 18:52:16)
(Aqui descreva o material permanente)</t>
        </r>
      </text>
    </comment>
    <comment ref="A42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ID#AAAB1mIRWzc
pccli    (2026-02-26 18:52:16)
(Aqui descreva o material permanente)</t>
        </r>
      </text>
    </comment>
    <comment ref="A42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ID#AAAB1mqcq88
pccli    (2026-02-26 18:52:16)
(Aqui descreva o material permanente)</t>
        </r>
      </text>
    </comment>
    <comment ref="A42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ID#AAAB1mqcq98
pccli    (2026-02-26 18:52:16)
(Aqui descreva o material permanente)</t>
        </r>
      </text>
    </comment>
    <comment ref="A429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ID#AAAB1mqcq9s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iuSwIbAEDPUWsLTIoZtRqFWlag=="/>
    </ext>
  </extLst>
</comments>
</file>

<file path=xl/sharedStrings.xml><?xml version="1.0" encoding="utf-8"?>
<sst xmlns="http://schemas.openxmlformats.org/spreadsheetml/2006/main" count="585" uniqueCount="478">
  <si>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</si>
  <si>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</si>
  <si>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</si>
  <si>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</si>
  <si>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</si>
  <si>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</si>
  <si>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</si>
  <si>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</si>
  <si>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</si>
  <si>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</si>
  <si>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</si>
  <si>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</si>
  <si>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</si>
  <si>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</si>
  <si>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</si>
  <si>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</si>
  <si>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</si>
  <si>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</si>
  <si>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</si>
  <si>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</si>
  <si>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</si>
  <si>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</si>
  <si>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</si>
  <si>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</si>
  <si>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</si>
  <si>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</si>
  <si>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</si>
  <si>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</si>
  <si>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</si>
  <si>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</si>
  <si>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</si>
  <si>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</si>
  <si>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</si>
  <si>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</si>
  <si>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</si>
  <si>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</si>
  <si>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</si>
  <si>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</si>
  <si>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</si>
  <si>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</si>
  <si>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</si>
  <si>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</si>
  <si>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</si>
  <si>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</si>
  <si>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</si>
  <si>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</si>
  <si>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</si>
  <si>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</si>
  <si>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</si>
  <si>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</si>
  <si>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</si>
  <si>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</si>
  <si>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</si>
  <si>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</si>
  <si>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</si>
  <si>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</si>
  <si>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</si>
  <si>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</si>
  <si>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</si>
  <si>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</si>
  <si>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</si>
  <si>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</si>
  <si>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</si>
  <si>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</si>
  <si>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</si>
  <si>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</si>
  <si>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</si>
  <si>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</si>
  <si>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</si>
  <si>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</si>
  <si>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</si>
  <si>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</si>
  <si>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</si>
  <si>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</si>
  <si>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</si>
  <si>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</si>
  <si>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</si>
  <si>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</si>
  <si>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</si>
  <si>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</si>
  <si>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</si>
  <si>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</si>
  <si>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</si>
  <si>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</si>
  <si>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</si>
  <si>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</si>
  <si>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</si>
  <si>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</si>
  <si>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</si>
  <si>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</si>
  <si>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</si>
  <si>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</si>
  <si>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</si>
  <si>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</si>
  <si>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</si>
  <si>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</si>
  <si>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</si>
  <si>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</si>
  <si>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</si>
  <si>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</si>
  <si>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</si>
  <si>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</si>
  <si>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</si>
  <si>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</si>
  <si>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</si>
  <si>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</si>
  <si>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</si>
  <si>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</si>
  <si>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</si>
  <si>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</si>
  <si>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</si>
  <si>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</si>
  <si>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</si>
  <si>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</si>
  <si>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</si>
  <si>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</si>
  <si>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</si>
  <si>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</si>
  <si>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</si>
  <si>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</si>
  <si>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</si>
  <si>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</si>
  <si>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</si>
  <si>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</si>
  <si>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</si>
  <si>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</si>
  <si>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</si>
  <si>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</si>
  <si>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</si>
  <si>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</si>
  <si>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</si>
  <si>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</si>
  <si>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</si>
  <si>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</si>
  <si>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</si>
  <si>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</si>
  <si>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</si>
  <si>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</si>
  <si>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</si>
  <si>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</si>
  <si>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</si>
  <si>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</si>
  <si>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</si>
  <si>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</si>
  <si>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</si>
  <si>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</si>
  <si>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</si>
  <si>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</si>
  <si>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</si>
  <si>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</si>
  <si>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</si>
  <si>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</si>
  <si>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</si>
  <si>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</si>
  <si>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</si>
  <si>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</si>
  <si>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</si>
  <si>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</si>
  <si>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</si>
  <si>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</si>
  <si>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</si>
  <si>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</si>
  <si>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</si>
  <si>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</si>
  <si>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</si>
  <si>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</si>
  <si>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</si>
  <si>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</si>
  <si>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</si>
  <si>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</si>
  <si>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</si>
  <si>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</si>
  <si>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</si>
  <si>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</si>
  <si>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</si>
  <si>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</si>
  <si>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</si>
  <si>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</si>
  <si>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</si>
  <si>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</si>
  <si>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</si>
  <si>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</si>
  <si>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</si>
  <si>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</si>
  <si>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</si>
  <si>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</si>
  <si>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</si>
  <si>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</si>
  <si>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</si>
  <si>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</si>
  <si>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</si>
  <si>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</si>
  <si>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</si>
  <si>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</si>
  <si>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</si>
  <si>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</si>
  <si>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</si>
  <si>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</si>
  <si>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</si>
  <si>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</si>
  <si>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</si>
  <si>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Plano de Trabalho - FAURGS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</si>
  <si>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</si>
  <si>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</si>
  <si>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</si>
  <si>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</si>
  <si>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</si>
  <si>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</si>
  <si>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</si>
  <si>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</si>
  <si>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</si>
  <si>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</si>
  <si>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</si>
  <si>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</si>
  <si>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</si>
  <si>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</si>
  <si>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</si>
  <si>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</si>
  <si>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</si>
  <si>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</si>
  <si>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</si>
  <si>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</si>
  <si>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</si>
  <si>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</si>
  <si>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</si>
  <si>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</si>
  <si>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</si>
  <si>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</si>
  <si>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</si>
  <si>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</si>
  <si>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</si>
  <si>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</si>
  <si>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</si>
  <si>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</si>
  <si>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</si>
  <si>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</si>
  <si>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</si>
  <si>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</si>
  <si>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</si>
  <si>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DA UNIVERCIDADE FEDERAL DO RIO GRANDE DO SUL- FAURGS</t>
  </si>
  <si>
    <t>C.N.P.J.: 74.704.008/0005-07</t>
  </si>
  <si>
    <t>ENDEREÇO: AV. RORAIMA, 1000 - CAMOBI - EDIF. 47, SALA 327</t>
  </si>
  <si>
    <t>CEP: 97105-970</t>
  </si>
  <si>
    <t>DDD/FONE: (51) 3166-946</t>
  </si>
  <si>
    <t>ESF. ADMINISTRATIVA: PRIVADA</t>
  </si>
  <si>
    <t>NOME DO DIRIGENTE DA ENTIDADE PROPONENTE: JOÃO ANTONIO PÊGAS HENRIQUES</t>
  </si>
  <si>
    <t>FUNÇÃO: PRESIDENTE</t>
  </si>
  <si>
    <t>PREENCHER APENAS SE TRIPARTITE</t>
  </si>
  <si>
    <t>1.3 – CONCEDENTE/FINANCIADOR: DADOS EMPRESA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</si>
  <si>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</si>
  <si>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</si>
  <si>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</si>
  <si>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</si>
  <si>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</si>
  <si>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</si>
  <si>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</si>
  <si>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</si>
  <si>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</si>
  <si>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</si>
  <si>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</si>
  <si>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</si>
  <si>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</si>
  <si>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</si>
  <si>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</si>
  <si>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</si>
  <si>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</si>
  <si>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</si>
  <si>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</si>
  <si>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</si>
  <si>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</si>
  <si>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</si>
  <si>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</si>
  <si>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</si>
  <si>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</si>
  <si>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</si>
  <si>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</si>
  <si>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</si>
  <si>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</si>
  <si>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</si>
  <si>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</si>
  <si>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</si>
  <si>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</si>
  <si>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</si>
  <si>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</si>
  <si>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</si>
  <si>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</si>
  <si>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</si>
  <si>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</si>
  <si>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</si>
  <si>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</si>
  <si>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</si>
  <si>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</si>
  <si>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</si>
  <si>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</si>
  <si>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</si>
  <si>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</si>
  <si>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</si>
  <si>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</si>
  <si>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</si>
  <si>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</si>
  <si>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</si>
  <si>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</si>
  <si>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</si>
  <si>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</si>
  <si>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</si>
  <si>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</si>
  <si>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</si>
  <si>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</si>
  <si>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</si>
  <si>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</si>
  <si>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</si>
  <si>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</si>
  <si>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</si>
  <si>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</si>
  <si>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</si>
  <si>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</si>
  <si>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</si>
  <si>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</si>
  <si>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</si>
  <si>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</si>
  <si>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</si>
  <si>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</si>
  <si>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</si>
  <si>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</si>
  <si>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</si>
  <si>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</si>
  <si>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</si>
  <si>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</si>
  <si>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</si>
  <si>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</si>
  <si>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</si>
  <si>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</si>
  <si>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</si>
  <si>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</si>
  <si>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</si>
  <si>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</si>
  <si>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</si>
  <si>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</si>
  <si>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</si>
  <si>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</si>
  <si>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</si>
  <si>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</si>
  <si>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</si>
  <si>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</si>
  <si>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</si>
  <si>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</si>
  <si>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</si>
  <si>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</si>
  <si>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</si>
  <si>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</si>
  <si>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</si>
  <si>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</si>
  <si>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</si>
  <si>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</si>
  <si>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</si>
  <si>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</si>
  <si>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</si>
  <si>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</si>
  <si>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</si>
  <si>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</si>
  <si>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</si>
  <si>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</si>
  <si>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</si>
  <si>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</si>
  <si>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</si>
  <si>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</si>
  <si>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</si>
  <si>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</si>
  <si>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</si>
  <si>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</si>
  <si>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</si>
  <si>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</si>
  <si>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</si>
  <si>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</si>
  <si>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</si>
  <si>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</si>
  <si>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</si>
  <si>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</si>
  <si>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</si>
  <si>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</si>
  <si>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</si>
  <si>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</si>
  <si>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</si>
  <si>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</si>
  <si>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</si>
  <si>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</si>
  <si>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</si>
  <si>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</si>
  <si>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</si>
  <si>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</si>
  <si>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</si>
  <si>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</si>
  <si>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</si>
  <si>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</si>
  <si>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</si>
  <si>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</si>
  <si>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</si>
  <si>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</si>
  <si>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</si>
  <si>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</si>
  <si>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</si>
  <si>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</si>
  <si>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</si>
  <si>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</si>
  <si>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</si>
  <si>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</si>
  <si>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</si>
  <si>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</si>
  <si>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</si>
  <si>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</si>
  <si>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</si>
  <si>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</si>
  <si>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</si>
  <si>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</si>
  <si>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</si>
  <si>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</si>
  <si>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</si>
  <si>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</si>
  <si>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</si>
  <si>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</si>
  <si>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</si>
  <si>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</si>
  <si>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</si>
  <si>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</si>
  <si>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</si>
  <si>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</si>
  <si>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</si>
  <si>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</si>
  <si>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 xml:space="preserve">                                                                                           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</si>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</sst>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b/>
      <sz val="14"/>
      <color rgb="FF1E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20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166" fontId="3" fillId="3" borderId="24" xfId="0" applyNumberFormat="1" applyFont="1" applyFill="1" applyBorder="1" applyAlignment="1">
      <alignment horizontal="center" vertical="center"/>
    </xf>
    <xf numFmtId="49" fontId="10" fillId="3" borderId="80" xfId="0" applyNumberFormat="1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167" fontId="3" fillId="3" borderId="80" xfId="0" applyNumberFormat="1" applyFont="1" applyFill="1" applyBorder="1" applyAlignment="1">
      <alignment vertical="center" wrapText="1"/>
    </xf>
    <xf numFmtId="168" fontId="10" fillId="3" borderId="80" xfId="0" applyNumberFormat="1" applyFont="1" applyFill="1" applyBorder="1" applyAlignment="1">
      <alignment horizontal="center" vertical="center" shrinkToFit="1"/>
    </xf>
    <xf numFmtId="166" fontId="3" fillId="2" borderId="81" xfId="0" applyNumberFormat="1" applyFont="1" applyFill="1" applyBorder="1" applyAlignment="1">
      <alignment vertical="center" shrinkToFit="1"/>
    </xf>
    <xf numFmtId="49" fontId="10" fillId="3" borderId="20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167" fontId="3" fillId="3" borderId="20" xfId="0" applyNumberFormat="1" applyFont="1" applyFill="1" applyBorder="1" applyAlignment="1">
      <alignment vertical="center" wrapText="1"/>
    </xf>
    <xf numFmtId="168" fontId="10" fillId="3" borderId="2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49" fontId="3" fillId="3" borderId="20" xfId="0" applyNumberFormat="1" applyFont="1" applyFill="1" applyBorder="1" applyAlignment="1">
      <alignment horizontal="center" vertical="center" wrapText="1"/>
    </xf>
    <xf numFmtId="168" fontId="3" fillId="3" borderId="20" xfId="0" applyNumberFormat="1" applyFont="1" applyFill="1" applyBorder="1" applyAlignment="1">
      <alignment horizontal="center" vertical="center" shrinkToFit="1"/>
    </xf>
    <xf numFmtId="49" fontId="3" fillId="3" borderId="84" xfId="0" applyNumberFormat="1" applyFont="1" applyFill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 wrapText="1"/>
    </xf>
    <xf numFmtId="167" fontId="3" fillId="3" borderId="84" xfId="0" applyNumberFormat="1" applyFont="1" applyFill="1" applyBorder="1" applyAlignment="1">
      <alignment vertical="center" wrapText="1"/>
    </xf>
    <xf numFmtId="168" fontId="3" fillId="3" borderId="84" xfId="0" applyNumberFormat="1" applyFont="1" applyFill="1" applyBorder="1" applyAlignment="1">
      <alignment horizontal="center" vertical="center" shrinkToFit="1"/>
    </xf>
    <xf numFmtId="166" fontId="3" fillId="2" borderId="85" xfId="0" applyNumberFormat="1" applyFont="1" applyFill="1" applyBorder="1" applyAlignment="1">
      <alignment vertical="center" shrinkToFit="1"/>
    </xf>
    <xf numFmtId="49" fontId="3" fillId="3" borderId="93" xfId="0" applyNumberFormat="1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167" fontId="3" fillId="3" borderId="93" xfId="0" applyNumberFormat="1" applyFont="1" applyFill="1" applyBorder="1" applyAlignment="1">
      <alignment vertical="center" wrapText="1"/>
    </xf>
    <xf numFmtId="168" fontId="3" fillId="3" borderId="93" xfId="0" applyNumberFormat="1" applyFont="1" applyFill="1" applyBorder="1" applyAlignment="1">
      <alignment horizontal="center" vertical="center" shrinkToFit="1"/>
    </xf>
    <xf numFmtId="166" fontId="3" fillId="2" borderId="94" xfId="0" applyNumberFormat="1" applyFont="1" applyFill="1" applyBorder="1" applyAlignment="1">
      <alignment vertical="center" shrinkToFit="1"/>
    </xf>
    <xf numFmtId="0" fontId="3" fillId="3" borderId="96" xfId="0" applyFont="1" applyFill="1" applyBorder="1" applyAlignment="1">
      <alignment horizontal="left" vertical="center"/>
    </xf>
    <xf numFmtId="168" fontId="3" fillId="3" borderId="96" xfId="0" applyNumberFormat="1" applyFont="1" applyFill="1" applyBorder="1" applyAlignment="1">
      <alignment horizontal="center" vertical="center"/>
    </xf>
    <xf numFmtId="0" fontId="3" fillId="7" borderId="97" xfId="0" applyFont="1" applyFill="1" applyBorder="1" applyAlignment="1">
      <alignment horizontal="left" vertical="center"/>
    </xf>
    <xf numFmtId="0" fontId="3" fillId="7" borderId="98" xfId="0" applyFont="1" applyFill="1" applyBorder="1" applyAlignment="1">
      <alignment horizontal="left" vertical="center"/>
    </xf>
    <xf numFmtId="0" fontId="3" fillId="7" borderId="99" xfId="0" applyFont="1" applyFill="1" applyBorder="1" applyAlignment="1">
      <alignment horizontal="left" vertical="center"/>
    </xf>
    <xf numFmtId="0" fontId="3" fillId="7" borderId="100" xfId="0" applyFont="1" applyFill="1" applyBorder="1" applyAlignment="1">
      <alignment horizontal="left" vertical="center"/>
    </xf>
    <xf numFmtId="0" fontId="3" fillId="7" borderId="96" xfId="0" applyFont="1" applyFill="1" applyBorder="1" applyAlignment="1">
      <alignment horizontal="left" vertical="center"/>
    </xf>
    <xf numFmtId="0" fontId="3" fillId="7" borderId="101" xfId="0" applyFont="1" applyFill="1" applyBorder="1" applyAlignment="1">
      <alignment horizontal="left" vertical="center"/>
    </xf>
    <xf numFmtId="0" fontId="3" fillId="7" borderId="102" xfId="0" applyFont="1" applyFill="1" applyBorder="1" applyAlignment="1">
      <alignment horizontal="left" vertical="center"/>
    </xf>
    <xf numFmtId="0" fontId="3" fillId="7" borderId="103" xfId="0" applyFont="1" applyFill="1" applyBorder="1" applyAlignment="1">
      <alignment horizontal="left" vertical="center"/>
    </xf>
    <xf numFmtId="0" fontId="3" fillId="7" borderId="104" xfId="0" applyFont="1" applyFill="1" applyBorder="1" applyAlignment="1">
      <alignment horizontal="left" vertical="center"/>
    </xf>
    <xf numFmtId="0" fontId="3" fillId="7" borderId="105" xfId="0" applyFont="1" applyFill="1" applyBorder="1" applyAlignment="1">
      <alignment horizontal="left" vertical="center"/>
    </xf>
    <xf numFmtId="0" fontId="3" fillId="7" borderId="106" xfId="0" applyFont="1" applyFill="1" applyBorder="1" applyAlignment="1">
      <alignment horizontal="left" vertical="center"/>
    </xf>
    <xf numFmtId="0" fontId="3" fillId="7" borderId="107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81" xfId="0" applyFont="1" applyFill="1" applyBorder="1" applyAlignment="1">
      <alignment vertical="center"/>
    </xf>
    <xf numFmtId="0" fontId="3" fillId="2" borderId="110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5" fillId="3" borderId="111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5" fillId="7" borderId="112" xfId="0" applyFont="1" applyFill="1" applyBorder="1" applyAlignment="1">
      <alignment horizontal="center" vertical="center"/>
    </xf>
    <xf numFmtId="0" fontId="5" fillId="7" borderId="93" xfId="0" applyFont="1" applyFill="1" applyBorder="1" applyAlignment="1">
      <alignment horizontal="center" vertical="center"/>
    </xf>
    <xf numFmtId="0" fontId="5" fillId="7" borderId="94" xfId="0" applyFont="1" applyFill="1" applyBorder="1" applyAlignment="1">
      <alignment horizontal="center" vertical="center"/>
    </xf>
    <xf numFmtId="0" fontId="5" fillId="10" borderId="113" xfId="0" applyFont="1" applyFill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6" fillId="7" borderId="114" xfId="0" applyFont="1" applyFill="1" applyBorder="1" applyAlignment="1">
      <alignment horizontal="center" vertical="center"/>
    </xf>
    <xf numFmtId="166" fontId="6" fillId="7" borderId="20" xfId="0" applyNumberFormat="1" applyFont="1" applyFill="1" applyBorder="1" applyAlignment="1">
      <alignment vertical="center" shrinkToFit="1"/>
    </xf>
    <xf numFmtId="0" fontId="6" fillId="7" borderId="20" xfId="0" applyFont="1" applyFill="1" applyBorder="1" applyAlignment="1">
      <alignment horizontal="center" vertical="center"/>
    </xf>
    <xf numFmtId="166" fontId="6" fillId="7" borderId="81" xfId="0" applyNumberFormat="1" applyFont="1" applyFill="1" applyBorder="1" applyAlignment="1">
      <alignment vertical="center" shrinkToFit="1"/>
    </xf>
    <xf numFmtId="0" fontId="6" fillId="3" borderId="121" xfId="0" applyFont="1" applyFill="1" applyBorder="1" applyAlignment="1">
      <alignment vertical="center"/>
    </xf>
    <xf numFmtId="0" fontId="3" fillId="0" borderId="92" xfId="0" applyFont="1" applyBorder="1" applyAlignment="1">
      <alignment vertical="center"/>
    </xf>
    <xf numFmtId="166" fontId="6" fillId="7" borderId="85" xfId="0" applyNumberFormat="1" applyFont="1" applyFill="1" applyBorder="1" applyAlignment="1">
      <alignment vertical="center" shrinkToFit="1"/>
    </xf>
    <xf numFmtId="0" fontId="6" fillId="3" borderId="122" xfId="0" applyFont="1" applyFill="1" applyBorder="1" applyAlignment="1">
      <alignment vertical="center"/>
    </xf>
    <xf numFmtId="0" fontId="6" fillId="3" borderId="123" xfId="0" applyFont="1" applyFill="1" applyBorder="1" applyAlignment="1">
      <alignment vertical="center"/>
    </xf>
    <xf numFmtId="167" fontId="2" fillId="7" borderId="93" xfId="0" applyNumberFormat="1" applyFont="1" applyFill="1" applyBorder="1" applyAlignment="1">
      <alignment vertical="center"/>
    </xf>
    <xf numFmtId="167" fontId="3" fillId="3" borderId="20" xfId="0" applyNumberFormat="1" applyFont="1" applyFill="1" applyBorder="1" applyAlignment="1">
      <alignment vertical="center"/>
    </xf>
    <xf numFmtId="167" fontId="3" fillId="3" borderId="84" xfId="0" applyNumberFormat="1" applyFont="1" applyFill="1" applyBorder="1" applyAlignment="1">
      <alignment vertical="center"/>
    </xf>
    <xf numFmtId="167" fontId="3" fillId="12" borderId="84" xfId="0" applyNumberFormat="1" applyFont="1" applyFill="1" applyBorder="1" applyAlignment="1">
      <alignment vertical="center"/>
    </xf>
    <xf numFmtId="164" fontId="3" fillId="3" borderId="19" xfId="0" applyNumberFormat="1" applyFont="1" applyFill="1" applyBorder="1" applyAlignment="1">
      <alignment horizontal="left" vertical="center"/>
    </xf>
    <xf numFmtId="0" fontId="4" fillId="0" borderId="12" xfId="0" applyFont="1" applyBorder="1"/>
    <xf numFmtId="0" fontId="4" fillId="0" borderId="13" xfId="0" applyFont="1" applyBorder="1"/>
    <xf numFmtId="0" fontId="3" fillId="0" borderId="19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4" fillId="0" borderId="18" xfId="0" applyFont="1" applyBorder="1"/>
    <xf numFmtId="0" fontId="3" fillId="2" borderId="19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4" fillId="0" borderId="44" xfId="0" applyFont="1" applyBorder="1"/>
    <xf numFmtId="0" fontId="4" fillId="0" borderId="41" xfId="0" applyFont="1" applyBorder="1"/>
    <xf numFmtId="0" fontId="4" fillId="0" borderId="40" xfId="0" applyFont="1" applyBorder="1"/>
    <xf numFmtId="0" fontId="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6" fillId="2" borderId="17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38" xfId="0" applyFont="1" applyBorder="1"/>
    <xf numFmtId="0" fontId="4" fillId="0" borderId="39" xfId="0" applyFont="1" applyBorder="1"/>
    <xf numFmtId="0" fontId="7" fillId="5" borderId="31" xfId="0" applyFont="1" applyFill="1" applyBorder="1" applyAlignment="1">
      <alignment horizontal="left" vertical="center" wrapText="1"/>
    </xf>
    <xf numFmtId="0" fontId="4" fillId="0" borderId="37" xfId="0" applyFont="1" applyBorder="1"/>
    <xf numFmtId="0" fontId="3" fillId="5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3" fillId="2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 wrapText="1"/>
    </xf>
    <xf numFmtId="12" fontId="3" fillId="0" borderId="35" xfId="0" applyNumberFormat="1" applyFont="1" applyBorder="1" applyAlignment="1">
      <alignment horizontal="center" vertical="center"/>
    </xf>
    <xf numFmtId="0" fontId="4" fillId="0" borderId="36" xfId="0" applyFont="1" applyBorder="1"/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42" xfId="0" applyFont="1" applyBorder="1"/>
    <xf numFmtId="0" fontId="3" fillId="0" borderId="45" xfId="0" applyFont="1" applyBorder="1" applyAlignment="1">
      <alignment horizontal="left" vertical="center"/>
    </xf>
    <xf numFmtId="0" fontId="4" fillId="0" borderId="46" xfId="0" applyFont="1" applyBorder="1"/>
    <xf numFmtId="0" fontId="4" fillId="0" borderId="47" xfId="0" applyFont="1" applyBorder="1"/>
    <xf numFmtId="0" fontId="3" fillId="2" borderId="43" xfId="0" applyFont="1" applyFill="1" applyBorder="1" applyAlignment="1">
      <alignment horizontal="left" vertical="center" wrapText="1"/>
    </xf>
    <xf numFmtId="0" fontId="4" fillId="0" borderId="48" xfId="0" applyFont="1" applyBorder="1"/>
    <xf numFmtId="0" fontId="3" fillId="2" borderId="43" xfId="0" applyFont="1" applyFill="1" applyBorder="1" applyAlignment="1">
      <alignment horizontal="left" vertical="top" wrapText="1"/>
    </xf>
    <xf numFmtId="0" fontId="2" fillId="2" borderId="73" xfId="0" applyFont="1" applyFill="1" applyBorder="1" applyAlignment="1">
      <alignment horizontal="center" vertical="center" wrapText="1"/>
    </xf>
    <xf numFmtId="0" fontId="4" fillId="0" borderId="72" xfId="0" applyFont="1" applyBorder="1"/>
    <xf numFmtId="0" fontId="4" fillId="0" borderId="70" xfId="0" applyFont="1" applyBorder="1"/>
    <xf numFmtId="0" fontId="4" fillId="0" borderId="71" xfId="0" applyFont="1" applyBorder="1"/>
    <xf numFmtId="0" fontId="2" fillId="2" borderId="74" xfId="0" applyFont="1" applyFill="1" applyBorder="1" applyAlignment="1">
      <alignment horizontal="center" vertical="center" wrapText="1"/>
    </xf>
    <xf numFmtId="0" fontId="4" fillId="0" borderId="76" xfId="0" applyFont="1" applyBorder="1"/>
    <xf numFmtId="166" fontId="2" fillId="2" borderId="75" xfId="0" applyNumberFormat="1" applyFont="1" applyFill="1" applyBorder="1" applyAlignment="1">
      <alignment horizontal="center" vertical="center" shrinkToFit="1"/>
    </xf>
    <xf numFmtId="0" fontId="4" fillId="0" borderId="77" xfId="0" applyFont="1" applyBorder="1"/>
    <xf numFmtId="0" fontId="2" fillId="2" borderId="25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9" fillId="3" borderId="19" xfId="0" applyFont="1" applyFill="1" applyBorder="1" applyAlignment="1">
      <alignment horizontal="center" vertical="center" wrapText="1"/>
    </xf>
    <xf numFmtId="0" fontId="10" fillId="3" borderId="78" xfId="0" applyFont="1" applyFill="1" applyBorder="1" applyAlignment="1">
      <alignment horizontal="center" vertical="center" wrapText="1"/>
    </xf>
    <xf numFmtId="0" fontId="4" fillId="0" borderId="79" xfId="0" applyFont="1" applyBorder="1"/>
    <xf numFmtId="49" fontId="3" fillId="3" borderId="78" xfId="0" applyNumberFormat="1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left" vertical="center" wrapText="1"/>
    </xf>
    <xf numFmtId="165" fontId="3" fillId="0" borderId="19" xfId="0" applyNumberFormat="1" applyFont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 wrapText="1"/>
    </xf>
    <xf numFmtId="0" fontId="4" fillId="0" borderId="50" xfId="0" applyFont="1" applyBorder="1"/>
    <xf numFmtId="0" fontId="3" fillId="0" borderId="51" xfId="0" applyFont="1" applyBorder="1" applyAlignment="1">
      <alignment horizontal="left" vertical="center"/>
    </xf>
    <xf numFmtId="0" fontId="4" fillId="0" borderId="52" xfId="0" applyFont="1" applyBorder="1"/>
    <xf numFmtId="0" fontId="4" fillId="0" borderId="53" xfId="0" applyFont="1" applyBorder="1"/>
    <xf numFmtId="0" fontId="2" fillId="2" borderId="25" xfId="0" applyFont="1" applyFill="1" applyBorder="1" applyAlignment="1">
      <alignment horizontal="left" vertical="center"/>
    </xf>
    <xf numFmtId="0" fontId="4" fillId="0" borderId="55" xfId="0" applyFont="1" applyBorder="1"/>
    <xf numFmtId="0" fontId="3" fillId="0" borderId="8" xfId="0" applyFont="1" applyBorder="1" applyAlignment="1">
      <alignment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4" fillId="0" borderId="56" xfId="0" applyFont="1" applyBorder="1"/>
    <xf numFmtId="0" fontId="2" fillId="2" borderId="8" xfId="0" applyFont="1" applyFill="1" applyBorder="1" applyAlignment="1">
      <alignment horizontal="left" vertical="center"/>
    </xf>
    <xf numFmtId="0" fontId="3" fillId="2" borderId="57" xfId="0" applyFont="1" applyFill="1" applyBorder="1" applyAlignment="1">
      <alignment horizontal="left" vertical="center"/>
    </xf>
    <xf numFmtId="0" fontId="4" fillId="0" borderId="58" xfId="0" applyFont="1" applyBorder="1"/>
    <xf numFmtId="0" fontId="3" fillId="0" borderId="64" xfId="0" applyFont="1" applyBorder="1" applyAlignment="1">
      <alignment horizontal="center" vertical="center"/>
    </xf>
    <xf numFmtId="0" fontId="4" fillId="0" borderId="65" xfId="0" applyFont="1" applyBorder="1"/>
    <xf numFmtId="0" fontId="3" fillId="0" borderId="66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4" fillId="0" borderId="62" xfId="0" applyFont="1" applyBorder="1"/>
    <xf numFmtId="0" fontId="3" fillId="2" borderId="45" xfId="0" applyFont="1" applyFill="1" applyBorder="1" applyAlignment="1">
      <alignment horizontal="left" vertical="center"/>
    </xf>
    <xf numFmtId="0" fontId="4" fillId="0" borderId="64" xfId="0" applyFont="1" applyBorder="1"/>
    <xf numFmtId="0" fontId="4" fillId="0" borderId="67" xfId="0" applyFont="1" applyBorder="1"/>
    <xf numFmtId="0" fontId="4" fillId="0" borderId="68" xfId="0" applyFont="1" applyBorder="1"/>
    <xf numFmtId="0" fontId="3" fillId="2" borderId="45" xfId="0" applyFont="1" applyFill="1" applyBorder="1" applyAlignment="1">
      <alignment horizontal="left" vertical="center" wrapText="1"/>
    </xf>
    <xf numFmtId="0" fontId="4" fillId="0" borderId="69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59" xfId="0" applyFont="1" applyBorder="1"/>
    <xf numFmtId="0" fontId="3" fillId="2" borderId="61" xfId="0" applyFont="1" applyFill="1" applyBorder="1" applyAlignment="1">
      <alignment horizontal="left" vertical="center"/>
    </xf>
    <xf numFmtId="0" fontId="4" fillId="0" borderId="63" xfId="0" applyFont="1" applyBorder="1"/>
    <xf numFmtId="166" fontId="3" fillId="2" borderId="45" xfId="0" applyNumberFormat="1" applyFont="1" applyFill="1" applyBorder="1" applyAlignment="1">
      <alignment horizontal="center" vertical="center"/>
    </xf>
    <xf numFmtId="0" fontId="4" fillId="0" borderId="35" xfId="0" applyFont="1" applyBorder="1"/>
    <xf numFmtId="0" fontId="3" fillId="3" borderId="61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left" vertical="center"/>
    </xf>
    <xf numFmtId="166" fontId="2" fillId="2" borderId="4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166" fontId="2" fillId="2" borderId="73" xfId="0" applyNumberFormat="1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166" fontId="2" fillId="3" borderId="45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3" borderId="82" xfId="0" applyFont="1" applyFill="1" applyBorder="1" applyAlignment="1">
      <alignment horizontal="center" vertical="center" wrapText="1"/>
    </xf>
    <xf numFmtId="0" fontId="4" fillId="0" borderId="83" xfId="0" applyFont="1" applyBorder="1"/>
    <xf numFmtId="0" fontId="3" fillId="3" borderId="51" xfId="0" applyFont="1" applyFill="1" applyBorder="1" applyAlignment="1">
      <alignment horizontal="center" vertical="center" wrapText="1"/>
    </xf>
    <xf numFmtId="49" fontId="3" fillId="3" borderId="51" xfId="0" applyNumberFormat="1" applyFont="1" applyFill="1" applyBorder="1" applyAlignment="1">
      <alignment horizontal="center" vertical="center" wrapText="1"/>
    </xf>
    <xf numFmtId="0" fontId="2" fillId="6" borderId="86" xfId="0" applyFont="1" applyFill="1" applyBorder="1" applyAlignment="1">
      <alignment horizontal="center" vertical="center" wrapText="1"/>
    </xf>
    <xf numFmtId="0" fontId="4" fillId="0" borderId="87" xfId="0" applyFont="1" applyBorder="1"/>
    <xf numFmtId="0" fontId="4" fillId="0" borderId="88" xfId="0" applyFont="1" applyBorder="1"/>
    <xf numFmtId="0" fontId="2" fillId="2" borderId="89" xfId="0" applyFont="1" applyFill="1" applyBorder="1" applyAlignment="1">
      <alignment horizontal="center" vertical="center" wrapText="1"/>
    </xf>
    <xf numFmtId="0" fontId="4" fillId="0" borderId="91" xfId="0" applyFont="1" applyBorder="1"/>
    <xf numFmtId="0" fontId="2" fillId="2" borderId="75" xfId="0" applyFont="1" applyFill="1" applyBorder="1" applyAlignment="1">
      <alignment horizontal="center" vertical="center" wrapText="1"/>
    </xf>
    <xf numFmtId="166" fontId="2" fillId="2" borderId="90" xfId="0" applyNumberFormat="1" applyFont="1" applyFill="1" applyBorder="1" applyAlignment="1">
      <alignment horizontal="center" vertical="center" shrinkToFit="1"/>
    </xf>
    <xf numFmtId="0" fontId="4" fillId="0" borderId="92" xfId="0" applyFont="1" applyBorder="1"/>
    <xf numFmtId="0" fontId="2" fillId="2" borderId="2" xfId="0" applyFont="1" applyFill="1" applyBorder="1" applyAlignment="1">
      <alignment horizontal="center" vertical="center" wrapText="1"/>
    </xf>
    <xf numFmtId="166" fontId="2" fillId="2" borderId="78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168" fontId="3" fillId="3" borderId="19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68" fontId="3" fillId="3" borderId="95" xfId="0" applyNumberFormat="1" applyFont="1" applyFill="1" applyBorder="1" applyAlignment="1">
      <alignment horizontal="center" vertical="center"/>
    </xf>
    <xf numFmtId="168" fontId="3" fillId="2" borderId="32" xfId="0" applyNumberFormat="1" applyFont="1" applyFill="1" applyBorder="1" applyAlignment="1">
      <alignment horizontal="center" vertical="center"/>
    </xf>
    <xf numFmtId="168" fontId="3" fillId="3" borderId="78" xfId="0" applyNumberFormat="1" applyFont="1" applyFill="1" applyBorder="1" applyAlignment="1">
      <alignment horizontal="center" vertical="center"/>
    </xf>
    <xf numFmtId="168" fontId="3" fillId="3" borderId="51" xfId="0" applyNumberFormat="1" applyFont="1" applyFill="1" applyBorder="1" applyAlignment="1">
      <alignment horizontal="center" vertical="center"/>
    </xf>
    <xf numFmtId="168" fontId="3" fillId="2" borderId="73" xfId="0" applyNumberFormat="1" applyFont="1" applyFill="1" applyBorder="1" applyAlignment="1">
      <alignment horizontal="center" vertical="center"/>
    </xf>
    <xf numFmtId="166" fontId="3" fillId="3" borderId="78" xfId="0" applyNumberFormat="1" applyFont="1" applyFill="1" applyBorder="1" applyAlignment="1">
      <alignment horizontal="center" vertical="center"/>
    </xf>
    <xf numFmtId="166" fontId="3" fillId="3" borderId="19" xfId="0" applyNumberFormat="1" applyFont="1" applyFill="1" applyBorder="1" applyAlignment="1">
      <alignment horizontal="center" vertical="center"/>
    </xf>
    <xf numFmtId="166" fontId="3" fillId="3" borderId="51" xfId="0" applyNumberFormat="1" applyFont="1" applyFill="1" applyBorder="1" applyAlignment="1">
      <alignment horizontal="center" vertical="center"/>
    </xf>
    <xf numFmtId="166" fontId="3" fillId="2" borderId="73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 wrapText="1"/>
    </xf>
    <xf numFmtId="0" fontId="9" fillId="3" borderId="51" xfId="0" applyFont="1" applyFill="1" applyBorder="1" applyAlignment="1">
      <alignment horizontal="center" vertical="center" wrapText="1"/>
    </xf>
    <xf numFmtId="168" fontId="2" fillId="2" borderId="73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left" vertical="center"/>
    </xf>
    <xf numFmtId="0" fontId="4" fillId="0" borderId="108" xfId="0" applyFont="1" applyBorder="1"/>
    <xf numFmtId="168" fontId="3" fillId="2" borderId="109" xfId="0" applyNumberFormat="1" applyFont="1" applyFill="1" applyBorder="1" applyAlignment="1">
      <alignment horizontal="center" vertical="center"/>
    </xf>
    <xf numFmtId="166" fontId="2" fillId="2" borderId="73" xfId="0" applyNumberFormat="1" applyFont="1" applyFill="1" applyBorder="1" applyAlignment="1">
      <alignment horizontal="center" vertical="center"/>
    </xf>
    <xf numFmtId="10" fontId="3" fillId="3" borderId="45" xfId="0" applyNumberFormat="1" applyFont="1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vertical="center"/>
    </xf>
    <xf numFmtId="0" fontId="2" fillId="2" borderId="43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166" fontId="3" fillId="2" borderId="51" xfId="0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166" fontId="6" fillId="10" borderId="19" xfId="0" applyNumberFormat="1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5" fillId="11" borderId="49" xfId="0" applyFont="1" applyFill="1" applyBorder="1" applyAlignment="1">
      <alignment horizontal="center" vertical="center"/>
    </xf>
    <xf numFmtId="168" fontId="6" fillId="11" borderId="19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center" vertical="center"/>
    </xf>
    <xf numFmtId="166" fontId="2" fillId="7" borderId="78" xfId="0" applyNumberFormat="1" applyFont="1" applyFill="1" applyBorder="1" applyAlignment="1">
      <alignment horizontal="center" vertical="center"/>
    </xf>
    <xf numFmtId="168" fontId="6" fillId="11" borderId="51" xfId="0" applyNumberFormat="1" applyFont="1" applyFill="1" applyBorder="1" applyAlignment="1">
      <alignment horizontal="center" vertical="center" shrinkToFit="1"/>
    </xf>
    <xf numFmtId="0" fontId="6" fillId="7" borderId="49" xfId="0" applyFont="1" applyFill="1" applyBorder="1" applyAlignment="1">
      <alignment horizontal="center" vertical="center"/>
    </xf>
    <xf numFmtId="167" fontId="2" fillId="7" borderId="2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1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1" xfId="0" applyFont="1" applyFill="1" applyBorder="1" applyAlignment="1">
      <alignment horizontal="center" vertical="center"/>
    </xf>
    <xf numFmtId="166" fontId="6" fillId="10" borderId="51" xfId="0" applyNumberFormat="1" applyFont="1" applyFill="1" applyBorder="1" applyAlignment="1">
      <alignment horizontal="center" vertical="center"/>
    </xf>
    <xf numFmtId="0" fontId="6" fillId="10" borderId="115" xfId="0" applyFont="1" applyFill="1" applyBorder="1" applyAlignment="1">
      <alignment horizontal="center" vertical="center"/>
    </xf>
    <xf numFmtId="0" fontId="6" fillId="10" borderId="32" xfId="0" applyFont="1" applyFill="1" applyBorder="1" applyAlignment="1">
      <alignment horizontal="center" vertical="center"/>
    </xf>
    <xf numFmtId="0" fontId="6" fillId="10" borderId="116" xfId="0" applyFont="1" applyFill="1" applyBorder="1" applyAlignment="1">
      <alignment horizontal="center" vertical="center"/>
    </xf>
    <xf numFmtId="0" fontId="4" fillId="0" borderId="117" xfId="0" applyFont="1" applyBorder="1"/>
    <xf numFmtId="166" fontId="6" fillId="10" borderId="116" xfId="0" applyNumberFormat="1" applyFont="1" applyFill="1" applyBorder="1" applyAlignment="1">
      <alignment horizontal="center" vertical="center"/>
    </xf>
    <xf numFmtId="0" fontId="6" fillId="10" borderId="82" xfId="0" applyFont="1" applyFill="1" applyBorder="1" applyAlignment="1">
      <alignment horizontal="center" vertical="center"/>
    </xf>
    <xf numFmtId="0" fontId="4" fillId="0" borderId="118" xfId="0" applyFont="1" applyBorder="1"/>
    <xf numFmtId="166" fontId="6" fillId="10" borderId="119" xfId="0" applyNumberFormat="1" applyFont="1" applyFill="1" applyBorder="1" applyAlignment="1">
      <alignment horizontal="center" vertical="center"/>
    </xf>
    <xf numFmtId="0" fontId="4" fillId="0" borderId="120" xfId="0" applyFont="1" applyBorder="1"/>
    <xf numFmtId="0" fontId="5" fillId="11" borderId="8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78" xfId="0" applyFont="1" applyFill="1" applyBorder="1" applyAlignment="1">
      <alignment horizontal="center" vertical="center"/>
    </xf>
    <xf numFmtId="166" fontId="3" fillId="12" borderId="51" xfId="0" applyNumberFormat="1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2" fillId="12" borderId="4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142" workbookViewId="0">
      <selection activeCell="A164" sqref="A164:B164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A1" s="91" t="s">
        <v>201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94" t="s">
        <v>225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97" t="s">
        <v>226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100" t="s">
        <v>227</v>
      </c>
      <c r="B6" s="101"/>
      <c r="C6" s="101"/>
      <c r="D6" s="101"/>
      <c r="E6" s="101"/>
      <c r="F6" s="101"/>
      <c r="G6" s="102"/>
      <c r="H6" s="103" t="s">
        <v>228</v>
      </c>
      <c r="I6" s="79"/>
      <c r="J6" s="79"/>
      <c r="K6" s="79"/>
      <c r="L6" s="8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104" t="s">
        <v>229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6.25">
      <c r="A8" s="107" t="s">
        <v>230</v>
      </c>
      <c r="B8" s="79"/>
      <c r="C8" s="83"/>
      <c r="D8" s="89" t="s">
        <v>231</v>
      </c>
      <c r="E8" s="83"/>
      <c r="F8" s="4" t="s">
        <v>232</v>
      </c>
      <c r="G8" s="4" t="s">
        <v>233</v>
      </c>
      <c r="H8" s="90" t="s">
        <v>233</v>
      </c>
      <c r="I8" s="79"/>
      <c r="J8" s="79"/>
      <c r="K8" s="79"/>
      <c r="L8" s="8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7.5">
      <c r="A9" s="108" t="s">
        <v>234</v>
      </c>
      <c r="B9" s="79"/>
      <c r="C9" s="79"/>
      <c r="D9" s="79"/>
      <c r="E9" s="83"/>
      <c r="F9" s="4" t="s">
        <v>235</v>
      </c>
      <c r="G9" s="4" t="s">
        <v>236</v>
      </c>
      <c r="H9" s="90" t="s">
        <v>237</v>
      </c>
      <c r="I9" s="79"/>
      <c r="J9" s="79"/>
      <c r="K9" s="79"/>
      <c r="L9" s="8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97" t="s">
        <v>238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109" t="s">
        <v>239</v>
      </c>
      <c r="B11" s="101"/>
      <c r="C11" s="101"/>
      <c r="D11" s="101"/>
      <c r="E11" s="101"/>
      <c r="F11" s="101"/>
      <c r="G11" s="102"/>
      <c r="H11" s="110" t="s">
        <v>240</v>
      </c>
      <c r="I11" s="101"/>
      <c r="J11" s="101"/>
      <c r="K11" s="101"/>
      <c r="L11" s="10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75" customHeight="1">
      <c r="A12" s="111" t="s">
        <v>241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6" customHeight="1">
      <c r="A13" s="114" t="s">
        <v>230</v>
      </c>
      <c r="B13" s="79"/>
      <c r="C13" s="83"/>
      <c r="D13" s="115" t="s">
        <v>242</v>
      </c>
      <c r="E13" s="83"/>
      <c r="F13" s="115" t="s">
        <v>243</v>
      </c>
      <c r="G13" s="83"/>
      <c r="H13" s="115" t="s">
        <v>244</v>
      </c>
      <c r="I13" s="79"/>
      <c r="J13" s="79"/>
      <c r="K13" s="79"/>
      <c r="L13" s="8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2.25" customHeight="1">
      <c r="A14" s="114" t="s">
        <v>245</v>
      </c>
      <c r="B14" s="79"/>
      <c r="C14" s="79"/>
      <c r="D14" s="79"/>
      <c r="E14" s="83"/>
      <c r="F14" s="115" t="s">
        <v>246</v>
      </c>
      <c r="G14" s="79"/>
      <c r="H14" s="79"/>
      <c r="I14" s="79"/>
      <c r="J14" s="79"/>
      <c r="K14" s="79"/>
      <c r="L14" s="8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5"/>
      <c r="B15" s="5"/>
      <c r="C15" s="5"/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5"/>
      <c r="B16" s="5"/>
      <c r="C16" s="5"/>
      <c r="D16" s="5"/>
      <c r="E16" s="5"/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125" t="s">
        <v>247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3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131" t="s">
        <v>248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132" t="s">
        <v>249</v>
      </c>
      <c r="B20" s="116"/>
      <c r="C20" s="117"/>
      <c r="D20" s="117"/>
      <c r="E20" s="117"/>
      <c r="F20" s="117"/>
      <c r="G20" s="118"/>
      <c r="H20" s="121" t="s">
        <v>250</v>
      </c>
      <c r="I20" s="133"/>
      <c r="J20" s="92"/>
      <c r="K20" s="92"/>
      <c r="L20" s="13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122"/>
      <c r="B21" s="119"/>
      <c r="C21" s="120"/>
      <c r="D21" s="120"/>
      <c r="E21" s="120"/>
      <c r="F21" s="120"/>
      <c r="G21" s="88"/>
      <c r="H21" s="122"/>
      <c r="I21" s="119"/>
      <c r="J21" s="120"/>
      <c r="K21" s="120"/>
      <c r="L21" s="8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123" t="s">
        <v>251</v>
      </c>
      <c r="B22" s="83"/>
      <c r="C22" s="135"/>
      <c r="D22" s="79"/>
      <c r="E22" s="79"/>
      <c r="F22" s="79"/>
      <c r="G22" s="79"/>
      <c r="H22" s="79"/>
      <c r="I22" s="79"/>
      <c r="J22" s="79"/>
      <c r="K22" s="79"/>
      <c r="L22" s="8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6" t="s">
        <v>252</v>
      </c>
      <c r="B23" s="124"/>
      <c r="C23" s="79"/>
      <c r="D23" s="79"/>
      <c r="E23" s="79"/>
      <c r="F23" s="79"/>
      <c r="G23" s="79"/>
      <c r="H23" s="83"/>
      <c r="I23" s="6" t="s">
        <v>253</v>
      </c>
      <c r="J23" s="136"/>
      <c r="K23" s="79"/>
      <c r="L23" s="8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6" t="s">
        <v>254</v>
      </c>
      <c r="B24" s="137"/>
      <c r="C24" s="79"/>
      <c r="D24" s="79"/>
      <c r="E24" s="79"/>
      <c r="F24" s="79"/>
      <c r="G24" s="79"/>
      <c r="H24" s="79"/>
      <c r="I24" s="79"/>
      <c r="J24" s="79"/>
      <c r="K24" s="79"/>
      <c r="L24" s="8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125" t="s">
        <v>255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87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3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5" t="s">
        <v>256</v>
      </c>
      <c r="B28" s="86"/>
      <c r="C28" s="139" t="s">
        <v>257</v>
      </c>
      <c r="D28" s="140"/>
      <c r="E28" s="140"/>
      <c r="F28" s="140"/>
      <c r="G28" s="140"/>
      <c r="H28" s="140"/>
      <c r="I28" s="140"/>
      <c r="J28" s="140"/>
      <c r="K28" s="140"/>
      <c r="L28" s="14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87"/>
      <c r="B29" s="88"/>
      <c r="C29" s="119"/>
      <c r="D29" s="120"/>
      <c r="E29" s="120"/>
      <c r="F29" s="120"/>
      <c r="G29" s="120"/>
      <c r="H29" s="120"/>
      <c r="I29" s="120"/>
      <c r="J29" s="120"/>
      <c r="K29" s="120"/>
      <c r="L29" s="13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82" t="s">
        <v>258</v>
      </c>
      <c r="B30" s="83"/>
      <c r="C30" s="84" t="s">
        <v>259</v>
      </c>
      <c r="D30" s="79"/>
      <c r="E30" s="79"/>
      <c r="F30" s="79"/>
      <c r="G30" s="79"/>
      <c r="H30" s="79"/>
      <c r="I30" s="79"/>
      <c r="J30" s="79"/>
      <c r="K30" s="79"/>
      <c r="L30" s="8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85" t="s">
        <v>260</v>
      </c>
      <c r="B31" s="86"/>
      <c r="C31" s="9"/>
      <c r="D31" s="9" t="s">
        <v>261</v>
      </c>
      <c r="E31" s="81" t="s">
        <v>262</v>
      </c>
      <c r="F31" s="79"/>
      <c r="G31" s="79"/>
      <c r="H31" s="79"/>
      <c r="I31" s="79"/>
      <c r="J31" s="79"/>
      <c r="K31" s="79"/>
      <c r="L31" s="8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87"/>
      <c r="B32" s="88"/>
      <c r="C32" s="9"/>
      <c r="D32" s="81" t="s">
        <v>263</v>
      </c>
      <c r="E32" s="79"/>
      <c r="F32" s="79"/>
      <c r="G32" s="79"/>
      <c r="H32" s="79"/>
      <c r="I32" s="79"/>
      <c r="J32" s="79"/>
      <c r="K32" s="79"/>
      <c r="L32" s="8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142" t="s">
        <v>264</v>
      </c>
      <c r="B33" s="86"/>
      <c r="C33" s="81" t="s">
        <v>265</v>
      </c>
      <c r="D33" s="79"/>
      <c r="E33" s="79"/>
      <c r="F33" s="79"/>
      <c r="G33" s="79"/>
      <c r="H33" s="79"/>
      <c r="I33" s="79"/>
      <c r="J33" s="79"/>
      <c r="K33" s="79"/>
      <c r="L33" s="8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143"/>
      <c r="B34" s="134"/>
      <c r="C34" s="78" t="s">
        <v>266</v>
      </c>
      <c r="D34" s="79"/>
      <c r="E34" s="79"/>
      <c r="F34" s="79"/>
      <c r="G34" s="79"/>
      <c r="H34" s="79"/>
      <c r="I34" s="79"/>
      <c r="J34" s="79"/>
      <c r="K34" s="79"/>
      <c r="L34" s="8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143"/>
      <c r="B35" s="134"/>
      <c r="C35" s="81" t="s">
        <v>267</v>
      </c>
      <c r="D35" s="79"/>
      <c r="E35" s="79"/>
      <c r="F35" s="79"/>
      <c r="G35" s="79"/>
      <c r="H35" s="79"/>
      <c r="I35" s="79"/>
      <c r="J35" s="79"/>
      <c r="K35" s="79"/>
      <c r="L35" s="8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87"/>
      <c r="B36" s="88"/>
      <c r="C36" s="81" t="s">
        <v>268</v>
      </c>
      <c r="D36" s="79"/>
      <c r="E36" s="79"/>
      <c r="F36" s="79"/>
      <c r="G36" s="79"/>
      <c r="H36" s="79"/>
      <c r="I36" s="79"/>
      <c r="J36" s="79"/>
      <c r="K36" s="79"/>
      <c r="L36" s="8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85" t="s">
        <v>269</v>
      </c>
      <c r="B37" s="86"/>
      <c r="C37" s="81" t="s">
        <v>270</v>
      </c>
      <c r="D37" s="79"/>
      <c r="E37" s="79"/>
      <c r="F37" s="79"/>
      <c r="G37" s="79"/>
      <c r="H37" s="79"/>
      <c r="I37" s="79"/>
      <c r="J37" s="79"/>
      <c r="K37" s="79"/>
      <c r="L37" s="8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87"/>
      <c r="B38" s="88"/>
      <c r="C38" s="81" t="s">
        <v>271</v>
      </c>
      <c r="D38" s="79"/>
      <c r="E38" s="79"/>
      <c r="F38" s="79"/>
      <c r="G38" s="79"/>
      <c r="H38" s="79"/>
      <c r="I38" s="79"/>
      <c r="J38" s="79"/>
      <c r="K38" s="79"/>
      <c r="L38" s="8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144" t="s">
        <v>272</v>
      </c>
      <c r="B39" s="86"/>
      <c r="C39" s="81" t="s">
        <v>273</v>
      </c>
      <c r="D39" s="79"/>
      <c r="E39" s="79"/>
      <c r="F39" s="79"/>
      <c r="G39" s="79"/>
      <c r="H39" s="79"/>
      <c r="I39" s="79"/>
      <c r="J39" s="79"/>
      <c r="K39" s="79"/>
      <c r="L39" s="8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>
      <c r="A40" s="87"/>
      <c r="B40" s="88"/>
      <c r="C40" s="81" t="s">
        <v>274</v>
      </c>
      <c r="D40" s="79"/>
      <c r="E40" s="79"/>
      <c r="F40" s="79"/>
      <c r="G40" s="79"/>
      <c r="H40" s="79"/>
      <c r="I40" s="79"/>
      <c r="J40" s="79"/>
      <c r="K40" s="79"/>
      <c r="L40" s="8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0.5" customHeight="1">
      <c r="A41" s="163" t="s">
        <v>275</v>
      </c>
      <c r="B41" s="83"/>
      <c r="C41" s="164" t="s">
        <v>276</v>
      </c>
      <c r="D41" s="79"/>
      <c r="E41" s="79"/>
      <c r="F41" s="79"/>
      <c r="G41" s="79"/>
      <c r="H41" s="79"/>
      <c r="I41" s="79"/>
      <c r="J41" s="79"/>
      <c r="K41" s="79"/>
      <c r="L41" s="8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58.5" customHeight="1">
      <c r="A42" s="165" t="s">
        <v>277</v>
      </c>
      <c r="B42" s="166"/>
      <c r="C42" s="167" t="s">
        <v>0</v>
      </c>
      <c r="D42" s="168"/>
      <c r="E42" s="168"/>
      <c r="F42" s="168"/>
      <c r="G42" s="168"/>
      <c r="H42" s="168"/>
      <c r="I42" s="168"/>
      <c r="J42" s="168"/>
      <c r="K42" s="168"/>
      <c r="L42" s="16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>
      <c r="A44" s="170" t="s">
        <v>278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>
      <c r="A45" s="154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17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5.25" customHeight="1">
      <c r="A46" s="172" t="s">
        <v>279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>
      <c r="A48" s="170" t="s">
        <v>280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>
      <c r="A49" s="154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17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6.75" customHeight="1">
      <c r="A50" s="172" t="s">
        <v>279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170" t="s">
        <v>281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7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154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17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9" customHeight="1">
      <c r="A54" s="172" t="s">
        <v>279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25" customHeight="1">
      <c r="A56" s="173" t="s">
        <v>282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3" customHeight="1">
      <c r="A57" s="154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17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62.25" customHeight="1">
      <c r="A58" s="174" t="s">
        <v>283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62.25" customHeight="1">
      <c r="A59" s="143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7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62.25" customHeight="1">
      <c r="A60" s="143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17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62.25" customHeight="1">
      <c r="A61" s="154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17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176" t="s">
        <v>284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177" t="s">
        <v>285</v>
      </c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7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87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3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190" t="s">
        <v>286</v>
      </c>
      <c r="B66" s="98"/>
      <c r="C66" s="98"/>
      <c r="D66" s="98"/>
      <c r="E66" s="98"/>
      <c r="F66" s="98"/>
      <c r="G66" s="98"/>
      <c r="H66" s="98"/>
      <c r="I66" s="98"/>
      <c r="J66" s="191"/>
      <c r="K66" s="89" t="s">
        <v>287</v>
      </c>
      <c r="L66" s="8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>
      <c r="A67" s="182"/>
      <c r="B67" s="192" t="s">
        <v>288</v>
      </c>
      <c r="C67" s="140"/>
      <c r="D67" s="140"/>
      <c r="E67" s="140"/>
      <c r="F67" s="140"/>
      <c r="G67" s="140"/>
      <c r="H67" s="140"/>
      <c r="I67" s="140"/>
      <c r="J67" s="86"/>
      <c r="K67" s="194">
        <f>K100</f>
        <v>0</v>
      </c>
      <c r="L67" s="14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183"/>
      <c r="B68" s="193"/>
      <c r="C68" s="120"/>
      <c r="D68" s="120"/>
      <c r="E68" s="120"/>
      <c r="F68" s="120"/>
      <c r="G68" s="120"/>
      <c r="H68" s="120"/>
      <c r="I68" s="120"/>
      <c r="J68" s="88"/>
      <c r="K68" s="195"/>
      <c r="L68" s="17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183"/>
      <c r="B69" s="196" t="s">
        <v>289</v>
      </c>
      <c r="C69" s="140"/>
      <c r="D69" s="140"/>
      <c r="E69" s="140"/>
      <c r="F69" s="140"/>
      <c r="G69" s="140"/>
      <c r="H69" s="140"/>
      <c r="I69" s="140"/>
      <c r="J69" s="86"/>
      <c r="K69" s="195"/>
      <c r="L69" s="17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customHeight="1">
      <c r="A70" s="122"/>
      <c r="B70" s="193"/>
      <c r="C70" s="120"/>
      <c r="D70" s="120"/>
      <c r="E70" s="120"/>
      <c r="F70" s="120"/>
      <c r="G70" s="120"/>
      <c r="H70" s="120"/>
      <c r="I70" s="120"/>
      <c r="J70" s="88"/>
      <c r="K70" s="195"/>
      <c r="L70" s="17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179"/>
      <c r="B71" s="184" t="s">
        <v>290</v>
      </c>
      <c r="C71" s="140"/>
      <c r="D71" s="140"/>
      <c r="E71" s="140"/>
      <c r="F71" s="140"/>
      <c r="G71" s="140"/>
      <c r="H71" s="140"/>
      <c r="I71" s="140"/>
      <c r="J71" s="86"/>
      <c r="K71" s="195"/>
      <c r="L71" s="17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180"/>
      <c r="B72" s="119"/>
      <c r="C72" s="120"/>
      <c r="D72" s="120"/>
      <c r="E72" s="120"/>
      <c r="F72" s="120"/>
      <c r="G72" s="120"/>
      <c r="H72" s="120"/>
      <c r="I72" s="120"/>
      <c r="J72" s="88"/>
      <c r="K72" s="195"/>
      <c r="L72" s="17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181"/>
      <c r="B73" s="184" t="s">
        <v>291</v>
      </c>
      <c r="C73" s="140"/>
      <c r="D73" s="140"/>
      <c r="E73" s="140"/>
      <c r="F73" s="140"/>
      <c r="G73" s="140"/>
      <c r="H73" s="140"/>
      <c r="I73" s="140"/>
      <c r="J73" s="86"/>
      <c r="K73" s="195"/>
      <c r="L73" s="17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180"/>
      <c r="B74" s="119"/>
      <c r="C74" s="120"/>
      <c r="D74" s="120"/>
      <c r="E74" s="120"/>
      <c r="F74" s="120"/>
      <c r="G74" s="120"/>
      <c r="H74" s="120"/>
      <c r="I74" s="120"/>
      <c r="J74" s="88"/>
      <c r="K74" s="195"/>
      <c r="L74" s="17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181"/>
      <c r="B75" s="188" t="s">
        <v>292</v>
      </c>
      <c r="C75" s="140"/>
      <c r="D75" s="140"/>
      <c r="E75" s="140"/>
      <c r="F75" s="140"/>
      <c r="G75" s="140"/>
      <c r="H75" s="140"/>
      <c r="I75" s="140"/>
      <c r="J75" s="86"/>
      <c r="K75" s="195"/>
      <c r="L75" s="17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.25" customHeight="1">
      <c r="A76" s="180"/>
      <c r="B76" s="119"/>
      <c r="C76" s="120"/>
      <c r="D76" s="120"/>
      <c r="E76" s="120"/>
      <c r="F76" s="120"/>
      <c r="G76" s="120"/>
      <c r="H76" s="120"/>
      <c r="I76" s="120"/>
      <c r="J76" s="88"/>
      <c r="K76" s="195"/>
      <c r="L76" s="17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181"/>
      <c r="B77" s="184" t="s">
        <v>293</v>
      </c>
      <c r="C77" s="140"/>
      <c r="D77" s="140"/>
      <c r="E77" s="140"/>
      <c r="F77" s="140"/>
      <c r="G77" s="140"/>
      <c r="H77" s="140"/>
      <c r="I77" s="140"/>
      <c r="J77" s="86"/>
      <c r="K77" s="195"/>
      <c r="L77" s="17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180"/>
      <c r="B78" s="119"/>
      <c r="C78" s="120"/>
      <c r="D78" s="120"/>
      <c r="E78" s="120"/>
      <c r="F78" s="120"/>
      <c r="G78" s="120"/>
      <c r="H78" s="120"/>
      <c r="I78" s="120"/>
      <c r="J78" s="88"/>
      <c r="K78" s="195"/>
      <c r="L78" s="17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181"/>
      <c r="B79" s="184" t="s">
        <v>294</v>
      </c>
      <c r="C79" s="140"/>
      <c r="D79" s="140"/>
      <c r="E79" s="140"/>
      <c r="F79" s="140"/>
      <c r="G79" s="140"/>
      <c r="H79" s="140"/>
      <c r="I79" s="140"/>
      <c r="J79" s="86"/>
      <c r="K79" s="195"/>
      <c r="L79" s="17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180"/>
      <c r="B80" s="119"/>
      <c r="C80" s="120"/>
      <c r="D80" s="120"/>
      <c r="E80" s="120"/>
      <c r="F80" s="120"/>
      <c r="G80" s="120"/>
      <c r="H80" s="120"/>
      <c r="I80" s="120"/>
      <c r="J80" s="88"/>
      <c r="K80" s="195"/>
      <c r="L80" s="17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181"/>
      <c r="B81" s="184" t="s">
        <v>295</v>
      </c>
      <c r="C81" s="140"/>
      <c r="D81" s="140"/>
      <c r="E81" s="140"/>
      <c r="F81" s="140"/>
      <c r="G81" s="140"/>
      <c r="H81" s="140"/>
      <c r="I81" s="140"/>
      <c r="J81" s="86"/>
      <c r="K81" s="195"/>
      <c r="L81" s="17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180"/>
      <c r="B82" s="119"/>
      <c r="C82" s="120"/>
      <c r="D82" s="120"/>
      <c r="E82" s="120"/>
      <c r="F82" s="120"/>
      <c r="G82" s="120"/>
      <c r="H82" s="120"/>
      <c r="I82" s="120"/>
      <c r="J82" s="88"/>
      <c r="K82" s="195"/>
      <c r="L82" s="17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181"/>
      <c r="B83" s="184" t="s">
        <v>296</v>
      </c>
      <c r="C83" s="140"/>
      <c r="D83" s="140"/>
      <c r="E83" s="140"/>
      <c r="F83" s="140"/>
      <c r="G83" s="140"/>
      <c r="H83" s="140"/>
      <c r="I83" s="140"/>
      <c r="J83" s="86"/>
      <c r="K83" s="195"/>
      <c r="L83" s="17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185"/>
      <c r="B84" s="186"/>
      <c r="C84" s="129"/>
      <c r="D84" s="129"/>
      <c r="E84" s="129"/>
      <c r="F84" s="129"/>
      <c r="G84" s="129"/>
      <c r="H84" s="129"/>
      <c r="I84" s="129"/>
      <c r="J84" s="187"/>
      <c r="K84" s="195"/>
      <c r="L84" s="17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181"/>
      <c r="B85" s="184" t="s">
        <v>297</v>
      </c>
      <c r="C85" s="140"/>
      <c r="D85" s="140"/>
      <c r="E85" s="140"/>
      <c r="F85" s="140"/>
      <c r="G85" s="140"/>
      <c r="H85" s="140"/>
      <c r="I85" s="140"/>
      <c r="J85" s="86"/>
      <c r="K85" s="195"/>
      <c r="L85" s="17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189"/>
      <c r="B86" s="147"/>
      <c r="C86" s="93"/>
      <c r="D86" s="93"/>
      <c r="E86" s="93"/>
      <c r="F86" s="93"/>
      <c r="G86" s="93"/>
      <c r="H86" s="93"/>
      <c r="I86" s="93"/>
      <c r="J86" s="148"/>
      <c r="K86" s="147"/>
      <c r="L86" s="17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170" t="s">
        <v>298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7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154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17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197" t="s">
        <v>299</v>
      </c>
      <c r="B90" s="117"/>
      <c r="C90" s="117"/>
      <c r="D90" s="117"/>
      <c r="E90" s="117"/>
      <c r="F90" s="117"/>
      <c r="G90" s="117"/>
      <c r="H90" s="117"/>
      <c r="I90" s="117"/>
      <c r="J90" s="118"/>
      <c r="K90" s="198" t="s">
        <v>300</v>
      </c>
      <c r="L90" s="178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87"/>
      <c r="B91" s="120"/>
      <c r="C91" s="120"/>
      <c r="D91" s="120"/>
      <c r="E91" s="120"/>
      <c r="F91" s="120"/>
      <c r="G91" s="120"/>
      <c r="H91" s="120"/>
      <c r="I91" s="120"/>
      <c r="J91" s="88"/>
      <c r="K91" s="119"/>
      <c r="L91" s="138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85" t="s">
        <v>301</v>
      </c>
      <c r="B92" s="140"/>
      <c r="C92" s="140"/>
      <c r="D92" s="140"/>
      <c r="E92" s="140"/>
      <c r="F92" s="140"/>
      <c r="G92" s="140"/>
      <c r="H92" s="140"/>
      <c r="I92" s="140"/>
      <c r="J92" s="86"/>
      <c r="K92" s="194">
        <f>SUM(K186,L115,L150,K192,K238,K246,K254)</f>
        <v>0</v>
      </c>
      <c r="L92" s="14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87"/>
      <c r="B93" s="120"/>
      <c r="C93" s="120"/>
      <c r="D93" s="120"/>
      <c r="E93" s="120"/>
      <c r="F93" s="120"/>
      <c r="G93" s="120"/>
      <c r="H93" s="120"/>
      <c r="I93" s="120"/>
      <c r="J93" s="88"/>
      <c r="K93" s="119"/>
      <c r="L93" s="138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85" t="s">
        <v>302</v>
      </c>
      <c r="B94" s="140"/>
      <c r="C94" s="140"/>
      <c r="D94" s="140"/>
      <c r="E94" s="140"/>
      <c r="F94" s="140"/>
      <c r="G94" s="140"/>
      <c r="H94" s="140"/>
      <c r="I94" s="140"/>
      <c r="J94" s="86"/>
      <c r="K94" s="194">
        <f>SUM(K293,K297)</f>
        <v>0</v>
      </c>
      <c r="L94" s="14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87"/>
      <c r="B95" s="120"/>
      <c r="C95" s="120"/>
      <c r="D95" s="120"/>
      <c r="E95" s="120"/>
      <c r="F95" s="120"/>
      <c r="G95" s="120"/>
      <c r="H95" s="120"/>
      <c r="I95" s="120"/>
      <c r="J95" s="88"/>
      <c r="K95" s="119"/>
      <c r="L95" s="138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85" t="s">
        <v>303</v>
      </c>
      <c r="B96" s="140"/>
      <c r="C96" s="140"/>
      <c r="D96" s="140"/>
      <c r="E96" s="140"/>
      <c r="F96" s="140"/>
      <c r="G96" s="140"/>
      <c r="H96" s="140"/>
      <c r="I96" s="140"/>
      <c r="J96" s="86"/>
      <c r="K96" s="194">
        <f>K305</f>
        <v>0</v>
      </c>
      <c r="L96" s="14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87"/>
      <c r="B97" s="120"/>
      <c r="C97" s="120"/>
      <c r="D97" s="120"/>
      <c r="E97" s="120"/>
      <c r="F97" s="120"/>
      <c r="G97" s="120"/>
      <c r="H97" s="120"/>
      <c r="I97" s="120"/>
      <c r="J97" s="88"/>
      <c r="K97" s="119"/>
      <c r="L97" s="138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85" t="s">
        <v>304</v>
      </c>
      <c r="B98" s="140"/>
      <c r="C98" s="140"/>
      <c r="D98" s="140"/>
      <c r="E98" s="140"/>
      <c r="F98" s="140"/>
      <c r="G98" s="140"/>
      <c r="H98" s="140"/>
      <c r="I98" s="140"/>
      <c r="J98" s="86"/>
      <c r="K98" s="194">
        <f>K309</f>
        <v>0</v>
      </c>
      <c r="L98" s="14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87"/>
      <c r="B99" s="120"/>
      <c r="C99" s="120"/>
      <c r="D99" s="120"/>
      <c r="E99" s="120"/>
      <c r="F99" s="120"/>
      <c r="G99" s="120"/>
      <c r="H99" s="120"/>
      <c r="I99" s="120"/>
      <c r="J99" s="88"/>
      <c r="K99" s="119"/>
      <c r="L99" s="138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199" t="s">
        <v>287</v>
      </c>
      <c r="B100" s="140"/>
      <c r="C100" s="140"/>
      <c r="D100" s="140"/>
      <c r="E100" s="140"/>
      <c r="F100" s="140"/>
      <c r="G100" s="140"/>
      <c r="H100" s="140"/>
      <c r="I100" s="140"/>
      <c r="J100" s="86"/>
      <c r="K100" s="200">
        <f>SUM(K92:L99)</f>
        <v>0</v>
      </c>
      <c r="L100" s="14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154"/>
      <c r="B101" s="93"/>
      <c r="C101" s="93"/>
      <c r="D101" s="93"/>
      <c r="E101" s="93"/>
      <c r="F101" s="93"/>
      <c r="G101" s="93"/>
      <c r="H101" s="93"/>
      <c r="I101" s="93"/>
      <c r="J101" s="148"/>
      <c r="K101" s="147"/>
      <c r="L101" s="17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201" t="s">
        <v>305</v>
      </c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7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154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17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>
      <c r="A106" s="202" t="s">
        <v>306</v>
      </c>
      <c r="B106" s="126"/>
      <c r="C106" s="126"/>
      <c r="D106" s="126"/>
      <c r="E106" s="126"/>
      <c r="F106" s="126"/>
      <c r="G106" s="126"/>
      <c r="H106" s="126"/>
      <c r="I106" s="126"/>
      <c r="J106" s="146"/>
      <c r="K106" s="203">
        <f>K108</f>
        <v>0</v>
      </c>
      <c r="L106" s="127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87"/>
      <c r="B107" s="120"/>
      <c r="C107" s="120"/>
      <c r="D107" s="120"/>
      <c r="E107" s="120"/>
      <c r="F107" s="120"/>
      <c r="G107" s="120"/>
      <c r="H107" s="120"/>
      <c r="I107" s="120"/>
      <c r="J107" s="88"/>
      <c r="K107" s="119"/>
      <c r="L107" s="13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>
      <c r="A108" s="204" t="s">
        <v>307</v>
      </c>
      <c r="B108" s="140"/>
      <c r="C108" s="140"/>
      <c r="D108" s="140"/>
      <c r="E108" s="140"/>
      <c r="F108" s="140"/>
      <c r="G108" s="140"/>
      <c r="H108" s="140"/>
      <c r="I108" s="140"/>
      <c r="J108" s="86"/>
      <c r="K108" s="205"/>
      <c r="L108" s="14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154"/>
      <c r="B109" s="93"/>
      <c r="C109" s="93"/>
      <c r="D109" s="93"/>
      <c r="E109" s="93"/>
      <c r="F109" s="93"/>
      <c r="G109" s="93"/>
      <c r="H109" s="93"/>
      <c r="I109" s="93"/>
      <c r="J109" s="148"/>
      <c r="K109" s="147"/>
      <c r="L109" s="17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206" t="s">
        <v>308</v>
      </c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97" customHeight="1">
      <c r="A113" s="207" t="s">
        <v>309</v>
      </c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208" t="s">
        <v>310</v>
      </c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153" t="s">
        <v>311</v>
      </c>
      <c r="B115" s="146"/>
      <c r="C115" s="145" t="s">
        <v>312</v>
      </c>
      <c r="D115" s="126"/>
      <c r="E115" s="146"/>
      <c r="F115" s="145" t="s">
        <v>313</v>
      </c>
      <c r="G115" s="146"/>
      <c r="H115" s="149" t="s">
        <v>314</v>
      </c>
      <c r="I115" s="149" t="s">
        <v>315</v>
      </c>
      <c r="J115" s="149" t="s">
        <v>316</v>
      </c>
      <c r="K115" s="149" t="s">
        <v>317</v>
      </c>
      <c r="L115" s="151">
        <f>SUM(L117:L147)</f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65.25" customHeight="1">
      <c r="A116" s="154"/>
      <c r="B116" s="148"/>
      <c r="C116" s="147"/>
      <c r="D116" s="93"/>
      <c r="E116" s="148"/>
      <c r="F116" s="147"/>
      <c r="G116" s="148"/>
      <c r="H116" s="150"/>
      <c r="I116" s="150"/>
      <c r="J116" s="150"/>
      <c r="K116" s="150"/>
      <c r="L116" s="15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155"/>
      <c r="B117" s="83"/>
      <c r="C117" s="156"/>
      <c r="D117" s="95"/>
      <c r="E117" s="157"/>
      <c r="F117" s="158"/>
      <c r="G117" s="157"/>
      <c r="H117" s="13"/>
      <c r="I117" s="14"/>
      <c r="J117" s="15"/>
      <c r="K117" s="16"/>
      <c r="L117" s="17">
        <f t="shared" ref="L117:L147" si="0">J117*K117</f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155"/>
      <c r="B118" s="83"/>
      <c r="C118" s="159"/>
      <c r="D118" s="79"/>
      <c r="E118" s="83"/>
      <c r="F118" s="160"/>
      <c r="G118" s="83"/>
      <c r="H118" s="18"/>
      <c r="I118" s="19"/>
      <c r="J118" s="20"/>
      <c r="K118" s="21"/>
      <c r="L118" s="17">
        <f t="shared" si="0"/>
        <v>0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8.75" customHeight="1">
      <c r="A119" s="155"/>
      <c r="B119" s="83"/>
      <c r="C119" s="159"/>
      <c r="D119" s="79"/>
      <c r="E119" s="83"/>
      <c r="F119" s="160"/>
      <c r="G119" s="83"/>
      <c r="H119" s="18"/>
      <c r="I119" s="19"/>
      <c r="J119" s="20"/>
      <c r="K119" s="21"/>
      <c r="L119" s="17">
        <f t="shared" si="0"/>
        <v>0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8.75" customHeight="1">
      <c r="A120" s="155"/>
      <c r="B120" s="83"/>
      <c r="C120" s="159"/>
      <c r="D120" s="79"/>
      <c r="E120" s="83"/>
      <c r="F120" s="160"/>
      <c r="G120" s="83"/>
      <c r="H120" s="18"/>
      <c r="I120" s="19"/>
      <c r="J120" s="20"/>
      <c r="K120" s="21"/>
      <c r="L120" s="17">
        <f t="shared" si="0"/>
        <v>0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8.75" customHeight="1">
      <c r="A121" s="155"/>
      <c r="B121" s="83"/>
      <c r="C121" s="159"/>
      <c r="D121" s="79"/>
      <c r="E121" s="83"/>
      <c r="F121" s="161"/>
      <c r="G121" s="83"/>
      <c r="H121" s="18"/>
      <c r="I121" s="19"/>
      <c r="J121" s="20"/>
      <c r="K121" s="21"/>
      <c r="L121" s="17">
        <f t="shared" si="0"/>
        <v>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8.75" customHeight="1">
      <c r="A122" s="155"/>
      <c r="B122" s="83"/>
      <c r="C122" s="159"/>
      <c r="D122" s="79"/>
      <c r="E122" s="83"/>
      <c r="F122" s="161"/>
      <c r="G122" s="83"/>
      <c r="H122" s="18"/>
      <c r="I122" s="19"/>
      <c r="J122" s="20"/>
      <c r="K122" s="21"/>
      <c r="L122" s="17">
        <f t="shared" si="0"/>
        <v>0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8.75" customHeight="1">
      <c r="A123" s="155"/>
      <c r="B123" s="83"/>
      <c r="C123" s="159"/>
      <c r="D123" s="79"/>
      <c r="E123" s="83"/>
      <c r="F123" s="161"/>
      <c r="G123" s="83"/>
      <c r="H123" s="18"/>
      <c r="I123" s="19"/>
      <c r="J123" s="20"/>
      <c r="K123" s="21"/>
      <c r="L123" s="17">
        <f t="shared" si="0"/>
        <v>0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8.75" customHeight="1">
      <c r="A124" s="155"/>
      <c r="B124" s="83"/>
      <c r="C124" s="159"/>
      <c r="D124" s="79"/>
      <c r="E124" s="83"/>
      <c r="F124" s="161"/>
      <c r="G124" s="83"/>
      <c r="H124" s="18"/>
      <c r="I124" s="19"/>
      <c r="J124" s="20"/>
      <c r="K124" s="21"/>
      <c r="L124" s="17">
        <f t="shared" si="0"/>
        <v>0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8.75" customHeight="1">
      <c r="A125" s="155"/>
      <c r="B125" s="83"/>
      <c r="C125" s="159"/>
      <c r="D125" s="79"/>
      <c r="E125" s="83"/>
      <c r="F125" s="161"/>
      <c r="G125" s="83"/>
      <c r="H125" s="18"/>
      <c r="I125" s="19"/>
      <c r="J125" s="20"/>
      <c r="K125" s="21"/>
      <c r="L125" s="17">
        <f t="shared" si="0"/>
        <v>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8.75" customHeight="1">
      <c r="A126" s="155"/>
      <c r="B126" s="83"/>
      <c r="C126" s="159"/>
      <c r="D126" s="79"/>
      <c r="E126" s="83"/>
      <c r="F126" s="161"/>
      <c r="G126" s="83"/>
      <c r="H126" s="18"/>
      <c r="I126" s="19"/>
      <c r="J126" s="20"/>
      <c r="K126" s="21"/>
      <c r="L126" s="17">
        <f t="shared" si="0"/>
        <v>0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8.75" customHeight="1">
      <c r="A127" s="155"/>
      <c r="B127" s="83"/>
      <c r="C127" s="159"/>
      <c r="D127" s="79"/>
      <c r="E127" s="83"/>
      <c r="F127" s="161"/>
      <c r="G127" s="83"/>
      <c r="H127" s="18"/>
      <c r="I127" s="19"/>
      <c r="J127" s="20"/>
      <c r="K127" s="21"/>
      <c r="L127" s="17">
        <f t="shared" si="0"/>
        <v>0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8.75" customHeight="1">
      <c r="A128" s="155"/>
      <c r="B128" s="83"/>
      <c r="C128" s="159"/>
      <c r="D128" s="79"/>
      <c r="E128" s="83"/>
      <c r="F128" s="161"/>
      <c r="G128" s="83"/>
      <c r="H128" s="18"/>
      <c r="I128" s="19"/>
      <c r="J128" s="20"/>
      <c r="K128" s="21"/>
      <c r="L128" s="17">
        <f t="shared" si="0"/>
        <v>0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8.75" customHeight="1">
      <c r="A129" s="155"/>
      <c r="B129" s="83"/>
      <c r="C129" s="162"/>
      <c r="D129" s="79"/>
      <c r="E129" s="83"/>
      <c r="F129" s="161"/>
      <c r="G129" s="83"/>
      <c r="H129" s="23"/>
      <c r="I129" s="19"/>
      <c r="J129" s="20"/>
      <c r="K129" s="24"/>
      <c r="L129" s="17">
        <f t="shared" si="0"/>
        <v>0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8.75" customHeight="1">
      <c r="A130" s="155"/>
      <c r="B130" s="83"/>
      <c r="C130" s="162"/>
      <c r="D130" s="79"/>
      <c r="E130" s="83"/>
      <c r="F130" s="161"/>
      <c r="G130" s="83"/>
      <c r="H130" s="23"/>
      <c r="I130" s="19"/>
      <c r="J130" s="20"/>
      <c r="K130" s="24"/>
      <c r="L130" s="17">
        <f t="shared" si="0"/>
        <v>0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8.75" customHeight="1">
      <c r="A131" s="155"/>
      <c r="B131" s="83"/>
      <c r="C131" s="162"/>
      <c r="D131" s="79"/>
      <c r="E131" s="83"/>
      <c r="F131" s="161"/>
      <c r="G131" s="83"/>
      <c r="H131" s="23"/>
      <c r="I131" s="19"/>
      <c r="J131" s="20"/>
      <c r="K131" s="24"/>
      <c r="L131" s="17">
        <f t="shared" si="0"/>
        <v>0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8.75" customHeight="1">
      <c r="A132" s="155"/>
      <c r="B132" s="83"/>
      <c r="C132" s="162"/>
      <c r="D132" s="79"/>
      <c r="E132" s="83"/>
      <c r="F132" s="161"/>
      <c r="G132" s="83"/>
      <c r="H132" s="23"/>
      <c r="I132" s="19"/>
      <c r="J132" s="20"/>
      <c r="K132" s="24"/>
      <c r="L132" s="17">
        <f t="shared" si="0"/>
        <v>0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8.75" customHeight="1">
      <c r="A133" s="155"/>
      <c r="B133" s="83"/>
      <c r="C133" s="162"/>
      <c r="D133" s="79"/>
      <c r="E133" s="83"/>
      <c r="F133" s="161"/>
      <c r="G133" s="83"/>
      <c r="H133" s="23"/>
      <c r="I133" s="19"/>
      <c r="J133" s="20"/>
      <c r="K133" s="24"/>
      <c r="L133" s="17">
        <f t="shared" si="0"/>
        <v>0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8.75" customHeight="1">
      <c r="A134" s="155"/>
      <c r="B134" s="83"/>
      <c r="C134" s="162"/>
      <c r="D134" s="79"/>
      <c r="E134" s="83"/>
      <c r="F134" s="161"/>
      <c r="G134" s="83"/>
      <c r="H134" s="23"/>
      <c r="I134" s="19"/>
      <c r="J134" s="20"/>
      <c r="K134" s="24"/>
      <c r="L134" s="17">
        <f t="shared" si="0"/>
        <v>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8.75" customHeight="1">
      <c r="A135" s="155"/>
      <c r="B135" s="83"/>
      <c r="C135" s="162"/>
      <c r="D135" s="79"/>
      <c r="E135" s="83"/>
      <c r="F135" s="161"/>
      <c r="G135" s="83"/>
      <c r="H135" s="23"/>
      <c r="I135" s="19"/>
      <c r="J135" s="20"/>
      <c r="K135" s="24"/>
      <c r="L135" s="17">
        <f t="shared" si="0"/>
        <v>0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8.75" customHeight="1">
      <c r="A136" s="155"/>
      <c r="B136" s="83"/>
      <c r="C136" s="162"/>
      <c r="D136" s="79"/>
      <c r="E136" s="83"/>
      <c r="F136" s="161"/>
      <c r="G136" s="83"/>
      <c r="H136" s="23"/>
      <c r="I136" s="19"/>
      <c r="J136" s="20"/>
      <c r="K136" s="24"/>
      <c r="L136" s="17">
        <f t="shared" si="0"/>
        <v>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8.75" customHeight="1">
      <c r="A137" s="155"/>
      <c r="B137" s="83"/>
      <c r="C137" s="162"/>
      <c r="D137" s="79"/>
      <c r="E137" s="83"/>
      <c r="F137" s="161"/>
      <c r="G137" s="83"/>
      <c r="H137" s="23"/>
      <c r="I137" s="19"/>
      <c r="J137" s="20"/>
      <c r="K137" s="24"/>
      <c r="L137" s="17">
        <f t="shared" si="0"/>
        <v>0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8.75" customHeight="1">
      <c r="A138" s="155"/>
      <c r="B138" s="83"/>
      <c r="C138" s="162"/>
      <c r="D138" s="79"/>
      <c r="E138" s="83"/>
      <c r="F138" s="161"/>
      <c r="G138" s="83"/>
      <c r="H138" s="23"/>
      <c r="I138" s="19"/>
      <c r="J138" s="20"/>
      <c r="K138" s="24"/>
      <c r="L138" s="17">
        <f t="shared" si="0"/>
        <v>0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8.75" customHeight="1">
      <c r="A139" s="155"/>
      <c r="B139" s="83"/>
      <c r="C139" s="162"/>
      <c r="D139" s="79"/>
      <c r="E139" s="83"/>
      <c r="F139" s="161"/>
      <c r="G139" s="83"/>
      <c r="H139" s="23"/>
      <c r="I139" s="19"/>
      <c r="J139" s="20"/>
      <c r="K139" s="24"/>
      <c r="L139" s="17">
        <f t="shared" si="0"/>
        <v>0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8.75" customHeight="1">
      <c r="A140" s="155"/>
      <c r="B140" s="83"/>
      <c r="C140" s="162"/>
      <c r="D140" s="79"/>
      <c r="E140" s="83"/>
      <c r="F140" s="160"/>
      <c r="G140" s="83"/>
      <c r="H140" s="23"/>
      <c r="I140" s="19"/>
      <c r="J140" s="20"/>
      <c r="K140" s="24"/>
      <c r="L140" s="17">
        <f t="shared" si="0"/>
        <v>0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8.75" customHeight="1">
      <c r="A141" s="155"/>
      <c r="B141" s="83"/>
      <c r="C141" s="162"/>
      <c r="D141" s="79"/>
      <c r="E141" s="83"/>
      <c r="F141" s="160"/>
      <c r="G141" s="83"/>
      <c r="H141" s="23"/>
      <c r="I141" s="19"/>
      <c r="J141" s="20"/>
      <c r="K141" s="24"/>
      <c r="L141" s="17">
        <f t="shared" si="0"/>
        <v>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8.75" customHeight="1">
      <c r="A142" s="155"/>
      <c r="B142" s="83"/>
      <c r="C142" s="162"/>
      <c r="D142" s="79"/>
      <c r="E142" s="83"/>
      <c r="F142" s="160"/>
      <c r="G142" s="83"/>
      <c r="H142" s="23"/>
      <c r="I142" s="19"/>
      <c r="J142" s="20"/>
      <c r="K142" s="24"/>
      <c r="L142" s="17">
        <f t="shared" si="0"/>
        <v>0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8.75" customHeight="1">
      <c r="A143" s="155"/>
      <c r="B143" s="83"/>
      <c r="C143" s="162"/>
      <c r="D143" s="79"/>
      <c r="E143" s="83"/>
      <c r="F143" s="160"/>
      <c r="G143" s="83"/>
      <c r="H143" s="23"/>
      <c r="I143" s="19"/>
      <c r="J143" s="20"/>
      <c r="K143" s="24"/>
      <c r="L143" s="17">
        <f t="shared" si="0"/>
        <v>0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8.75" customHeight="1">
      <c r="A144" s="155"/>
      <c r="B144" s="83"/>
      <c r="C144" s="162"/>
      <c r="D144" s="79"/>
      <c r="E144" s="83"/>
      <c r="F144" s="160"/>
      <c r="G144" s="83"/>
      <c r="H144" s="23"/>
      <c r="I144" s="19"/>
      <c r="J144" s="20"/>
      <c r="K144" s="24"/>
      <c r="L144" s="17">
        <f t="shared" si="0"/>
        <v>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8.75" customHeight="1">
      <c r="A145" s="155"/>
      <c r="B145" s="83"/>
      <c r="C145" s="162"/>
      <c r="D145" s="79"/>
      <c r="E145" s="83"/>
      <c r="F145" s="160"/>
      <c r="G145" s="83"/>
      <c r="H145" s="23"/>
      <c r="I145" s="19"/>
      <c r="J145" s="20"/>
      <c r="K145" s="24"/>
      <c r="L145" s="17">
        <f t="shared" si="0"/>
        <v>0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8.75" customHeight="1">
      <c r="A146" s="155"/>
      <c r="B146" s="83"/>
      <c r="C146" s="162"/>
      <c r="D146" s="79"/>
      <c r="E146" s="83"/>
      <c r="F146" s="160"/>
      <c r="G146" s="83"/>
      <c r="H146" s="23"/>
      <c r="I146" s="19"/>
      <c r="J146" s="20"/>
      <c r="K146" s="24"/>
      <c r="L146" s="17">
        <f t="shared" si="0"/>
        <v>0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8.75" customHeight="1">
      <c r="A147" s="210"/>
      <c r="B147" s="211"/>
      <c r="C147" s="212"/>
      <c r="D147" s="168"/>
      <c r="E147" s="166"/>
      <c r="F147" s="213"/>
      <c r="G147" s="166"/>
      <c r="H147" s="25"/>
      <c r="I147" s="26"/>
      <c r="J147" s="27"/>
      <c r="K147" s="28"/>
      <c r="L147" s="29">
        <f t="shared" si="0"/>
        <v>0</v>
      </c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4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45" customHeight="1">
      <c r="A149" s="214" t="s">
        <v>318</v>
      </c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4" customHeight="1">
      <c r="A150" s="153" t="s">
        <v>311</v>
      </c>
      <c r="B150" s="146"/>
      <c r="C150" s="145" t="s">
        <v>312</v>
      </c>
      <c r="D150" s="126"/>
      <c r="E150" s="146"/>
      <c r="F150" s="217" t="s">
        <v>319</v>
      </c>
      <c r="G150" s="146"/>
      <c r="H150" s="149" t="s">
        <v>314</v>
      </c>
      <c r="I150" s="149" t="s">
        <v>320</v>
      </c>
      <c r="J150" s="149" t="s">
        <v>316</v>
      </c>
      <c r="K150" s="219" t="s">
        <v>317</v>
      </c>
      <c r="L150" s="220">
        <f>SUM(L152:L184)</f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.75" customHeight="1">
      <c r="A151" s="154"/>
      <c r="B151" s="148"/>
      <c r="C151" s="147"/>
      <c r="D151" s="93"/>
      <c r="E151" s="148"/>
      <c r="F151" s="218"/>
      <c r="G151" s="148"/>
      <c r="H151" s="150"/>
      <c r="I151" s="150"/>
      <c r="J151" s="150"/>
      <c r="K151" s="152"/>
      <c r="L151" s="22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155"/>
      <c r="B152" s="83"/>
      <c r="C152" s="162"/>
      <c r="D152" s="79"/>
      <c r="E152" s="83"/>
      <c r="F152" s="209"/>
      <c r="G152" s="83"/>
      <c r="H152" s="30"/>
      <c r="I152" s="31"/>
      <c r="J152" s="32"/>
      <c r="K152" s="33"/>
      <c r="L152" s="34">
        <f t="shared" ref="L152:L184" si="1">J152*K152</f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155"/>
      <c r="B153" s="83"/>
      <c r="C153" s="162"/>
      <c r="D153" s="79"/>
      <c r="E153" s="83"/>
      <c r="F153" s="209"/>
      <c r="G153" s="83"/>
      <c r="H153" s="23"/>
      <c r="I153" s="19"/>
      <c r="J153" s="20"/>
      <c r="K153" s="24"/>
      <c r="L153" s="17">
        <f t="shared" si="1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155"/>
      <c r="B154" s="83"/>
      <c r="C154" s="162"/>
      <c r="D154" s="79"/>
      <c r="E154" s="83"/>
      <c r="F154" s="209"/>
      <c r="G154" s="83"/>
      <c r="H154" s="23"/>
      <c r="I154" s="19"/>
      <c r="J154" s="20"/>
      <c r="K154" s="24"/>
      <c r="L154" s="17">
        <f t="shared" si="1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155"/>
      <c r="B155" s="83"/>
      <c r="C155" s="162"/>
      <c r="D155" s="79"/>
      <c r="E155" s="83"/>
      <c r="F155" s="209"/>
      <c r="G155" s="83"/>
      <c r="H155" s="23"/>
      <c r="I155" s="19"/>
      <c r="J155" s="20"/>
      <c r="K155" s="24"/>
      <c r="L155" s="17">
        <f t="shared" si="1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155"/>
      <c r="B156" s="83"/>
      <c r="C156" s="162"/>
      <c r="D156" s="79"/>
      <c r="E156" s="83"/>
      <c r="F156" s="209"/>
      <c r="G156" s="83"/>
      <c r="H156" s="23"/>
      <c r="I156" s="19"/>
      <c r="J156" s="20"/>
      <c r="K156" s="24"/>
      <c r="L156" s="17">
        <f t="shared" si="1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155"/>
      <c r="B157" s="83"/>
      <c r="C157" s="162"/>
      <c r="D157" s="79"/>
      <c r="E157" s="83"/>
      <c r="F157" s="209"/>
      <c r="G157" s="83"/>
      <c r="H157" s="23"/>
      <c r="I157" s="19"/>
      <c r="J157" s="20"/>
      <c r="K157" s="24"/>
      <c r="L157" s="17">
        <f t="shared" si="1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155"/>
      <c r="B158" s="83"/>
      <c r="C158" s="162"/>
      <c r="D158" s="79"/>
      <c r="E158" s="83"/>
      <c r="F158" s="209"/>
      <c r="G158" s="83"/>
      <c r="H158" s="23"/>
      <c r="I158" s="19"/>
      <c r="J158" s="20"/>
      <c r="K158" s="24"/>
      <c r="L158" s="17">
        <f t="shared" si="1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155"/>
      <c r="B159" s="83"/>
      <c r="C159" s="162"/>
      <c r="D159" s="79"/>
      <c r="E159" s="83"/>
      <c r="F159" s="209"/>
      <c r="G159" s="83"/>
      <c r="H159" s="23"/>
      <c r="I159" s="19"/>
      <c r="J159" s="20"/>
      <c r="K159" s="24"/>
      <c r="L159" s="17">
        <f t="shared" si="1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155"/>
      <c r="B160" s="83"/>
      <c r="C160" s="162"/>
      <c r="D160" s="79"/>
      <c r="E160" s="83"/>
      <c r="F160" s="209"/>
      <c r="G160" s="83"/>
      <c r="H160" s="23"/>
      <c r="I160" s="19"/>
      <c r="J160" s="20"/>
      <c r="K160" s="24"/>
      <c r="L160" s="17">
        <f t="shared" si="1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155"/>
      <c r="B161" s="83"/>
      <c r="C161" s="162"/>
      <c r="D161" s="79"/>
      <c r="E161" s="83"/>
      <c r="F161" s="209"/>
      <c r="G161" s="83"/>
      <c r="H161" s="23"/>
      <c r="I161" s="19"/>
      <c r="J161" s="20"/>
      <c r="K161" s="24"/>
      <c r="L161" s="17">
        <f t="shared" si="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155"/>
      <c r="B162" s="83"/>
      <c r="C162" s="162"/>
      <c r="D162" s="79"/>
      <c r="E162" s="83"/>
      <c r="F162" s="209"/>
      <c r="G162" s="83"/>
      <c r="H162" s="23"/>
      <c r="I162" s="19"/>
      <c r="J162" s="20"/>
      <c r="K162" s="24"/>
      <c r="L162" s="17">
        <f t="shared" si="1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155"/>
      <c r="B163" s="83"/>
      <c r="C163" s="162"/>
      <c r="D163" s="79"/>
      <c r="E163" s="83"/>
      <c r="F163" s="209"/>
      <c r="G163" s="83"/>
      <c r="H163" s="23"/>
      <c r="I163" s="19"/>
      <c r="J163" s="20"/>
      <c r="K163" s="24"/>
      <c r="L163" s="17">
        <f t="shared" si="1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155"/>
      <c r="B164" s="83"/>
      <c r="C164" s="162"/>
      <c r="D164" s="79"/>
      <c r="E164" s="83"/>
      <c r="F164" s="209"/>
      <c r="G164" s="83"/>
      <c r="H164" s="23"/>
      <c r="I164" s="19"/>
      <c r="J164" s="20"/>
      <c r="K164" s="24"/>
      <c r="L164" s="17">
        <f t="shared" si="1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155"/>
      <c r="B165" s="83"/>
      <c r="C165" s="162"/>
      <c r="D165" s="79"/>
      <c r="E165" s="83"/>
      <c r="F165" s="209"/>
      <c r="G165" s="83"/>
      <c r="H165" s="23"/>
      <c r="I165" s="19"/>
      <c r="J165" s="20"/>
      <c r="K165" s="24"/>
      <c r="L165" s="17">
        <f t="shared" si="1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155"/>
      <c r="B166" s="83"/>
      <c r="C166" s="162"/>
      <c r="D166" s="79"/>
      <c r="E166" s="83"/>
      <c r="F166" s="209"/>
      <c r="G166" s="83"/>
      <c r="H166" s="23"/>
      <c r="I166" s="19"/>
      <c r="J166" s="20"/>
      <c r="K166" s="24"/>
      <c r="L166" s="17">
        <f t="shared" si="1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155"/>
      <c r="B167" s="83"/>
      <c r="C167" s="162"/>
      <c r="D167" s="79"/>
      <c r="E167" s="83"/>
      <c r="F167" s="209"/>
      <c r="G167" s="83"/>
      <c r="H167" s="23"/>
      <c r="I167" s="19"/>
      <c r="J167" s="20"/>
      <c r="K167" s="24"/>
      <c r="L167" s="17">
        <f t="shared" si="1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155"/>
      <c r="B168" s="83"/>
      <c r="C168" s="162"/>
      <c r="D168" s="79"/>
      <c r="E168" s="83"/>
      <c r="F168" s="209"/>
      <c r="G168" s="83"/>
      <c r="H168" s="23"/>
      <c r="I168" s="19"/>
      <c r="J168" s="20"/>
      <c r="K168" s="24"/>
      <c r="L168" s="17">
        <f t="shared" si="1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155"/>
      <c r="B169" s="83"/>
      <c r="C169" s="162"/>
      <c r="D169" s="79"/>
      <c r="E169" s="83"/>
      <c r="F169" s="209"/>
      <c r="G169" s="83"/>
      <c r="H169" s="23"/>
      <c r="I169" s="19"/>
      <c r="J169" s="20"/>
      <c r="K169" s="24"/>
      <c r="L169" s="17">
        <f t="shared" si="1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155"/>
      <c r="B170" s="83"/>
      <c r="C170" s="162"/>
      <c r="D170" s="79"/>
      <c r="E170" s="83"/>
      <c r="F170" s="162"/>
      <c r="G170" s="83"/>
      <c r="H170" s="23"/>
      <c r="I170" s="19"/>
      <c r="J170" s="20"/>
      <c r="K170" s="24"/>
      <c r="L170" s="17">
        <f t="shared" si="1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155"/>
      <c r="B171" s="83"/>
      <c r="C171" s="162"/>
      <c r="D171" s="79"/>
      <c r="E171" s="83"/>
      <c r="F171" s="162"/>
      <c r="G171" s="83"/>
      <c r="H171" s="23"/>
      <c r="I171" s="19"/>
      <c r="J171" s="20"/>
      <c r="K171" s="24"/>
      <c r="L171" s="17">
        <f t="shared" si="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155"/>
      <c r="B172" s="83"/>
      <c r="C172" s="162"/>
      <c r="D172" s="79"/>
      <c r="E172" s="83"/>
      <c r="F172" s="162"/>
      <c r="G172" s="83"/>
      <c r="H172" s="23"/>
      <c r="I172" s="19"/>
      <c r="J172" s="20"/>
      <c r="K172" s="24"/>
      <c r="L172" s="17">
        <f t="shared" si="1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155"/>
      <c r="B173" s="83"/>
      <c r="C173" s="162"/>
      <c r="D173" s="79"/>
      <c r="E173" s="83"/>
      <c r="F173" s="162"/>
      <c r="G173" s="83"/>
      <c r="H173" s="23"/>
      <c r="I173" s="19"/>
      <c r="J173" s="20"/>
      <c r="K173" s="24"/>
      <c r="L173" s="17">
        <f t="shared" si="1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155"/>
      <c r="B174" s="83"/>
      <c r="C174" s="162"/>
      <c r="D174" s="79"/>
      <c r="E174" s="83"/>
      <c r="F174" s="162"/>
      <c r="G174" s="83"/>
      <c r="H174" s="23"/>
      <c r="I174" s="19"/>
      <c r="J174" s="20"/>
      <c r="K174" s="24"/>
      <c r="L174" s="17">
        <f t="shared" si="1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155"/>
      <c r="B175" s="83"/>
      <c r="C175" s="162"/>
      <c r="D175" s="79"/>
      <c r="E175" s="83"/>
      <c r="F175" s="162"/>
      <c r="G175" s="83"/>
      <c r="H175" s="23"/>
      <c r="I175" s="19"/>
      <c r="J175" s="20"/>
      <c r="K175" s="24"/>
      <c r="L175" s="17">
        <f t="shared" si="1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155"/>
      <c r="B176" s="83"/>
      <c r="C176" s="162"/>
      <c r="D176" s="79"/>
      <c r="E176" s="83"/>
      <c r="F176" s="162"/>
      <c r="G176" s="83"/>
      <c r="H176" s="23"/>
      <c r="I176" s="19"/>
      <c r="J176" s="20"/>
      <c r="K176" s="24"/>
      <c r="L176" s="17">
        <f t="shared" si="1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155"/>
      <c r="B177" s="83"/>
      <c r="C177" s="162"/>
      <c r="D177" s="79"/>
      <c r="E177" s="83"/>
      <c r="F177" s="162"/>
      <c r="G177" s="83"/>
      <c r="H177" s="23"/>
      <c r="I177" s="19"/>
      <c r="J177" s="20"/>
      <c r="K177" s="24"/>
      <c r="L177" s="17">
        <f t="shared" si="1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155"/>
      <c r="B178" s="83"/>
      <c r="C178" s="162"/>
      <c r="D178" s="79"/>
      <c r="E178" s="83"/>
      <c r="F178" s="162"/>
      <c r="G178" s="83"/>
      <c r="H178" s="23"/>
      <c r="I178" s="19"/>
      <c r="J178" s="20"/>
      <c r="K178" s="24"/>
      <c r="L178" s="17">
        <f t="shared" si="1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155"/>
      <c r="B179" s="83"/>
      <c r="C179" s="162"/>
      <c r="D179" s="79"/>
      <c r="E179" s="83"/>
      <c r="F179" s="162"/>
      <c r="G179" s="83"/>
      <c r="H179" s="23"/>
      <c r="I179" s="19"/>
      <c r="J179" s="20"/>
      <c r="K179" s="24"/>
      <c r="L179" s="17">
        <f t="shared" si="1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155"/>
      <c r="B180" s="83"/>
      <c r="C180" s="162"/>
      <c r="D180" s="79"/>
      <c r="E180" s="83"/>
      <c r="F180" s="162"/>
      <c r="G180" s="83"/>
      <c r="H180" s="23"/>
      <c r="I180" s="19"/>
      <c r="J180" s="20"/>
      <c r="K180" s="24"/>
      <c r="L180" s="17">
        <f t="shared" si="1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155"/>
      <c r="B181" s="83"/>
      <c r="C181" s="162"/>
      <c r="D181" s="79"/>
      <c r="E181" s="83"/>
      <c r="F181" s="162"/>
      <c r="G181" s="83"/>
      <c r="H181" s="23"/>
      <c r="I181" s="19"/>
      <c r="J181" s="20"/>
      <c r="K181" s="24"/>
      <c r="L181" s="17">
        <f t="shared" si="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155"/>
      <c r="B182" s="83"/>
      <c r="C182" s="162"/>
      <c r="D182" s="79"/>
      <c r="E182" s="83"/>
      <c r="F182" s="162"/>
      <c r="G182" s="83"/>
      <c r="H182" s="23"/>
      <c r="I182" s="19"/>
      <c r="J182" s="20"/>
      <c r="K182" s="24"/>
      <c r="L182" s="17">
        <f t="shared" si="1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155"/>
      <c r="B183" s="83"/>
      <c r="C183" s="162"/>
      <c r="D183" s="79"/>
      <c r="E183" s="83"/>
      <c r="F183" s="162"/>
      <c r="G183" s="83"/>
      <c r="H183" s="23"/>
      <c r="I183" s="19"/>
      <c r="J183" s="20"/>
      <c r="K183" s="24"/>
      <c r="L183" s="17">
        <f t="shared" si="1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237"/>
      <c r="B184" s="166"/>
      <c r="C184" s="212"/>
      <c r="D184" s="168"/>
      <c r="E184" s="166"/>
      <c r="F184" s="212"/>
      <c r="G184" s="166"/>
      <c r="H184" s="25"/>
      <c r="I184" s="26"/>
      <c r="J184" s="27"/>
      <c r="K184" s="28"/>
      <c r="L184" s="29">
        <f t="shared" si="1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222" t="s">
        <v>321</v>
      </c>
      <c r="B186" s="95"/>
      <c r="C186" s="95"/>
      <c r="D186" s="95"/>
      <c r="E186" s="95"/>
      <c r="F186" s="95"/>
      <c r="G186" s="95"/>
      <c r="H186" s="95"/>
      <c r="I186" s="95"/>
      <c r="J186" s="157"/>
      <c r="K186" s="223">
        <f>SUM(K187,K188,K189,K190)</f>
        <v>0</v>
      </c>
      <c r="L186" s="9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224" t="s">
        <v>322</v>
      </c>
      <c r="B187" s="79"/>
      <c r="C187" s="79"/>
      <c r="D187" s="79"/>
      <c r="E187" s="79"/>
      <c r="F187" s="79"/>
      <c r="G187" s="79"/>
      <c r="H187" s="79"/>
      <c r="I187" s="79"/>
      <c r="J187" s="83"/>
      <c r="K187" s="225"/>
      <c r="L187" s="8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224" t="s">
        <v>323</v>
      </c>
      <c r="B188" s="79"/>
      <c r="C188" s="79"/>
      <c r="D188" s="79"/>
      <c r="E188" s="79"/>
      <c r="F188" s="79"/>
      <c r="G188" s="79"/>
      <c r="H188" s="79"/>
      <c r="I188" s="79"/>
      <c r="J188" s="83"/>
      <c r="K188" s="225"/>
      <c r="L188" s="8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224" t="s">
        <v>324</v>
      </c>
      <c r="B189" s="79"/>
      <c r="C189" s="79"/>
      <c r="D189" s="79"/>
      <c r="E189" s="79"/>
      <c r="F189" s="79"/>
      <c r="G189" s="79"/>
      <c r="H189" s="79"/>
      <c r="I189" s="79"/>
      <c r="J189" s="83"/>
      <c r="K189" s="225"/>
      <c r="L189" s="8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226" t="s">
        <v>325</v>
      </c>
      <c r="B190" s="98"/>
      <c r="C190" s="98"/>
      <c r="D190" s="98"/>
      <c r="E190" s="98"/>
      <c r="F190" s="98"/>
      <c r="G190" s="98"/>
      <c r="H190" s="98"/>
      <c r="I190" s="98"/>
      <c r="J190" s="191"/>
      <c r="K190" s="227"/>
      <c r="L190" s="99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6"/>
      <c r="L191" s="3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197" t="s">
        <v>326</v>
      </c>
      <c r="B192" s="117"/>
      <c r="C192" s="117"/>
      <c r="D192" s="117"/>
      <c r="E192" s="117"/>
      <c r="F192" s="117"/>
      <c r="G192" s="117"/>
      <c r="H192" s="117"/>
      <c r="I192" s="117"/>
      <c r="J192" s="118"/>
      <c r="K192" s="228">
        <f>SUM(K194:L236)</f>
        <v>0</v>
      </c>
      <c r="L192" s="178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154"/>
      <c r="B193" s="93"/>
      <c r="C193" s="93"/>
      <c r="D193" s="93"/>
      <c r="E193" s="93"/>
      <c r="F193" s="93"/>
      <c r="G193" s="93"/>
      <c r="H193" s="93"/>
      <c r="I193" s="93"/>
      <c r="J193" s="148"/>
      <c r="K193" s="147"/>
      <c r="L193" s="17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7" t="s">
        <v>327</v>
      </c>
      <c r="B194" s="38"/>
      <c r="C194" s="38"/>
      <c r="D194" s="38"/>
      <c r="E194" s="38"/>
      <c r="F194" s="38"/>
      <c r="G194" s="38"/>
      <c r="H194" s="38"/>
      <c r="I194" s="38"/>
      <c r="J194" s="39"/>
      <c r="K194" s="229"/>
      <c r="L194" s="9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40" t="s">
        <v>328</v>
      </c>
      <c r="B195" s="41"/>
      <c r="C195" s="41"/>
      <c r="D195" s="41"/>
      <c r="E195" s="41"/>
      <c r="F195" s="41"/>
      <c r="G195" s="41"/>
      <c r="H195" s="41"/>
      <c r="I195" s="41"/>
      <c r="J195" s="42"/>
      <c r="K195" s="225"/>
      <c r="L195" s="8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40" t="s">
        <v>329</v>
      </c>
      <c r="B196" s="41"/>
      <c r="C196" s="41"/>
      <c r="D196" s="41"/>
      <c r="E196" s="41"/>
      <c r="F196" s="41"/>
      <c r="G196" s="41"/>
      <c r="H196" s="41"/>
      <c r="I196" s="41"/>
      <c r="J196" s="42"/>
      <c r="K196" s="225"/>
      <c r="L196" s="8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40" t="s">
        <v>330</v>
      </c>
      <c r="B197" s="41"/>
      <c r="C197" s="41"/>
      <c r="D197" s="41"/>
      <c r="E197" s="41"/>
      <c r="F197" s="41"/>
      <c r="G197" s="41"/>
      <c r="H197" s="41"/>
      <c r="I197" s="41"/>
      <c r="J197" s="42"/>
      <c r="K197" s="225"/>
      <c r="L197" s="8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40" t="s">
        <v>331</v>
      </c>
      <c r="B198" s="41"/>
      <c r="C198" s="41"/>
      <c r="D198" s="41"/>
      <c r="E198" s="41"/>
      <c r="F198" s="41"/>
      <c r="G198" s="41"/>
      <c r="H198" s="41"/>
      <c r="I198" s="41"/>
      <c r="J198" s="42"/>
      <c r="K198" s="225"/>
      <c r="L198" s="8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40" t="s">
        <v>332</v>
      </c>
      <c r="B199" s="41"/>
      <c r="C199" s="41"/>
      <c r="D199" s="41"/>
      <c r="E199" s="41"/>
      <c r="F199" s="41"/>
      <c r="G199" s="41"/>
      <c r="H199" s="41"/>
      <c r="I199" s="41"/>
      <c r="J199" s="42"/>
      <c r="K199" s="225"/>
      <c r="L199" s="8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40" t="s">
        <v>333</v>
      </c>
      <c r="B200" s="41"/>
      <c r="C200" s="41"/>
      <c r="D200" s="41"/>
      <c r="E200" s="41"/>
      <c r="F200" s="41"/>
      <c r="G200" s="41"/>
      <c r="H200" s="41"/>
      <c r="I200" s="41"/>
      <c r="J200" s="42"/>
      <c r="K200" s="225"/>
      <c r="L200" s="8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40" t="s">
        <v>334</v>
      </c>
      <c r="B201" s="41"/>
      <c r="C201" s="41"/>
      <c r="D201" s="41"/>
      <c r="E201" s="41"/>
      <c r="F201" s="41"/>
      <c r="G201" s="41"/>
      <c r="H201" s="41"/>
      <c r="I201" s="41"/>
      <c r="J201" s="42"/>
      <c r="K201" s="225"/>
      <c r="L201" s="8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40" t="s">
        <v>335</v>
      </c>
      <c r="B202" s="41"/>
      <c r="C202" s="41"/>
      <c r="D202" s="41"/>
      <c r="E202" s="41"/>
      <c r="F202" s="41"/>
      <c r="G202" s="41"/>
      <c r="H202" s="41"/>
      <c r="I202" s="41"/>
      <c r="J202" s="42"/>
      <c r="K202" s="225"/>
      <c r="L202" s="8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40" t="s">
        <v>336</v>
      </c>
      <c r="B203" s="41"/>
      <c r="C203" s="41"/>
      <c r="D203" s="41"/>
      <c r="E203" s="41"/>
      <c r="F203" s="41"/>
      <c r="G203" s="41"/>
      <c r="H203" s="41"/>
      <c r="I203" s="41"/>
      <c r="J203" s="42"/>
      <c r="K203" s="225"/>
      <c r="L203" s="8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40" t="s">
        <v>337</v>
      </c>
      <c r="B204" s="41"/>
      <c r="C204" s="41"/>
      <c r="D204" s="41"/>
      <c r="E204" s="41"/>
      <c r="F204" s="41"/>
      <c r="G204" s="41"/>
      <c r="H204" s="41"/>
      <c r="I204" s="41"/>
      <c r="J204" s="42"/>
      <c r="K204" s="225"/>
      <c r="L204" s="8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40" t="s">
        <v>338</v>
      </c>
      <c r="B205" s="41"/>
      <c r="C205" s="41"/>
      <c r="D205" s="41"/>
      <c r="E205" s="41"/>
      <c r="F205" s="41"/>
      <c r="G205" s="41"/>
      <c r="H205" s="41"/>
      <c r="I205" s="41"/>
      <c r="J205" s="42"/>
      <c r="K205" s="225"/>
      <c r="L205" s="8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40" t="s">
        <v>339</v>
      </c>
      <c r="B206" s="41"/>
      <c r="C206" s="41"/>
      <c r="D206" s="41"/>
      <c r="E206" s="41"/>
      <c r="F206" s="41"/>
      <c r="G206" s="41"/>
      <c r="H206" s="41"/>
      <c r="I206" s="41"/>
      <c r="J206" s="42"/>
      <c r="K206" s="225"/>
      <c r="L206" s="8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40" t="s">
        <v>340</v>
      </c>
      <c r="B207" s="41"/>
      <c r="C207" s="41"/>
      <c r="D207" s="41"/>
      <c r="E207" s="41"/>
      <c r="F207" s="41"/>
      <c r="G207" s="41"/>
      <c r="H207" s="41"/>
      <c r="I207" s="41"/>
      <c r="J207" s="42"/>
      <c r="K207" s="225"/>
      <c r="L207" s="8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40" t="s">
        <v>341</v>
      </c>
      <c r="B208" s="41"/>
      <c r="C208" s="41"/>
      <c r="D208" s="41"/>
      <c r="E208" s="41"/>
      <c r="F208" s="41"/>
      <c r="G208" s="41"/>
      <c r="H208" s="41"/>
      <c r="I208" s="41"/>
      <c r="J208" s="42"/>
      <c r="K208" s="225"/>
      <c r="L208" s="8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40" t="s">
        <v>342</v>
      </c>
      <c r="B209" s="41"/>
      <c r="C209" s="41"/>
      <c r="D209" s="41"/>
      <c r="E209" s="41"/>
      <c r="F209" s="41"/>
      <c r="G209" s="41"/>
      <c r="H209" s="41"/>
      <c r="I209" s="41"/>
      <c r="J209" s="42"/>
      <c r="K209" s="225"/>
      <c r="L209" s="8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40" t="s">
        <v>343</v>
      </c>
      <c r="B210" s="41"/>
      <c r="C210" s="41"/>
      <c r="D210" s="41"/>
      <c r="E210" s="41"/>
      <c r="F210" s="41"/>
      <c r="G210" s="41"/>
      <c r="H210" s="41"/>
      <c r="I210" s="41"/>
      <c r="J210" s="42"/>
      <c r="K210" s="225"/>
      <c r="L210" s="8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40" t="s">
        <v>344</v>
      </c>
      <c r="B211" s="41"/>
      <c r="C211" s="41"/>
      <c r="D211" s="41"/>
      <c r="E211" s="41"/>
      <c r="F211" s="41"/>
      <c r="G211" s="41"/>
      <c r="H211" s="41"/>
      <c r="I211" s="41"/>
      <c r="J211" s="42"/>
      <c r="K211" s="225"/>
      <c r="L211" s="8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40" t="s">
        <v>345</v>
      </c>
      <c r="B212" s="41"/>
      <c r="C212" s="41"/>
      <c r="D212" s="41"/>
      <c r="E212" s="41"/>
      <c r="F212" s="41"/>
      <c r="G212" s="41"/>
      <c r="H212" s="41"/>
      <c r="I212" s="41"/>
      <c r="J212" s="42"/>
      <c r="K212" s="225"/>
      <c r="L212" s="8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40" t="s">
        <v>346</v>
      </c>
      <c r="B213" s="41"/>
      <c r="C213" s="41"/>
      <c r="D213" s="41"/>
      <c r="E213" s="41"/>
      <c r="F213" s="41"/>
      <c r="G213" s="41"/>
      <c r="H213" s="41"/>
      <c r="I213" s="41"/>
      <c r="J213" s="42"/>
      <c r="K213" s="225"/>
      <c r="L213" s="8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40" t="s">
        <v>347</v>
      </c>
      <c r="B214" s="41"/>
      <c r="C214" s="41"/>
      <c r="D214" s="41"/>
      <c r="E214" s="41"/>
      <c r="F214" s="41"/>
      <c r="G214" s="41"/>
      <c r="H214" s="41"/>
      <c r="I214" s="41"/>
      <c r="J214" s="42"/>
      <c r="K214" s="225"/>
      <c r="L214" s="8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40" t="s">
        <v>348</v>
      </c>
      <c r="B215" s="41"/>
      <c r="C215" s="41"/>
      <c r="D215" s="41"/>
      <c r="E215" s="41"/>
      <c r="F215" s="41"/>
      <c r="G215" s="41"/>
      <c r="H215" s="41"/>
      <c r="I215" s="41"/>
      <c r="J215" s="42"/>
      <c r="K215" s="225"/>
      <c r="L215" s="8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40" t="s">
        <v>349</v>
      </c>
      <c r="B216" s="41"/>
      <c r="C216" s="41"/>
      <c r="D216" s="41"/>
      <c r="E216" s="41"/>
      <c r="F216" s="41"/>
      <c r="G216" s="41"/>
      <c r="H216" s="41"/>
      <c r="I216" s="41"/>
      <c r="J216" s="42"/>
      <c r="K216" s="225"/>
      <c r="L216" s="8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40" t="s">
        <v>350</v>
      </c>
      <c r="B217" s="41"/>
      <c r="C217" s="41"/>
      <c r="D217" s="41"/>
      <c r="E217" s="41"/>
      <c r="F217" s="41"/>
      <c r="G217" s="41"/>
      <c r="H217" s="41"/>
      <c r="I217" s="41"/>
      <c r="J217" s="42"/>
      <c r="K217" s="225"/>
      <c r="L217" s="8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40" t="s">
        <v>351</v>
      </c>
      <c r="B218" s="41"/>
      <c r="C218" s="41"/>
      <c r="D218" s="41"/>
      <c r="E218" s="41"/>
      <c r="F218" s="41"/>
      <c r="G218" s="41"/>
      <c r="H218" s="41"/>
      <c r="I218" s="41"/>
      <c r="J218" s="42"/>
      <c r="K218" s="225"/>
      <c r="L218" s="8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40" t="s">
        <v>352</v>
      </c>
      <c r="B219" s="41"/>
      <c r="C219" s="41"/>
      <c r="D219" s="41"/>
      <c r="E219" s="41"/>
      <c r="F219" s="41"/>
      <c r="G219" s="41"/>
      <c r="H219" s="41"/>
      <c r="I219" s="41"/>
      <c r="J219" s="42"/>
      <c r="K219" s="225"/>
      <c r="L219" s="8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40" t="s">
        <v>353</v>
      </c>
      <c r="B220" s="41"/>
      <c r="C220" s="41"/>
      <c r="D220" s="41"/>
      <c r="E220" s="41"/>
      <c r="F220" s="41"/>
      <c r="G220" s="41"/>
      <c r="H220" s="41"/>
      <c r="I220" s="41"/>
      <c r="J220" s="42"/>
      <c r="K220" s="225"/>
      <c r="L220" s="8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40" t="s">
        <v>354</v>
      </c>
      <c r="B221" s="41"/>
      <c r="C221" s="41"/>
      <c r="D221" s="41"/>
      <c r="E221" s="41"/>
      <c r="F221" s="41"/>
      <c r="G221" s="41"/>
      <c r="H221" s="41"/>
      <c r="I221" s="41"/>
      <c r="J221" s="42"/>
      <c r="K221" s="225"/>
      <c r="L221" s="8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40" t="s">
        <v>355</v>
      </c>
      <c r="B222" s="41"/>
      <c r="C222" s="41"/>
      <c r="D222" s="41"/>
      <c r="E222" s="41"/>
      <c r="F222" s="41"/>
      <c r="G222" s="41"/>
      <c r="H222" s="41"/>
      <c r="I222" s="41"/>
      <c r="J222" s="42"/>
      <c r="K222" s="225"/>
      <c r="L222" s="8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40" t="s">
        <v>356</v>
      </c>
      <c r="B223" s="41"/>
      <c r="C223" s="41"/>
      <c r="D223" s="41"/>
      <c r="E223" s="41"/>
      <c r="F223" s="41"/>
      <c r="G223" s="41"/>
      <c r="H223" s="41"/>
      <c r="I223" s="41"/>
      <c r="J223" s="42"/>
      <c r="K223" s="225"/>
      <c r="L223" s="8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40" t="s">
        <v>357</v>
      </c>
      <c r="B224" s="41"/>
      <c r="C224" s="41"/>
      <c r="D224" s="41"/>
      <c r="E224" s="41"/>
      <c r="F224" s="41"/>
      <c r="G224" s="41"/>
      <c r="H224" s="41"/>
      <c r="I224" s="41"/>
      <c r="J224" s="42"/>
      <c r="K224" s="225"/>
      <c r="L224" s="8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40" t="s">
        <v>358</v>
      </c>
      <c r="B225" s="41"/>
      <c r="C225" s="41"/>
      <c r="D225" s="41"/>
      <c r="E225" s="41"/>
      <c r="F225" s="41"/>
      <c r="G225" s="41"/>
      <c r="H225" s="41"/>
      <c r="I225" s="41"/>
      <c r="J225" s="42"/>
      <c r="K225" s="225"/>
      <c r="L225" s="8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40" t="s">
        <v>359</v>
      </c>
      <c r="B226" s="41"/>
      <c r="C226" s="41"/>
      <c r="D226" s="41"/>
      <c r="E226" s="41"/>
      <c r="F226" s="41"/>
      <c r="G226" s="41"/>
      <c r="H226" s="41"/>
      <c r="I226" s="41"/>
      <c r="J226" s="42"/>
      <c r="K226" s="225"/>
      <c r="L226" s="8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40" t="s">
        <v>360</v>
      </c>
      <c r="B227" s="41"/>
      <c r="C227" s="41"/>
      <c r="D227" s="41"/>
      <c r="E227" s="41"/>
      <c r="F227" s="41"/>
      <c r="G227" s="41"/>
      <c r="H227" s="41"/>
      <c r="I227" s="41"/>
      <c r="J227" s="42"/>
      <c r="K227" s="225"/>
      <c r="L227" s="8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40" t="s">
        <v>361</v>
      </c>
      <c r="B228" s="41"/>
      <c r="C228" s="41"/>
      <c r="D228" s="41"/>
      <c r="E228" s="41"/>
      <c r="F228" s="41"/>
      <c r="G228" s="41"/>
      <c r="H228" s="41"/>
      <c r="I228" s="41"/>
      <c r="J228" s="42"/>
      <c r="K228" s="225"/>
      <c r="L228" s="8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40" t="s">
        <v>362</v>
      </c>
      <c r="B229" s="41"/>
      <c r="C229" s="41"/>
      <c r="D229" s="41"/>
      <c r="E229" s="41"/>
      <c r="F229" s="41"/>
      <c r="G229" s="41"/>
      <c r="H229" s="41"/>
      <c r="I229" s="41"/>
      <c r="J229" s="42"/>
      <c r="K229" s="225"/>
      <c r="L229" s="8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40" t="s">
        <v>363</v>
      </c>
      <c r="B230" s="41"/>
      <c r="C230" s="41"/>
      <c r="D230" s="41"/>
      <c r="E230" s="41"/>
      <c r="F230" s="41"/>
      <c r="G230" s="41"/>
      <c r="H230" s="41"/>
      <c r="I230" s="41"/>
      <c r="J230" s="42"/>
      <c r="K230" s="225"/>
      <c r="L230" s="8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40" t="s">
        <v>364</v>
      </c>
      <c r="B231" s="41"/>
      <c r="C231" s="41"/>
      <c r="D231" s="41"/>
      <c r="E231" s="41"/>
      <c r="F231" s="41"/>
      <c r="G231" s="41"/>
      <c r="H231" s="41"/>
      <c r="I231" s="41"/>
      <c r="J231" s="42"/>
      <c r="K231" s="225"/>
      <c r="L231" s="8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40" t="s">
        <v>365</v>
      </c>
      <c r="B232" s="41"/>
      <c r="C232" s="41"/>
      <c r="D232" s="41"/>
      <c r="E232" s="41"/>
      <c r="F232" s="41"/>
      <c r="G232" s="41"/>
      <c r="H232" s="41"/>
      <c r="I232" s="41"/>
      <c r="J232" s="42"/>
      <c r="K232" s="225"/>
      <c r="L232" s="8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40" t="s">
        <v>366</v>
      </c>
      <c r="B233" s="41"/>
      <c r="C233" s="41"/>
      <c r="D233" s="41"/>
      <c r="E233" s="41"/>
      <c r="F233" s="41"/>
      <c r="G233" s="41"/>
      <c r="H233" s="41"/>
      <c r="I233" s="41"/>
      <c r="J233" s="42"/>
      <c r="K233" s="225"/>
      <c r="L233" s="8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40" t="s">
        <v>367</v>
      </c>
      <c r="B234" s="41"/>
      <c r="C234" s="41"/>
      <c r="D234" s="41"/>
      <c r="E234" s="41"/>
      <c r="F234" s="41"/>
      <c r="G234" s="41"/>
      <c r="H234" s="41"/>
      <c r="I234" s="41"/>
      <c r="J234" s="42"/>
      <c r="K234" s="225"/>
      <c r="L234" s="8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40" t="s">
        <v>368</v>
      </c>
      <c r="B235" s="41"/>
      <c r="C235" s="41"/>
      <c r="D235" s="41"/>
      <c r="E235" s="41"/>
      <c r="F235" s="41"/>
      <c r="G235" s="41"/>
      <c r="H235" s="41"/>
      <c r="I235" s="41"/>
      <c r="J235" s="42"/>
      <c r="K235" s="225"/>
      <c r="L235" s="8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43" t="s">
        <v>369</v>
      </c>
      <c r="B236" s="44"/>
      <c r="C236" s="44"/>
      <c r="D236" s="44"/>
      <c r="E236" s="44"/>
      <c r="F236" s="44"/>
      <c r="G236" s="44"/>
      <c r="H236" s="44"/>
      <c r="I236" s="44"/>
      <c r="J236" s="45"/>
      <c r="K236" s="230"/>
      <c r="L236" s="169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201" t="s">
        <v>370</v>
      </c>
      <c r="B238" s="126"/>
      <c r="C238" s="126"/>
      <c r="D238" s="126"/>
      <c r="E238" s="126"/>
      <c r="F238" s="126"/>
      <c r="G238" s="126"/>
      <c r="H238" s="126"/>
      <c r="I238" s="126"/>
      <c r="J238" s="146"/>
      <c r="K238" s="231">
        <f>SUM(K240:L244)</f>
        <v>0</v>
      </c>
      <c r="L238" s="127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154"/>
      <c r="B239" s="93"/>
      <c r="C239" s="93"/>
      <c r="D239" s="93"/>
      <c r="E239" s="93"/>
      <c r="F239" s="93"/>
      <c r="G239" s="93"/>
      <c r="H239" s="93"/>
      <c r="I239" s="93"/>
      <c r="J239" s="148"/>
      <c r="K239" s="147"/>
      <c r="L239" s="17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46" t="s">
        <v>328</v>
      </c>
      <c r="B240" s="47"/>
      <c r="C240" s="47"/>
      <c r="D240" s="47"/>
      <c r="E240" s="47"/>
      <c r="F240" s="47"/>
      <c r="G240" s="47"/>
      <c r="H240" s="47"/>
      <c r="I240" s="47"/>
      <c r="J240" s="48"/>
      <c r="K240" s="232"/>
      <c r="L240" s="9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40" t="s">
        <v>329</v>
      </c>
      <c r="B241" s="41"/>
      <c r="C241" s="41"/>
      <c r="D241" s="41"/>
      <c r="E241" s="41"/>
      <c r="F241" s="41"/>
      <c r="G241" s="41"/>
      <c r="H241" s="41"/>
      <c r="I241" s="41"/>
      <c r="J241" s="42"/>
      <c r="K241" s="233"/>
      <c r="L241" s="8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40" t="s">
        <v>371</v>
      </c>
      <c r="B242" s="41"/>
      <c r="C242" s="41"/>
      <c r="D242" s="41"/>
      <c r="E242" s="41"/>
      <c r="F242" s="41"/>
      <c r="G242" s="41"/>
      <c r="H242" s="41"/>
      <c r="I242" s="41"/>
      <c r="J242" s="42"/>
      <c r="K242" s="233"/>
      <c r="L242" s="8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40" t="s">
        <v>372</v>
      </c>
      <c r="B243" s="41"/>
      <c r="C243" s="41"/>
      <c r="D243" s="41"/>
      <c r="E243" s="41"/>
      <c r="F243" s="41"/>
      <c r="G243" s="41"/>
      <c r="H243" s="41"/>
      <c r="I243" s="41"/>
      <c r="J243" s="42"/>
      <c r="K243" s="233"/>
      <c r="L243" s="8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43" t="s">
        <v>373</v>
      </c>
      <c r="B244" s="44"/>
      <c r="C244" s="44"/>
      <c r="D244" s="44"/>
      <c r="E244" s="44"/>
      <c r="F244" s="44"/>
      <c r="G244" s="44"/>
      <c r="H244" s="44"/>
      <c r="I244" s="44"/>
      <c r="J244" s="45"/>
      <c r="K244" s="234"/>
      <c r="L244" s="169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201" t="s">
        <v>374</v>
      </c>
      <c r="B246" s="126"/>
      <c r="C246" s="126"/>
      <c r="D246" s="126"/>
      <c r="E246" s="126"/>
      <c r="F246" s="126"/>
      <c r="G246" s="126"/>
      <c r="H246" s="126"/>
      <c r="I246" s="126"/>
      <c r="J246" s="146"/>
      <c r="K246" s="235">
        <f>SUM(K248:L252)</f>
        <v>0</v>
      </c>
      <c r="L246" s="127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154"/>
      <c r="B247" s="93"/>
      <c r="C247" s="93"/>
      <c r="D247" s="93"/>
      <c r="E247" s="93"/>
      <c r="F247" s="93"/>
      <c r="G247" s="93"/>
      <c r="H247" s="93"/>
      <c r="I247" s="93"/>
      <c r="J247" s="148"/>
      <c r="K247" s="147"/>
      <c r="L247" s="17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46" t="s">
        <v>375</v>
      </c>
      <c r="B248" s="47"/>
      <c r="C248" s="47"/>
      <c r="D248" s="47"/>
      <c r="E248" s="47"/>
      <c r="F248" s="47"/>
      <c r="G248" s="47"/>
      <c r="H248" s="47"/>
      <c r="I248" s="47"/>
      <c r="J248" s="48"/>
      <c r="K248" s="229"/>
      <c r="L248" s="9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40" t="s">
        <v>376</v>
      </c>
      <c r="B249" s="41"/>
      <c r="C249" s="41"/>
      <c r="D249" s="41"/>
      <c r="E249" s="41"/>
      <c r="F249" s="41"/>
      <c r="G249" s="41"/>
      <c r="H249" s="41"/>
      <c r="I249" s="41"/>
      <c r="J249" s="42"/>
      <c r="K249" s="225"/>
      <c r="L249" s="8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40" t="s">
        <v>377</v>
      </c>
      <c r="B250" s="41"/>
      <c r="C250" s="41"/>
      <c r="D250" s="41"/>
      <c r="E250" s="41"/>
      <c r="F250" s="41"/>
      <c r="G250" s="41"/>
      <c r="H250" s="41"/>
      <c r="I250" s="41"/>
      <c r="J250" s="42"/>
      <c r="K250" s="225"/>
      <c r="L250" s="8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40" t="s">
        <v>378</v>
      </c>
      <c r="B251" s="41"/>
      <c r="C251" s="41"/>
      <c r="D251" s="41"/>
      <c r="E251" s="41"/>
      <c r="F251" s="41"/>
      <c r="G251" s="41"/>
      <c r="H251" s="41"/>
      <c r="I251" s="41"/>
      <c r="J251" s="42"/>
      <c r="K251" s="225"/>
      <c r="L251" s="8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43" t="s">
        <v>379</v>
      </c>
      <c r="B252" s="44"/>
      <c r="C252" s="44"/>
      <c r="D252" s="44"/>
      <c r="E252" s="44"/>
      <c r="F252" s="44"/>
      <c r="G252" s="44"/>
      <c r="H252" s="44"/>
      <c r="I252" s="44"/>
      <c r="J252" s="45"/>
      <c r="K252" s="230"/>
      <c r="L252" s="169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201" t="s">
        <v>380</v>
      </c>
      <c r="B254" s="126"/>
      <c r="C254" s="126"/>
      <c r="D254" s="126"/>
      <c r="E254" s="126"/>
      <c r="F254" s="126"/>
      <c r="G254" s="126"/>
      <c r="H254" s="126"/>
      <c r="I254" s="126"/>
      <c r="J254" s="146"/>
      <c r="K254" s="231">
        <f>SUM(K256:L291)</f>
        <v>0</v>
      </c>
      <c r="L254" s="127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154"/>
      <c r="B255" s="93"/>
      <c r="C255" s="93"/>
      <c r="D255" s="93"/>
      <c r="E255" s="93"/>
      <c r="F255" s="93"/>
      <c r="G255" s="93"/>
      <c r="H255" s="93"/>
      <c r="I255" s="93"/>
      <c r="J255" s="148"/>
      <c r="K255" s="147"/>
      <c r="L255" s="17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46" t="s">
        <v>381</v>
      </c>
      <c r="B256" s="47"/>
      <c r="C256" s="47"/>
      <c r="D256" s="47"/>
      <c r="E256" s="47"/>
      <c r="F256" s="47"/>
      <c r="G256" s="47"/>
      <c r="H256" s="47"/>
      <c r="I256" s="47"/>
      <c r="J256" s="48"/>
      <c r="K256" s="229"/>
      <c r="L256" s="9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40" t="s">
        <v>382</v>
      </c>
      <c r="B257" s="41"/>
      <c r="C257" s="41"/>
      <c r="D257" s="41"/>
      <c r="E257" s="41"/>
      <c r="F257" s="41"/>
      <c r="G257" s="41"/>
      <c r="H257" s="41"/>
      <c r="I257" s="41"/>
      <c r="J257" s="42"/>
      <c r="K257" s="225"/>
      <c r="L257" s="8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40" t="s">
        <v>383</v>
      </c>
      <c r="B258" s="41"/>
      <c r="C258" s="41"/>
      <c r="D258" s="41"/>
      <c r="E258" s="41"/>
      <c r="F258" s="41"/>
      <c r="G258" s="41"/>
      <c r="H258" s="41"/>
      <c r="I258" s="41"/>
      <c r="J258" s="42"/>
      <c r="K258" s="225"/>
      <c r="L258" s="8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>
      <c r="A259" s="40" t="s">
        <v>384</v>
      </c>
      <c r="B259" s="41"/>
      <c r="C259" s="41"/>
      <c r="D259" s="41"/>
      <c r="E259" s="41"/>
      <c r="F259" s="41"/>
      <c r="G259" s="41"/>
      <c r="H259" s="41"/>
      <c r="I259" s="41"/>
      <c r="J259" s="42"/>
      <c r="K259" s="225"/>
      <c r="L259" s="8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40" t="s">
        <v>385</v>
      </c>
      <c r="B260" s="41"/>
      <c r="C260" s="41"/>
      <c r="D260" s="41"/>
      <c r="E260" s="41"/>
      <c r="F260" s="41"/>
      <c r="G260" s="41"/>
      <c r="H260" s="41"/>
      <c r="I260" s="41"/>
      <c r="J260" s="42"/>
      <c r="K260" s="225"/>
      <c r="L260" s="8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40" t="s">
        <v>386</v>
      </c>
      <c r="B261" s="41"/>
      <c r="C261" s="41"/>
      <c r="D261" s="41"/>
      <c r="E261" s="41"/>
      <c r="F261" s="41"/>
      <c r="G261" s="41"/>
      <c r="H261" s="41"/>
      <c r="I261" s="41"/>
      <c r="J261" s="42"/>
      <c r="K261" s="225"/>
      <c r="L261" s="8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40" t="s">
        <v>387</v>
      </c>
      <c r="B262" s="41"/>
      <c r="C262" s="41"/>
      <c r="D262" s="41"/>
      <c r="E262" s="41"/>
      <c r="F262" s="41"/>
      <c r="G262" s="41"/>
      <c r="H262" s="41"/>
      <c r="I262" s="41"/>
      <c r="J262" s="42"/>
      <c r="K262" s="225"/>
      <c r="L262" s="8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236" t="s">
        <v>388</v>
      </c>
      <c r="B263" s="79"/>
      <c r="C263" s="79"/>
      <c r="D263" s="79"/>
      <c r="E263" s="79"/>
      <c r="F263" s="79"/>
      <c r="G263" s="79"/>
      <c r="H263" s="79"/>
      <c r="I263" s="79"/>
      <c r="J263" s="83"/>
      <c r="K263" s="225"/>
      <c r="L263" s="8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40" t="s">
        <v>389</v>
      </c>
      <c r="B264" s="41"/>
      <c r="C264" s="41"/>
      <c r="D264" s="41"/>
      <c r="E264" s="41"/>
      <c r="F264" s="41"/>
      <c r="G264" s="41"/>
      <c r="H264" s="41"/>
      <c r="I264" s="41"/>
      <c r="J264" s="42"/>
      <c r="K264" s="225"/>
      <c r="L264" s="8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40" t="s">
        <v>390</v>
      </c>
      <c r="B265" s="41"/>
      <c r="C265" s="41"/>
      <c r="D265" s="41"/>
      <c r="E265" s="41"/>
      <c r="F265" s="41"/>
      <c r="G265" s="41"/>
      <c r="H265" s="41"/>
      <c r="I265" s="41"/>
      <c r="J265" s="42"/>
      <c r="K265" s="225"/>
      <c r="L265" s="8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40" t="s">
        <v>391</v>
      </c>
      <c r="B266" s="41"/>
      <c r="C266" s="41"/>
      <c r="D266" s="41"/>
      <c r="E266" s="41"/>
      <c r="F266" s="41"/>
      <c r="G266" s="41"/>
      <c r="H266" s="41"/>
      <c r="I266" s="41"/>
      <c r="J266" s="42"/>
      <c r="K266" s="225"/>
      <c r="L266" s="8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40" t="s">
        <v>392</v>
      </c>
      <c r="B267" s="41"/>
      <c r="C267" s="41"/>
      <c r="D267" s="41"/>
      <c r="E267" s="41"/>
      <c r="F267" s="41"/>
      <c r="G267" s="41"/>
      <c r="H267" s="41"/>
      <c r="I267" s="41"/>
      <c r="J267" s="42"/>
      <c r="K267" s="225"/>
      <c r="L267" s="8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40" t="s">
        <v>393</v>
      </c>
      <c r="B268" s="41"/>
      <c r="C268" s="41"/>
      <c r="D268" s="41"/>
      <c r="E268" s="41"/>
      <c r="F268" s="41"/>
      <c r="G268" s="41"/>
      <c r="H268" s="41"/>
      <c r="I268" s="41"/>
      <c r="J268" s="42"/>
      <c r="K268" s="225"/>
      <c r="L268" s="8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40" t="s">
        <v>394</v>
      </c>
      <c r="B269" s="41"/>
      <c r="C269" s="41"/>
      <c r="D269" s="41"/>
      <c r="E269" s="41"/>
      <c r="F269" s="41"/>
      <c r="G269" s="41"/>
      <c r="H269" s="41"/>
      <c r="I269" s="41"/>
      <c r="J269" s="42"/>
      <c r="K269" s="225"/>
      <c r="L269" s="8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40" t="s">
        <v>395</v>
      </c>
      <c r="B270" s="41"/>
      <c r="C270" s="41"/>
      <c r="D270" s="41"/>
      <c r="E270" s="41"/>
      <c r="F270" s="41"/>
      <c r="G270" s="41"/>
      <c r="H270" s="41"/>
      <c r="I270" s="41"/>
      <c r="J270" s="42"/>
      <c r="K270" s="225"/>
      <c r="L270" s="8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40" t="s">
        <v>396</v>
      </c>
      <c r="B271" s="41"/>
      <c r="C271" s="41"/>
      <c r="D271" s="41"/>
      <c r="E271" s="41"/>
      <c r="F271" s="41"/>
      <c r="G271" s="41"/>
      <c r="H271" s="41"/>
      <c r="I271" s="41"/>
      <c r="J271" s="42"/>
      <c r="K271" s="225"/>
      <c r="L271" s="8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40" t="s">
        <v>397</v>
      </c>
      <c r="B272" s="41"/>
      <c r="C272" s="41"/>
      <c r="D272" s="41"/>
      <c r="E272" s="41"/>
      <c r="F272" s="41"/>
      <c r="G272" s="41"/>
      <c r="H272" s="41"/>
      <c r="I272" s="41"/>
      <c r="J272" s="42"/>
      <c r="K272" s="225"/>
      <c r="L272" s="8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40" t="s">
        <v>398</v>
      </c>
      <c r="B273" s="41"/>
      <c r="C273" s="41"/>
      <c r="D273" s="41"/>
      <c r="E273" s="41"/>
      <c r="F273" s="41"/>
      <c r="G273" s="41"/>
      <c r="H273" s="41"/>
      <c r="I273" s="41"/>
      <c r="J273" s="42"/>
      <c r="K273" s="225"/>
      <c r="L273" s="8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40" t="s">
        <v>399</v>
      </c>
      <c r="B274" s="41"/>
      <c r="C274" s="41"/>
      <c r="D274" s="41"/>
      <c r="E274" s="41"/>
      <c r="F274" s="41"/>
      <c r="G274" s="41"/>
      <c r="H274" s="41"/>
      <c r="I274" s="41"/>
      <c r="J274" s="42"/>
      <c r="K274" s="225"/>
      <c r="L274" s="8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40" t="s">
        <v>400</v>
      </c>
      <c r="B275" s="41"/>
      <c r="C275" s="41"/>
      <c r="D275" s="41"/>
      <c r="E275" s="41"/>
      <c r="F275" s="41"/>
      <c r="G275" s="41"/>
      <c r="H275" s="41"/>
      <c r="I275" s="41"/>
      <c r="J275" s="42"/>
      <c r="K275" s="225"/>
      <c r="L275" s="8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40" t="s">
        <v>401</v>
      </c>
      <c r="B276" s="41"/>
      <c r="C276" s="41"/>
      <c r="D276" s="41"/>
      <c r="E276" s="41"/>
      <c r="F276" s="41"/>
      <c r="G276" s="41"/>
      <c r="H276" s="41"/>
      <c r="I276" s="41"/>
      <c r="J276" s="42"/>
      <c r="K276" s="225"/>
      <c r="L276" s="8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40" t="s">
        <v>402</v>
      </c>
      <c r="B277" s="41"/>
      <c r="C277" s="41"/>
      <c r="D277" s="41"/>
      <c r="E277" s="41"/>
      <c r="F277" s="41"/>
      <c r="G277" s="41"/>
      <c r="H277" s="41"/>
      <c r="I277" s="41"/>
      <c r="J277" s="42"/>
      <c r="K277" s="225"/>
      <c r="L277" s="8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40" t="s">
        <v>403</v>
      </c>
      <c r="B278" s="41"/>
      <c r="C278" s="41"/>
      <c r="D278" s="41"/>
      <c r="E278" s="41"/>
      <c r="F278" s="41"/>
      <c r="G278" s="41"/>
      <c r="H278" s="41"/>
      <c r="I278" s="41"/>
      <c r="J278" s="42"/>
      <c r="K278" s="225"/>
      <c r="L278" s="8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40" t="s">
        <v>404</v>
      </c>
      <c r="B279" s="41"/>
      <c r="C279" s="41"/>
      <c r="D279" s="41"/>
      <c r="E279" s="41"/>
      <c r="F279" s="41"/>
      <c r="G279" s="41"/>
      <c r="H279" s="41"/>
      <c r="I279" s="41"/>
      <c r="J279" s="42"/>
      <c r="K279" s="225"/>
      <c r="L279" s="8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40" t="s">
        <v>405</v>
      </c>
      <c r="B280" s="41"/>
      <c r="C280" s="41"/>
      <c r="D280" s="41"/>
      <c r="E280" s="41"/>
      <c r="F280" s="41"/>
      <c r="G280" s="41"/>
      <c r="H280" s="41"/>
      <c r="I280" s="41"/>
      <c r="J280" s="42"/>
      <c r="K280" s="225"/>
      <c r="L280" s="8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40" t="s">
        <v>406</v>
      </c>
      <c r="B281" s="41"/>
      <c r="C281" s="41"/>
      <c r="D281" s="41"/>
      <c r="E281" s="41"/>
      <c r="F281" s="41"/>
      <c r="G281" s="41"/>
      <c r="H281" s="41"/>
      <c r="I281" s="41"/>
      <c r="J281" s="42"/>
      <c r="K281" s="225"/>
      <c r="L281" s="8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40" t="s">
        <v>407</v>
      </c>
      <c r="B282" s="41"/>
      <c r="C282" s="41"/>
      <c r="D282" s="41"/>
      <c r="E282" s="41"/>
      <c r="F282" s="41"/>
      <c r="G282" s="41"/>
      <c r="H282" s="41"/>
      <c r="I282" s="41"/>
      <c r="J282" s="42"/>
      <c r="K282" s="225"/>
      <c r="L282" s="8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40" t="s">
        <v>408</v>
      </c>
      <c r="B283" s="41"/>
      <c r="C283" s="41"/>
      <c r="D283" s="41"/>
      <c r="E283" s="41"/>
      <c r="F283" s="41"/>
      <c r="G283" s="41"/>
      <c r="H283" s="41"/>
      <c r="I283" s="41"/>
      <c r="J283" s="42"/>
      <c r="K283" s="225"/>
      <c r="L283" s="8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40" t="s">
        <v>409</v>
      </c>
      <c r="B284" s="41"/>
      <c r="C284" s="41"/>
      <c r="D284" s="41"/>
      <c r="E284" s="41"/>
      <c r="F284" s="41"/>
      <c r="G284" s="41"/>
      <c r="H284" s="41"/>
      <c r="I284" s="41"/>
      <c r="J284" s="42"/>
      <c r="K284" s="225"/>
      <c r="L284" s="8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40" t="s">
        <v>410</v>
      </c>
      <c r="B285" s="41"/>
      <c r="C285" s="41"/>
      <c r="D285" s="41"/>
      <c r="E285" s="41"/>
      <c r="F285" s="41"/>
      <c r="G285" s="41"/>
      <c r="H285" s="41"/>
      <c r="I285" s="41"/>
      <c r="J285" s="42"/>
      <c r="K285" s="225"/>
      <c r="L285" s="8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40" t="s">
        <v>411</v>
      </c>
      <c r="B286" s="41"/>
      <c r="C286" s="41"/>
      <c r="D286" s="41"/>
      <c r="E286" s="41"/>
      <c r="F286" s="41"/>
      <c r="G286" s="41"/>
      <c r="H286" s="41"/>
      <c r="I286" s="41"/>
      <c r="J286" s="42"/>
      <c r="K286" s="225"/>
      <c r="L286" s="8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40" t="s">
        <v>412</v>
      </c>
      <c r="B287" s="41"/>
      <c r="C287" s="41"/>
      <c r="D287" s="41"/>
      <c r="E287" s="41"/>
      <c r="F287" s="41"/>
      <c r="G287" s="41"/>
      <c r="H287" s="41"/>
      <c r="I287" s="41"/>
      <c r="J287" s="42"/>
      <c r="K287" s="225"/>
      <c r="L287" s="8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40" t="s">
        <v>413</v>
      </c>
      <c r="B288" s="41"/>
      <c r="C288" s="41"/>
      <c r="D288" s="41"/>
      <c r="E288" s="41"/>
      <c r="F288" s="41"/>
      <c r="G288" s="41"/>
      <c r="H288" s="41"/>
      <c r="I288" s="41"/>
      <c r="J288" s="42"/>
      <c r="K288" s="225"/>
      <c r="L288" s="8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40" t="s">
        <v>414</v>
      </c>
      <c r="B289" s="41"/>
      <c r="C289" s="41"/>
      <c r="D289" s="41"/>
      <c r="E289" s="41"/>
      <c r="F289" s="41"/>
      <c r="G289" s="41"/>
      <c r="H289" s="41"/>
      <c r="I289" s="41"/>
      <c r="J289" s="42"/>
      <c r="K289" s="225"/>
      <c r="L289" s="8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40" t="s">
        <v>415</v>
      </c>
      <c r="B290" s="41"/>
      <c r="C290" s="41"/>
      <c r="D290" s="41"/>
      <c r="E290" s="41"/>
      <c r="F290" s="41"/>
      <c r="G290" s="41"/>
      <c r="H290" s="41"/>
      <c r="I290" s="41"/>
      <c r="J290" s="42"/>
      <c r="K290" s="225"/>
      <c r="L290" s="8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43" t="s">
        <v>416</v>
      </c>
      <c r="B291" s="44"/>
      <c r="C291" s="44"/>
      <c r="D291" s="44"/>
      <c r="E291" s="44"/>
      <c r="F291" s="44"/>
      <c r="G291" s="44"/>
      <c r="H291" s="44"/>
      <c r="I291" s="44"/>
      <c r="J291" s="45"/>
      <c r="K291" s="230"/>
      <c r="L291" s="169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201" t="s">
        <v>417</v>
      </c>
      <c r="B293" s="126"/>
      <c r="C293" s="126"/>
      <c r="D293" s="126"/>
      <c r="E293" s="126"/>
      <c r="F293" s="126"/>
      <c r="G293" s="126"/>
      <c r="H293" s="126"/>
      <c r="I293" s="126"/>
      <c r="J293" s="146"/>
      <c r="K293" s="238">
        <f>K295</f>
        <v>0</v>
      </c>
      <c r="L293" s="127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154"/>
      <c r="B294" s="93"/>
      <c r="C294" s="93"/>
      <c r="D294" s="93"/>
      <c r="E294" s="93"/>
      <c r="F294" s="93"/>
      <c r="G294" s="93"/>
      <c r="H294" s="93"/>
      <c r="I294" s="93"/>
      <c r="J294" s="148"/>
      <c r="K294" s="147"/>
      <c r="L294" s="17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239" t="s">
        <v>418</v>
      </c>
      <c r="B295" s="101"/>
      <c r="C295" s="101"/>
      <c r="D295" s="101"/>
      <c r="E295" s="101"/>
      <c r="F295" s="101"/>
      <c r="G295" s="101"/>
      <c r="H295" s="101"/>
      <c r="I295" s="101"/>
      <c r="J295" s="240"/>
      <c r="K295" s="241">
        <f>K431</f>
        <v>0</v>
      </c>
      <c r="L295" s="10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201" t="s">
        <v>419</v>
      </c>
      <c r="B297" s="126"/>
      <c r="C297" s="126"/>
      <c r="D297" s="126"/>
      <c r="E297" s="126"/>
      <c r="F297" s="126"/>
      <c r="G297" s="126"/>
      <c r="H297" s="126"/>
      <c r="I297" s="126"/>
      <c r="J297" s="146"/>
      <c r="K297" s="242">
        <f>SUM(K299:L303)</f>
        <v>0</v>
      </c>
      <c r="L297" s="127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154"/>
      <c r="B298" s="93"/>
      <c r="C298" s="93"/>
      <c r="D298" s="93"/>
      <c r="E298" s="93"/>
      <c r="F298" s="93"/>
      <c r="G298" s="93"/>
      <c r="H298" s="93"/>
      <c r="I298" s="93"/>
      <c r="J298" s="148"/>
      <c r="K298" s="147"/>
      <c r="L298" s="171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46" t="s">
        <v>420</v>
      </c>
      <c r="B299" s="47"/>
      <c r="C299" s="47"/>
      <c r="D299" s="47"/>
      <c r="E299" s="47"/>
      <c r="F299" s="47"/>
      <c r="G299" s="47"/>
      <c r="H299" s="47"/>
      <c r="I299" s="47"/>
      <c r="J299" s="48"/>
      <c r="K299" s="232"/>
      <c r="L299" s="9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40" t="s">
        <v>421</v>
      </c>
      <c r="B300" s="41"/>
      <c r="C300" s="41"/>
      <c r="D300" s="41"/>
      <c r="E300" s="41"/>
      <c r="F300" s="41"/>
      <c r="G300" s="41"/>
      <c r="H300" s="41"/>
      <c r="I300" s="41"/>
      <c r="J300" s="42"/>
      <c r="K300" s="233"/>
      <c r="L300" s="8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40" t="s">
        <v>422</v>
      </c>
      <c r="B301" s="41"/>
      <c r="C301" s="41"/>
      <c r="D301" s="41"/>
      <c r="E301" s="41"/>
      <c r="F301" s="41"/>
      <c r="G301" s="41"/>
      <c r="H301" s="41"/>
      <c r="I301" s="41"/>
      <c r="J301" s="42"/>
      <c r="K301" s="233"/>
      <c r="L301" s="8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40" t="s">
        <v>423</v>
      </c>
      <c r="B302" s="41"/>
      <c r="C302" s="41"/>
      <c r="D302" s="41"/>
      <c r="E302" s="41"/>
      <c r="F302" s="41"/>
      <c r="G302" s="41"/>
      <c r="H302" s="41"/>
      <c r="I302" s="41"/>
      <c r="J302" s="42"/>
      <c r="K302" s="233"/>
      <c r="L302" s="8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43" t="s">
        <v>424</v>
      </c>
      <c r="B303" s="44"/>
      <c r="C303" s="44"/>
      <c r="D303" s="44"/>
      <c r="E303" s="44"/>
      <c r="F303" s="44"/>
      <c r="G303" s="44"/>
      <c r="H303" s="44"/>
      <c r="I303" s="44"/>
      <c r="J303" s="45"/>
      <c r="K303" s="234"/>
      <c r="L303" s="169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201" t="s">
        <v>425</v>
      </c>
      <c r="B305" s="126"/>
      <c r="C305" s="126"/>
      <c r="D305" s="126"/>
      <c r="E305" s="126"/>
      <c r="F305" s="126"/>
      <c r="G305" s="126"/>
      <c r="H305" s="126"/>
      <c r="I305" s="126"/>
      <c r="J305" s="146"/>
      <c r="K305" s="235">
        <f>(K186+L115+K192+K238+K246+L150+K254)*K307</f>
        <v>0</v>
      </c>
      <c r="L305" s="127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87"/>
      <c r="B306" s="120"/>
      <c r="C306" s="120"/>
      <c r="D306" s="120"/>
      <c r="E306" s="120"/>
      <c r="F306" s="120"/>
      <c r="G306" s="120"/>
      <c r="H306" s="120"/>
      <c r="I306" s="120"/>
      <c r="J306" s="88"/>
      <c r="K306" s="119"/>
      <c r="L306" s="138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>
      <c r="A307" s="244" t="s">
        <v>426</v>
      </c>
      <c r="B307" s="140"/>
      <c r="C307" s="140"/>
      <c r="D307" s="140"/>
      <c r="E307" s="140"/>
      <c r="F307" s="140"/>
      <c r="G307" s="140"/>
      <c r="H307" s="140"/>
      <c r="I307" s="140"/>
      <c r="J307" s="86"/>
      <c r="K307" s="243">
        <f>IF(((K186+L115+K192+K238+K246+L150+K254)&gt;200000),0.08,0.05)</f>
        <v>0.05</v>
      </c>
      <c r="L307" s="141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87"/>
      <c r="B308" s="120"/>
      <c r="C308" s="120"/>
      <c r="D308" s="120"/>
      <c r="E308" s="120"/>
      <c r="F308" s="120"/>
      <c r="G308" s="120"/>
      <c r="H308" s="120"/>
      <c r="I308" s="120"/>
      <c r="J308" s="88"/>
      <c r="K308" s="119"/>
      <c r="L308" s="138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245" t="s">
        <v>427</v>
      </c>
      <c r="B309" s="140"/>
      <c r="C309" s="140"/>
      <c r="D309" s="140"/>
      <c r="E309" s="140"/>
      <c r="F309" s="140"/>
      <c r="G309" s="140"/>
      <c r="H309" s="140"/>
      <c r="I309" s="140"/>
      <c r="J309" s="86"/>
      <c r="K309" s="194">
        <f>(((K186+L115+K192+K238+K246+K254+K293+L150+K297+K305)/0.9)*0.1)</f>
        <v>0</v>
      </c>
      <c r="L309" s="141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" customHeight="1">
      <c r="A310" s="143"/>
      <c r="B310" s="92"/>
      <c r="C310" s="92"/>
      <c r="D310" s="92"/>
      <c r="E310" s="92"/>
      <c r="F310" s="92"/>
      <c r="G310" s="92"/>
      <c r="H310" s="92"/>
      <c r="I310" s="92"/>
      <c r="J310" s="134"/>
      <c r="K310" s="195"/>
      <c r="L310" s="17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87"/>
      <c r="B311" s="120"/>
      <c r="C311" s="120"/>
      <c r="D311" s="120"/>
      <c r="E311" s="120"/>
      <c r="F311" s="120"/>
      <c r="G311" s="120"/>
      <c r="H311" s="120"/>
      <c r="I311" s="120"/>
      <c r="J311" s="88"/>
      <c r="K311" s="119"/>
      <c r="L311" s="138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246" t="s">
        <v>428</v>
      </c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8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>
      <c r="A313" s="87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88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>
      <c r="A314" s="247" t="s">
        <v>429</v>
      </c>
      <c r="B314" s="140"/>
      <c r="C314" s="140"/>
      <c r="D314" s="140"/>
      <c r="E314" s="140"/>
      <c r="F314" s="140"/>
      <c r="G314" s="140"/>
      <c r="H314" s="140"/>
      <c r="I314" s="140"/>
      <c r="J314" s="86"/>
      <c r="K314" s="194">
        <f>(SUM(K186,L115,K192,K238,K246,K254,L150,K293,K297,K305,K309))</f>
        <v>0</v>
      </c>
      <c r="L314" s="141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154"/>
      <c r="B315" s="93"/>
      <c r="C315" s="93"/>
      <c r="D315" s="93"/>
      <c r="E315" s="93"/>
      <c r="F315" s="93"/>
      <c r="G315" s="93"/>
      <c r="H315" s="93"/>
      <c r="I315" s="93"/>
      <c r="J315" s="148"/>
      <c r="K315" s="147"/>
      <c r="L315" s="171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4" customHeight="1">
      <c r="A317" s="153" t="s">
        <v>430</v>
      </c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7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87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38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247" t="s">
        <v>431</v>
      </c>
      <c r="B319" s="86"/>
      <c r="C319" s="250" t="s">
        <v>432</v>
      </c>
      <c r="D319" s="251" t="s">
        <v>433</v>
      </c>
      <c r="E319" s="140"/>
      <c r="F319" s="140"/>
      <c r="G319" s="140"/>
      <c r="H319" s="140"/>
      <c r="I319" s="140"/>
      <c r="J319" s="86"/>
      <c r="K319" s="252" t="s">
        <v>434</v>
      </c>
      <c r="L319" s="8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60.75" customHeight="1">
      <c r="A320" s="143"/>
      <c r="B320" s="134"/>
      <c r="C320" s="183"/>
      <c r="D320" s="195"/>
      <c r="E320" s="92"/>
      <c r="F320" s="92"/>
      <c r="G320" s="92"/>
      <c r="H320" s="92"/>
      <c r="I320" s="92"/>
      <c r="J320" s="134"/>
      <c r="K320" s="253" t="s">
        <v>435</v>
      </c>
      <c r="L320" s="8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87"/>
      <c r="B321" s="88"/>
      <c r="C321" s="122"/>
      <c r="D321" s="119"/>
      <c r="E321" s="120"/>
      <c r="F321" s="120"/>
      <c r="G321" s="120"/>
      <c r="H321" s="120"/>
      <c r="I321" s="120"/>
      <c r="J321" s="88"/>
      <c r="K321" s="49" t="s">
        <v>436</v>
      </c>
      <c r="L321" s="50" t="s">
        <v>437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254"/>
      <c r="B322" s="83"/>
      <c r="C322" s="51"/>
      <c r="D322" s="137" t="s">
        <v>438</v>
      </c>
      <c r="E322" s="79"/>
      <c r="F322" s="79"/>
      <c r="G322" s="79"/>
      <c r="H322" s="79"/>
      <c r="I322" s="79"/>
      <c r="J322" s="83"/>
      <c r="K322" s="52"/>
      <c r="L322" s="5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254"/>
      <c r="B323" s="83"/>
      <c r="C323" s="51"/>
      <c r="D323" s="137" t="s">
        <v>438</v>
      </c>
      <c r="E323" s="79"/>
      <c r="F323" s="79"/>
      <c r="G323" s="79"/>
      <c r="H323" s="79"/>
      <c r="I323" s="79"/>
      <c r="J323" s="83"/>
      <c r="K323" s="52"/>
      <c r="L323" s="5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254"/>
      <c r="B324" s="83"/>
      <c r="C324" s="51"/>
      <c r="D324" s="137" t="s">
        <v>438</v>
      </c>
      <c r="E324" s="79"/>
      <c r="F324" s="79"/>
      <c r="G324" s="79"/>
      <c r="H324" s="79"/>
      <c r="I324" s="79"/>
      <c r="J324" s="83"/>
      <c r="K324" s="52"/>
      <c r="L324" s="5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254"/>
      <c r="B325" s="83"/>
      <c r="C325" s="51"/>
      <c r="D325" s="137" t="s">
        <v>438</v>
      </c>
      <c r="E325" s="79"/>
      <c r="F325" s="79"/>
      <c r="G325" s="79"/>
      <c r="H325" s="79"/>
      <c r="I325" s="79"/>
      <c r="J325" s="83"/>
      <c r="K325" s="52"/>
      <c r="L325" s="5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254"/>
      <c r="B326" s="83"/>
      <c r="C326" s="51"/>
      <c r="D326" s="137" t="s">
        <v>438</v>
      </c>
      <c r="E326" s="79"/>
      <c r="F326" s="79"/>
      <c r="G326" s="79"/>
      <c r="H326" s="79"/>
      <c r="I326" s="79"/>
      <c r="J326" s="83"/>
      <c r="K326" s="52"/>
      <c r="L326" s="5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254"/>
      <c r="B327" s="83"/>
      <c r="C327" s="51"/>
      <c r="D327" s="137" t="s">
        <v>438</v>
      </c>
      <c r="E327" s="79"/>
      <c r="F327" s="79"/>
      <c r="G327" s="79"/>
      <c r="H327" s="79"/>
      <c r="I327" s="79"/>
      <c r="J327" s="83"/>
      <c r="K327" s="52"/>
      <c r="L327" s="5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254"/>
      <c r="B328" s="83"/>
      <c r="C328" s="51"/>
      <c r="D328" s="137" t="s">
        <v>438</v>
      </c>
      <c r="E328" s="79"/>
      <c r="F328" s="79"/>
      <c r="G328" s="79"/>
      <c r="H328" s="79"/>
      <c r="I328" s="79"/>
      <c r="J328" s="83"/>
      <c r="K328" s="52"/>
      <c r="L328" s="5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254"/>
      <c r="B329" s="83"/>
      <c r="C329" s="51"/>
      <c r="D329" s="137" t="s">
        <v>438</v>
      </c>
      <c r="E329" s="79"/>
      <c r="F329" s="79"/>
      <c r="G329" s="79"/>
      <c r="H329" s="79"/>
      <c r="I329" s="79"/>
      <c r="J329" s="83"/>
      <c r="K329" s="52"/>
      <c r="L329" s="5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254"/>
      <c r="B330" s="83"/>
      <c r="C330" s="51"/>
      <c r="D330" s="137" t="s">
        <v>438</v>
      </c>
      <c r="E330" s="79"/>
      <c r="F330" s="79"/>
      <c r="G330" s="79"/>
      <c r="H330" s="79"/>
      <c r="I330" s="79"/>
      <c r="J330" s="83"/>
      <c r="K330" s="52"/>
      <c r="L330" s="5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254"/>
      <c r="B331" s="83"/>
      <c r="C331" s="51"/>
      <c r="D331" s="137" t="s">
        <v>438</v>
      </c>
      <c r="E331" s="79"/>
      <c r="F331" s="79"/>
      <c r="G331" s="79"/>
      <c r="H331" s="79"/>
      <c r="I331" s="79"/>
      <c r="J331" s="83"/>
      <c r="K331" s="52"/>
      <c r="L331" s="5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254"/>
      <c r="B332" s="83"/>
      <c r="C332" s="51"/>
      <c r="D332" s="137" t="s">
        <v>438</v>
      </c>
      <c r="E332" s="79"/>
      <c r="F332" s="79"/>
      <c r="G332" s="79"/>
      <c r="H332" s="79"/>
      <c r="I332" s="79"/>
      <c r="J332" s="83"/>
      <c r="K332" s="52"/>
      <c r="L332" s="5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254"/>
      <c r="B333" s="83"/>
      <c r="C333" s="51"/>
      <c r="D333" s="137" t="s">
        <v>438</v>
      </c>
      <c r="E333" s="79"/>
      <c r="F333" s="79"/>
      <c r="G333" s="79"/>
      <c r="H333" s="79"/>
      <c r="I333" s="79"/>
      <c r="J333" s="83"/>
      <c r="K333" s="52"/>
      <c r="L333" s="5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254"/>
      <c r="B334" s="83"/>
      <c r="C334" s="51"/>
      <c r="D334" s="137" t="s">
        <v>438</v>
      </c>
      <c r="E334" s="79"/>
      <c r="F334" s="79"/>
      <c r="G334" s="79"/>
      <c r="H334" s="79"/>
      <c r="I334" s="79"/>
      <c r="J334" s="83"/>
      <c r="K334" s="52"/>
      <c r="L334" s="5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255"/>
      <c r="B335" s="168"/>
      <c r="C335" s="168"/>
      <c r="D335" s="168"/>
      <c r="E335" s="168"/>
      <c r="F335" s="168"/>
      <c r="G335" s="168"/>
      <c r="H335" s="168"/>
      <c r="I335" s="168"/>
      <c r="J335" s="166"/>
      <c r="K335" s="256"/>
      <c r="L335" s="169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12"/>
      <c r="L336" s="1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>
      <c r="A337" s="153" t="s">
        <v>439</v>
      </c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7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87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38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257" t="s">
        <v>440</v>
      </c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8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54" t="s">
        <v>441</v>
      </c>
      <c r="B340" s="137" t="s">
        <v>442</v>
      </c>
      <c r="C340" s="79"/>
      <c r="D340" s="79"/>
      <c r="E340" s="79"/>
      <c r="F340" s="79"/>
      <c r="G340" s="79"/>
      <c r="H340" s="79"/>
      <c r="I340" s="79"/>
      <c r="J340" s="79"/>
      <c r="K340" s="79"/>
      <c r="L340" s="8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54" t="s">
        <v>441</v>
      </c>
      <c r="B341" s="137" t="s">
        <v>442</v>
      </c>
      <c r="C341" s="79"/>
      <c r="D341" s="79"/>
      <c r="E341" s="79"/>
      <c r="F341" s="79"/>
      <c r="G341" s="79"/>
      <c r="H341" s="79"/>
      <c r="I341" s="79"/>
      <c r="J341" s="79"/>
      <c r="K341" s="79"/>
      <c r="L341" s="8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54" t="s">
        <v>441</v>
      </c>
      <c r="B342" s="137" t="s">
        <v>442</v>
      </c>
      <c r="C342" s="79"/>
      <c r="D342" s="79"/>
      <c r="E342" s="79"/>
      <c r="F342" s="79"/>
      <c r="G342" s="79"/>
      <c r="H342" s="79"/>
      <c r="I342" s="79"/>
      <c r="J342" s="79"/>
      <c r="K342" s="79"/>
      <c r="L342" s="8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54" t="s">
        <v>441</v>
      </c>
      <c r="B343" s="137" t="s">
        <v>442</v>
      </c>
      <c r="C343" s="79"/>
      <c r="D343" s="79"/>
      <c r="E343" s="79"/>
      <c r="F343" s="79"/>
      <c r="G343" s="79"/>
      <c r="H343" s="79"/>
      <c r="I343" s="79"/>
      <c r="J343" s="79"/>
      <c r="K343" s="79"/>
      <c r="L343" s="8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54" t="s">
        <v>441</v>
      </c>
      <c r="B344" s="137" t="s">
        <v>442</v>
      </c>
      <c r="C344" s="79"/>
      <c r="D344" s="79"/>
      <c r="E344" s="79"/>
      <c r="F344" s="79"/>
      <c r="G344" s="79"/>
      <c r="H344" s="79"/>
      <c r="I344" s="79"/>
      <c r="J344" s="79"/>
      <c r="K344" s="79"/>
      <c r="L344" s="8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54" t="s">
        <v>441</v>
      </c>
      <c r="B345" s="137" t="s">
        <v>442</v>
      </c>
      <c r="C345" s="79"/>
      <c r="D345" s="79"/>
      <c r="E345" s="79"/>
      <c r="F345" s="79"/>
      <c r="G345" s="79"/>
      <c r="H345" s="79"/>
      <c r="I345" s="79"/>
      <c r="J345" s="79"/>
      <c r="K345" s="79"/>
      <c r="L345" s="8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54" t="s">
        <v>441</v>
      </c>
      <c r="B346" s="137" t="s">
        <v>442</v>
      </c>
      <c r="C346" s="79"/>
      <c r="D346" s="79"/>
      <c r="E346" s="79"/>
      <c r="F346" s="79"/>
      <c r="G346" s="79"/>
      <c r="H346" s="79"/>
      <c r="I346" s="79"/>
      <c r="J346" s="79"/>
      <c r="K346" s="79"/>
      <c r="L346" s="8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54" t="s">
        <v>441</v>
      </c>
      <c r="B347" s="137" t="s">
        <v>442</v>
      </c>
      <c r="C347" s="79"/>
      <c r="D347" s="79"/>
      <c r="E347" s="79"/>
      <c r="F347" s="79"/>
      <c r="G347" s="79"/>
      <c r="H347" s="79"/>
      <c r="I347" s="79"/>
      <c r="J347" s="79"/>
      <c r="K347" s="79"/>
      <c r="L347" s="8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54" t="s">
        <v>441</v>
      </c>
      <c r="B348" s="137" t="s">
        <v>442</v>
      </c>
      <c r="C348" s="79"/>
      <c r="D348" s="79"/>
      <c r="E348" s="79"/>
      <c r="F348" s="79"/>
      <c r="G348" s="79"/>
      <c r="H348" s="79"/>
      <c r="I348" s="79"/>
      <c r="J348" s="79"/>
      <c r="K348" s="79"/>
      <c r="L348" s="8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54" t="s">
        <v>441</v>
      </c>
      <c r="B349" s="137" t="s">
        <v>442</v>
      </c>
      <c r="C349" s="79"/>
      <c r="D349" s="79"/>
      <c r="E349" s="79"/>
      <c r="F349" s="79"/>
      <c r="G349" s="79"/>
      <c r="H349" s="79"/>
      <c r="I349" s="79"/>
      <c r="J349" s="79"/>
      <c r="K349" s="79"/>
      <c r="L349" s="8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54" t="s">
        <v>441</v>
      </c>
      <c r="B350" s="137" t="s">
        <v>442</v>
      </c>
      <c r="C350" s="79"/>
      <c r="D350" s="79"/>
      <c r="E350" s="79"/>
      <c r="F350" s="79"/>
      <c r="G350" s="79"/>
      <c r="H350" s="79"/>
      <c r="I350" s="79"/>
      <c r="J350" s="79"/>
      <c r="K350" s="79"/>
      <c r="L350" s="8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54" t="s">
        <v>441</v>
      </c>
      <c r="B351" s="137" t="s">
        <v>442</v>
      </c>
      <c r="C351" s="79"/>
      <c r="D351" s="79"/>
      <c r="E351" s="79"/>
      <c r="F351" s="79"/>
      <c r="G351" s="79"/>
      <c r="H351" s="79"/>
      <c r="I351" s="79"/>
      <c r="J351" s="79"/>
      <c r="K351" s="79"/>
      <c r="L351" s="8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54" t="s">
        <v>441</v>
      </c>
      <c r="B352" s="137" t="s">
        <v>442</v>
      </c>
      <c r="C352" s="79"/>
      <c r="D352" s="79"/>
      <c r="E352" s="79"/>
      <c r="F352" s="79"/>
      <c r="G352" s="79"/>
      <c r="H352" s="79"/>
      <c r="I352" s="79"/>
      <c r="J352" s="79"/>
      <c r="K352" s="79"/>
      <c r="L352" s="8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54" t="s">
        <v>441</v>
      </c>
      <c r="B353" s="137" t="s">
        <v>442</v>
      </c>
      <c r="C353" s="79"/>
      <c r="D353" s="79"/>
      <c r="E353" s="79"/>
      <c r="F353" s="79"/>
      <c r="G353" s="79"/>
      <c r="H353" s="79"/>
      <c r="I353" s="79"/>
      <c r="J353" s="79"/>
      <c r="K353" s="79"/>
      <c r="L353" s="8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8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8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12"/>
      <c r="L355" s="1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248" t="s">
        <v>443</v>
      </c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249" t="s">
        <v>444</v>
      </c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268" t="s">
        <v>445</v>
      </c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7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154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171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56"/>
      <c r="B361" s="269" t="s">
        <v>446</v>
      </c>
      <c r="C361" s="101"/>
      <c r="D361" s="101"/>
      <c r="E361" s="102"/>
      <c r="F361" s="57"/>
      <c r="G361" s="270" t="s">
        <v>447</v>
      </c>
      <c r="H361" s="95"/>
      <c r="I361" s="95"/>
      <c r="J361" s="95"/>
      <c r="K361" s="96"/>
      <c r="L361" s="58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59"/>
      <c r="B362" s="60" t="s">
        <v>448</v>
      </c>
      <c r="C362" s="61" t="s">
        <v>300</v>
      </c>
      <c r="D362" s="61" t="s">
        <v>448</v>
      </c>
      <c r="E362" s="62" t="s">
        <v>300</v>
      </c>
      <c r="F362" s="3"/>
      <c r="G362" s="63" t="s">
        <v>449</v>
      </c>
      <c r="H362" s="271" t="s">
        <v>450</v>
      </c>
      <c r="I362" s="166"/>
      <c r="J362" s="271" t="s">
        <v>300</v>
      </c>
      <c r="K362" s="169"/>
      <c r="L362" s="6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59"/>
      <c r="B363" s="65">
        <v>1</v>
      </c>
      <c r="C363" s="66"/>
      <c r="D363" s="67">
        <v>31</v>
      </c>
      <c r="E363" s="68"/>
      <c r="F363" s="3"/>
      <c r="G363" s="272"/>
      <c r="H363" s="126"/>
      <c r="I363" s="126"/>
      <c r="J363" s="126"/>
      <c r="K363" s="127"/>
      <c r="L363" s="6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59"/>
      <c r="B364" s="65">
        <v>2</v>
      </c>
      <c r="C364" s="66"/>
      <c r="D364" s="67">
        <v>32</v>
      </c>
      <c r="E364" s="68"/>
      <c r="F364" s="3"/>
      <c r="G364" s="87"/>
      <c r="H364" s="120"/>
      <c r="I364" s="120"/>
      <c r="J364" s="120"/>
      <c r="K364" s="138"/>
      <c r="L364" s="6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59"/>
      <c r="B365" s="65">
        <v>3</v>
      </c>
      <c r="C365" s="66"/>
      <c r="D365" s="67">
        <v>33</v>
      </c>
      <c r="E365" s="68"/>
      <c r="F365" s="3"/>
      <c r="G365" s="273" t="s">
        <v>451</v>
      </c>
      <c r="H365" s="258" t="s">
        <v>452</v>
      </c>
      <c r="I365" s="83"/>
      <c r="J365" s="259"/>
      <c r="K365" s="80"/>
      <c r="L365" s="6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59"/>
      <c r="B366" s="65">
        <v>4</v>
      </c>
      <c r="C366" s="66"/>
      <c r="D366" s="67">
        <v>34</v>
      </c>
      <c r="E366" s="68"/>
      <c r="F366" s="3"/>
      <c r="G366" s="189"/>
      <c r="H366" s="274" t="s">
        <v>453</v>
      </c>
      <c r="I366" s="166"/>
      <c r="J366" s="275"/>
      <c r="K366" s="169"/>
      <c r="L366" s="6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59"/>
      <c r="B367" s="65">
        <v>5</v>
      </c>
      <c r="C367" s="66"/>
      <c r="D367" s="67">
        <v>35</v>
      </c>
      <c r="E367" s="68"/>
      <c r="F367" s="3"/>
      <c r="G367" s="272"/>
      <c r="H367" s="126"/>
      <c r="I367" s="126"/>
      <c r="J367" s="126"/>
      <c r="K367" s="127"/>
      <c r="L367" s="6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59"/>
      <c r="B368" s="65">
        <v>6</v>
      </c>
      <c r="C368" s="66"/>
      <c r="D368" s="67">
        <v>36</v>
      </c>
      <c r="E368" s="68"/>
      <c r="F368" s="3"/>
      <c r="G368" s="87"/>
      <c r="H368" s="120"/>
      <c r="I368" s="120"/>
      <c r="J368" s="120"/>
      <c r="K368" s="138"/>
      <c r="L368" s="6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59"/>
      <c r="B369" s="65">
        <v>7</v>
      </c>
      <c r="C369" s="66"/>
      <c r="D369" s="67">
        <v>37</v>
      </c>
      <c r="E369" s="68"/>
      <c r="F369" s="3"/>
      <c r="G369" s="273" t="s">
        <v>454</v>
      </c>
      <c r="H369" s="258" t="s">
        <v>452</v>
      </c>
      <c r="I369" s="83"/>
      <c r="J369" s="259"/>
      <c r="K369" s="80"/>
      <c r="L369" s="6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59"/>
      <c r="B370" s="65">
        <v>8</v>
      </c>
      <c r="C370" s="66"/>
      <c r="D370" s="67">
        <v>38</v>
      </c>
      <c r="E370" s="68"/>
      <c r="F370" s="3"/>
      <c r="G370" s="189"/>
      <c r="H370" s="274" t="s">
        <v>453</v>
      </c>
      <c r="I370" s="166"/>
      <c r="J370" s="275"/>
      <c r="K370" s="169"/>
      <c r="L370" s="6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59"/>
      <c r="B371" s="65">
        <v>9</v>
      </c>
      <c r="C371" s="66"/>
      <c r="D371" s="67">
        <v>39</v>
      </c>
      <c r="E371" s="68"/>
      <c r="F371" s="3"/>
      <c r="G371" s="272"/>
      <c r="H371" s="126"/>
      <c r="I371" s="126"/>
      <c r="J371" s="126"/>
      <c r="K371" s="127"/>
      <c r="L371" s="6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59"/>
      <c r="B372" s="65">
        <v>10</v>
      </c>
      <c r="C372" s="66"/>
      <c r="D372" s="67">
        <v>40</v>
      </c>
      <c r="E372" s="68"/>
      <c r="F372" s="3"/>
      <c r="G372" s="87"/>
      <c r="H372" s="120"/>
      <c r="I372" s="120"/>
      <c r="J372" s="120"/>
      <c r="K372" s="138"/>
      <c r="L372" s="6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59"/>
      <c r="B373" s="65">
        <v>11</v>
      </c>
      <c r="C373" s="66"/>
      <c r="D373" s="67">
        <v>41</v>
      </c>
      <c r="E373" s="68"/>
      <c r="F373" s="3"/>
      <c r="G373" s="273" t="s">
        <v>455</v>
      </c>
      <c r="H373" s="258" t="s">
        <v>452</v>
      </c>
      <c r="I373" s="83"/>
      <c r="J373" s="259"/>
      <c r="K373" s="80"/>
      <c r="L373" s="6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59"/>
      <c r="B374" s="65">
        <v>12</v>
      </c>
      <c r="C374" s="66"/>
      <c r="D374" s="67">
        <v>42</v>
      </c>
      <c r="E374" s="68"/>
      <c r="F374" s="3"/>
      <c r="G374" s="189"/>
      <c r="H374" s="274" t="s">
        <v>453</v>
      </c>
      <c r="I374" s="166"/>
      <c r="J374" s="275"/>
      <c r="K374" s="169"/>
      <c r="L374" s="6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>
      <c r="A375" s="59"/>
      <c r="B375" s="65">
        <v>13</v>
      </c>
      <c r="C375" s="66"/>
      <c r="D375" s="67">
        <v>43</v>
      </c>
      <c r="E375" s="68"/>
      <c r="F375" s="3"/>
      <c r="G375" s="272"/>
      <c r="H375" s="126"/>
      <c r="I375" s="126"/>
      <c r="J375" s="126"/>
      <c r="K375" s="127"/>
      <c r="L375" s="6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59"/>
      <c r="B376" s="65">
        <v>14</v>
      </c>
      <c r="C376" s="66"/>
      <c r="D376" s="67">
        <v>44</v>
      </c>
      <c r="E376" s="68"/>
      <c r="F376" s="3"/>
      <c r="G376" s="87"/>
      <c r="H376" s="120"/>
      <c r="I376" s="120"/>
      <c r="J376" s="120"/>
      <c r="K376" s="138"/>
      <c r="L376" s="6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59"/>
      <c r="B377" s="65">
        <v>15</v>
      </c>
      <c r="C377" s="66"/>
      <c r="D377" s="67">
        <v>45</v>
      </c>
      <c r="E377" s="68"/>
      <c r="F377" s="3"/>
      <c r="G377" s="273" t="s">
        <v>456</v>
      </c>
      <c r="H377" s="258" t="s">
        <v>452</v>
      </c>
      <c r="I377" s="83"/>
      <c r="J377" s="259"/>
      <c r="K377" s="80"/>
      <c r="L377" s="6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>
      <c r="A378" s="59"/>
      <c r="B378" s="65">
        <v>16</v>
      </c>
      <c r="C378" s="66"/>
      <c r="D378" s="67">
        <v>46</v>
      </c>
      <c r="E378" s="68"/>
      <c r="F378" s="3"/>
      <c r="G378" s="189"/>
      <c r="H378" s="274" t="s">
        <v>453</v>
      </c>
      <c r="I378" s="166"/>
      <c r="J378" s="275"/>
      <c r="K378" s="169"/>
      <c r="L378" s="6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>
      <c r="A379" s="59"/>
      <c r="B379" s="65">
        <v>17</v>
      </c>
      <c r="C379" s="66"/>
      <c r="D379" s="67">
        <v>47</v>
      </c>
      <c r="E379" s="68"/>
      <c r="F379" s="3"/>
      <c r="G379" s="277"/>
      <c r="H379" s="117"/>
      <c r="I379" s="117"/>
      <c r="J379" s="117"/>
      <c r="K379" s="118"/>
      <c r="L379" s="6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59"/>
      <c r="B380" s="65">
        <v>18</v>
      </c>
      <c r="C380" s="66"/>
      <c r="D380" s="67">
        <v>48</v>
      </c>
      <c r="E380" s="68"/>
      <c r="F380" s="3"/>
      <c r="G380" s="119"/>
      <c r="H380" s="120"/>
      <c r="I380" s="120"/>
      <c r="J380" s="120"/>
      <c r="K380" s="88"/>
      <c r="L380" s="6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59"/>
      <c r="B381" s="65">
        <v>19</v>
      </c>
      <c r="C381" s="66"/>
      <c r="D381" s="67">
        <v>49</v>
      </c>
      <c r="E381" s="68"/>
      <c r="F381" s="3"/>
      <c r="G381" s="276" t="s">
        <v>457</v>
      </c>
      <c r="H381" s="278" t="s">
        <v>452</v>
      </c>
      <c r="I381" s="279"/>
      <c r="J381" s="280"/>
      <c r="K381" s="106"/>
      <c r="L381" s="6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59"/>
      <c r="B382" s="65">
        <v>20</v>
      </c>
      <c r="C382" s="66"/>
      <c r="D382" s="67">
        <v>50</v>
      </c>
      <c r="E382" s="68"/>
      <c r="F382" s="3"/>
      <c r="G382" s="189"/>
      <c r="H382" s="274" t="s">
        <v>453</v>
      </c>
      <c r="I382" s="166"/>
      <c r="J382" s="275"/>
      <c r="K382" s="169"/>
      <c r="L382" s="6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59"/>
      <c r="B383" s="65">
        <v>21</v>
      </c>
      <c r="C383" s="66"/>
      <c r="D383" s="67">
        <v>51</v>
      </c>
      <c r="E383" s="68"/>
      <c r="F383" s="3"/>
      <c r="G383" s="281" t="s">
        <v>287</v>
      </c>
      <c r="H383" s="282"/>
      <c r="I383" s="211"/>
      <c r="J383" s="283">
        <f>SUM(J365,J366,J369,J370,J373,J374,J377,J378,J381,J382)</f>
        <v>0</v>
      </c>
      <c r="K383" s="284"/>
      <c r="L383" s="6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59"/>
      <c r="B384" s="65">
        <v>22</v>
      </c>
      <c r="C384" s="66"/>
      <c r="D384" s="67">
        <v>52</v>
      </c>
      <c r="E384" s="68"/>
      <c r="F384" s="3"/>
      <c r="G384" s="55"/>
      <c r="H384" s="55"/>
      <c r="I384" s="55"/>
      <c r="J384" s="55"/>
      <c r="K384" s="55"/>
      <c r="L384" s="69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59"/>
      <c r="B385" s="65">
        <v>23</v>
      </c>
      <c r="C385" s="66"/>
      <c r="D385" s="67">
        <v>53</v>
      </c>
      <c r="E385" s="68"/>
      <c r="F385" s="3"/>
      <c r="G385" s="285" t="s">
        <v>458</v>
      </c>
      <c r="H385" s="101"/>
      <c r="I385" s="101"/>
      <c r="J385" s="102"/>
      <c r="K385" s="3"/>
      <c r="L385" s="69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59"/>
      <c r="B386" s="65">
        <v>24</v>
      </c>
      <c r="C386" s="66"/>
      <c r="D386" s="67">
        <v>54</v>
      </c>
      <c r="E386" s="68"/>
      <c r="F386" s="3"/>
      <c r="G386" s="286" t="s">
        <v>449</v>
      </c>
      <c r="H386" s="157"/>
      <c r="I386" s="287" t="s">
        <v>300</v>
      </c>
      <c r="J386" s="96"/>
      <c r="K386" s="3"/>
      <c r="L386" s="69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59"/>
      <c r="B387" s="65">
        <v>25</v>
      </c>
      <c r="C387" s="66"/>
      <c r="D387" s="67">
        <v>55</v>
      </c>
      <c r="E387" s="68"/>
      <c r="F387" s="3"/>
      <c r="G387" s="260" t="s">
        <v>459</v>
      </c>
      <c r="H387" s="83"/>
      <c r="I387" s="262"/>
      <c r="J387" s="80"/>
      <c r="K387" s="3"/>
      <c r="L387" s="69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59"/>
      <c r="B388" s="65">
        <v>26</v>
      </c>
      <c r="C388" s="66"/>
      <c r="D388" s="67">
        <v>56</v>
      </c>
      <c r="E388" s="68"/>
      <c r="F388" s="3"/>
      <c r="G388" s="260" t="s">
        <v>460</v>
      </c>
      <c r="H388" s="83"/>
      <c r="I388" s="262"/>
      <c r="J388" s="80"/>
      <c r="K388" s="3"/>
      <c r="L388" s="69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59"/>
      <c r="B389" s="65">
        <v>27</v>
      </c>
      <c r="C389" s="66"/>
      <c r="D389" s="67">
        <v>57</v>
      </c>
      <c r="E389" s="68"/>
      <c r="F389" s="3"/>
      <c r="G389" s="260" t="s">
        <v>461</v>
      </c>
      <c r="H389" s="83"/>
      <c r="I389" s="262"/>
      <c r="J389" s="80"/>
      <c r="K389" s="3"/>
      <c r="L389" s="69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59"/>
      <c r="B390" s="65">
        <v>28</v>
      </c>
      <c r="C390" s="66"/>
      <c r="D390" s="67">
        <v>58</v>
      </c>
      <c r="E390" s="68"/>
      <c r="F390" s="3"/>
      <c r="G390" s="260" t="s">
        <v>462</v>
      </c>
      <c r="H390" s="83"/>
      <c r="I390" s="262"/>
      <c r="J390" s="80"/>
      <c r="K390" s="3"/>
      <c r="L390" s="69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59"/>
      <c r="B391" s="65">
        <v>29</v>
      </c>
      <c r="C391" s="66"/>
      <c r="D391" s="67">
        <v>59</v>
      </c>
      <c r="E391" s="68"/>
      <c r="F391" s="3"/>
      <c r="G391" s="260" t="s">
        <v>463</v>
      </c>
      <c r="H391" s="83"/>
      <c r="I391" s="262"/>
      <c r="J391" s="80"/>
      <c r="K391" s="3"/>
      <c r="L391" s="69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59"/>
      <c r="B392" s="65">
        <v>30</v>
      </c>
      <c r="C392" s="66"/>
      <c r="D392" s="67">
        <v>60</v>
      </c>
      <c r="E392" s="68"/>
      <c r="F392" s="3"/>
      <c r="G392" s="261" t="s">
        <v>287</v>
      </c>
      <c r="H392" s="166"/>
      <c r="I392" s="265">
        <f>SUM(I387:J391)</f>
        <v>0</v>
      </c>
      <c r="J392" s="169"/>
      <c r="K392" s="3"/>
      <c r="L392" s="69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70"/>
      <c r="B393" s="266" t="s">
        <v>287</v>
      </c>
      <c r="C393" s="168"/>
      <c r="D393" s="166"/>
      <c r="E393" s="71">
        <f>SUM(C363:C392,E363:E392)</f>
        <v>0</v>
      </c>
      <c r="F393" s="72"/>
      <c r="G393" s="72"/>
      <c r="H393" s="72"/>
      <c r="I393" s="72"/>
      <c r="J393" s="72"/>
      <c r="K393" s="72"/>
      <c r="L393" s="7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153" t="s">
        <v>464</v>
      </c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7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154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171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267" t="s">
        <v>299</v>
      </c>
      <c r="B397" s="95"/>
      <c r="C397" s="95"/>
      <c r="D397" s="95"/>
      <c r="E397" s="95"/>
      <c r="F397" s="95"/>
      <c r="G397" s="157"/>
      <c r="H397" s="74" t="s">
        <v>465</v>
      </c>
      <c r="I397" s="264" t="s">
        <v>466</v>
      </c>
      <c r="J397" s="157"/>
      <c r="K397" s="223" t="s">
        <v>467</v>
      </c>
      <c r="L397" s="9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254" t="s">
        <v>468</v>
      </c>
      <c r="B398" s="79"/>
      <c r="C398" s="79"/>
      <c r="D398" s="79"/>
      <c r="E398" s="79"/>
      <c r="F398" s="79"/>
      <c r="G398" s="83"/>
      <c r="H398" s="75"/>
      <c r="I398" s="233"/>
      <c r="J398" s="83"/>
      <c r="K398" s="263">
        <f t="shared" ref="K398:K430" si="2">H398*I398</f>
        <v>0</v>
      </c>
      <c r="L398" s="8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254" t="s">
        <v>469</v>
      </c>
      <c r="B399" s="79"/>
      <c r="C399" s="79"/>
      <c r="D399" s="79"/>
      <c r="E399" s="79"/>
      <c r="F399" s="79"/>
      <c r="G399" s="83"/>
      <c r="H399" s="75"/>
      <c r="I399" s="233"/>
      <c r="J399" s="83"/>
      <c r="K399" s="263">
        <f t="shared" si="2"/>
        <v>0</v>
      </c>
      <c r="L399" s="8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254" t="s">
        <v>469</v>
      </c>
      <c r="B400" s="79"/>
      <c r="C400" s="79"/>
      <c r="D400" s="79"/>
      <c r="E400" s="79"/>
      <c r="F400" s="79"/>
      <c r="G400" s="83"/>
      <c r="H400" s="75"/>
      <c r="I400" s="233"/>
      <c r="J400" s="83"/>
      <c r="K400" s="263">
        <f t="shared" si="2"/>
        <v>0</v>
      </c>
      <c r="L400" s="8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254" t="s">
        <v>469</v>
      </c>
      <c r="B401" s="79"/>
      <c r="C401" s="79"/>
      <c r="D401" s="79"/>
      <c r="E401" s="79"/>
      <c r="F401" s="79"/>
      <c r="G401" s="83"/>
      <c r="H401" s="75"/>
      <c r="I401" s="233"/>
      <c r="J401" s="83"/>
      <c r="K401" s="263">
        <f t="shared" si="2"/>
        <v>0</v>
      </c>
      <c r="L401" s="8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254" t="s">
        <v>469</v>
      </c>
      <c r="B402" s="79"/>
      <c r="C402" s="79"/>
      <c r="D402" s="79"/>
      <c r="E402" s="79"/>
      <c r="F402" s="79"/>
      <c r="G402" s="83"/>
      <c r="H402" s="75"/>
      <c r="I402" s="233"/>
      <c r="J402" s="83"/>
      <c r="K402" s="263">
        <f t="shared" si="2"/>
        <v>0</v>
      </c>
      <c r="L402" s="8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254" t="s">
        <v>469</v>
      </c>
      <c r="B403" s="79"/>
      <c r="C403" s="79"/>
      <c r="D403" s="79"/>
      <c r="E403" s="79"/>
      <c r="F403" s="79"/>
      <c r="G403" s="83"/>
      <c r="H403" s="75"/>
      <c r="I403" s="233"/>
      <c r="J403" s="83"/>
      <c r="K403" s="263">
        <f t="shared" si="2"/>
        <v>0</v>
      </c>
      <c r="L403" s="8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254" t="s">
        <v>469</v>
      </c>
      <c r="B404" s="79"/>
      <c r="C404" s="79"/>
      <c r="D404" s="79"/>
      <c r="E404" s="79"/>
      <c r="F404" s="79"/>
      <c r="G404" s="83"/>
      <c r="H404" s="75"/>
      <c r="I404" s="233"/>
      <c r="J404" s="83"/>
      <c r="K404" s="263">
        <f t="shared" si="2"/>
        <v>0</v>
      </c>
      <c r="L404" s="8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254" t="s">
        <v>469</v>
      </c>
      <c r="B405" s="79"/>
      <c r="C405" s="79"/>
      <c r="D405" s="79"/>
      <c r="E405" s="79"/>
      <c r="F405" s="79"/>
      <c r="G405" s="83"/>
      <c r="H405" s="75"/>
      <c r="I405" s="233"/>
      <c r="J405" s="83"/>
      <c r="K405" s="263">
        <f t="shared" si="2"/>
        <v>0</v>
      </c>
      <c r="L405" s="8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254" t="s">
        <v>469</v>
      </c>
      <c r="B406" s="79"/>
      <c r="C406" s="79"/>
      <c r="D406" s="79"/>
      <c r="E406" s="79"/>
      <c r="F406" s="79"/>
      <c r="G406" s="83"/>
      <c r="H406" s="75"/>
      <c r="I406" s="233"/>
      <c r="J406" s="83"/>
      <c r="K406" s="263">
        <f t="shared" si="2"/>
        <v>0</v>
      </c>
      <c r="L406" s="8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254" t="s">
        <v>469</v>
      </c>
      <c r="B407" s="79"/>
      <c r="C407" s="79"/>
      <c r="D407" s="79"/>
      <c r="E407" s="79"/>
      <c r="F407" s="79"/>
      <c r="G407" s="83"/>
      <c r="H407" s="75"/>
      <c r="I407" s="233"/>
      <c r="J407" s="83"/>
      <c r="K407" s="263">
        <f t="shared" si="2"/>
        <v>0</v>
      </c>
      <c r="L407" s="8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254" t="s">
        <v>469</v>
      </c>
      <c r="B408" s="79"/>
      <c r="C408" s="79"/>
      <c r="D408" s="79"/>
      <c r="E408" s="79"/>
      <c r="F408" s="79"/>
      <c r="G408" s="83"/>
      <c r="H408" s="75"/>
      <c r="I408" s="233"/>
      <c r="J408" s="83"/>
      <c r="K408" s="263">
        <f t="shared" si="2"/>
        <v>0</v>
      </c>
      <c r="L408" s="8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254" t="s">
        <v>469</v>
      </c>
      <c r="B409" s="79"/>
      <c r="C409" s="79"/>
      <c r="D409" s="79"/>
      <c r="E409" s="79"/>
      <c r="F409" s="79"/>
      <c r="G409" s="83"/>
      <c r="H409" s="75"/>
      <c r="I409" s="233"/>
      <c r="J409" s="83"/>
      <c r="K409" s="263">
        <f t="shared" si="2"/>
        <v>0</v>
      </c>
      <c r="L409" s="8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254" t="s">
        <v>469</v>
      </c>
      <c r="B410" s="79"/>
      <c r="C410" s="79"/>
      <c r="D410" s="79"/>
      <c r="E410" s="79"/>
      <c r="F410" s="79"/>
      <c r="G410" s="83"/>
      <c r="H410" s="75"/>
      <c r="I410" s="233"/>
      <c r="J410" s="83"/>
      <c r="K410" s="263">
        <f t="shared" si="2"/>
        <v>0</v>
      </c>
      <c r="L410" s="8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254" t="s">
        <v>469</v>
      </c>
      <c r="B411" s="79"/>
      <c r="C411" s="79"/>
      <c r="D411" s="79"/>
      <c r="E411" s="79"/>
      <c r="F411" s="79"/>
      <c r="G411" s="83"/>
      <c r="H411" s="75"/>
      <c r="I411" s="233"/>
      <c r="J411" s="83"/>
      <c r="K411" s="263">
        <f t="shared" si="2"/>
        <v>0</v>
      </c>
      <c r="L411" s="8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254" t="s">
        <v>469</v>
      </c>
      <c r="B412" s="79"/>
      <c r="C412" s="79"/>
      <c r="D412" s="79"/>
      <c r="E412" s="79"/>
      <c r="F412" s="79"/>
      <c r="G412" s="83"/>
      <c r="H412" s="75"/>
      <c r="I412" s="233"/>
      <c r="J412" s="83"/>
      <c r="K412" s="263">
        <f t="shared" si="2"/>
        <v>0</v>
      </c>
      <c r="L412" s="8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254" t="s">
        <v>469</v>
      </c>
      <c r="B413" s="79"/>
      <c r="C413" s="79"/>
      <c r="D413" s="79"/>
      <c r="E413" s="79"/>
      <c r="F413" s="79"/>
      <c r="G413" s="83"/>
      <c r="H413" s="75"/>
      <c r="I413" s="233"/>
      <c r="J413" s="83"/>
      <c r="K413" s="263">
        <f t="shared" si="2"/>
        <v>0</v>
      </c>
      <c r="L413" s="8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254" t="s">
        <v>469</v>
      </c>
      <c r="B414" s="79"/>
      <c r="C414" s="79"/>
      <c r="D414" s="79"/>
      <c r="E414" s="79"/>
      <c r="F414" s="79"/>
      <c r="G414" s="83"/>
      <c r="H414" s="75"/>
      <c r="I414" s="233"/>
      <c r="J414" s="83"/>
      <c r="K414" s="263">
        <f t="shared" si="2"/>
        <v>0</v>
      </c>
      <c r="L414" s="8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254" t="s">
        <v>469</v>
      </c>
      <c r="B415" s="79"/>
      <c r="C415" s="79"/>
      <c r="D415" s="79"/>
      <c r="E415" s="79"/>
      <c r="F415" s="79"/>
      <c r="G415" s="83"/>
      <c r="H415" s="75"/>
      <c r="I415" s="233"/>
      <c r="J415" s="83"/>
      <c r="K415" s="263">
        <f t="shared" si="2"/>
        <v>0</v>
      </c>
      <c r="L415" s="8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>
      <c r="A416" s="254" t="s">
        <v>469</v>
      </c>
      <c r="B416" s="79"/>
      <c r="C416" s="79"/>
      <c r="D416" s="79"/>
      <c r="E416" s="79"/>
      <c r="F416" s="79"/>
      <c r="G416" s="83"/>
      <c r="H416" s="75"/>
      <c r="I416" s="233"/>
      <c r="J416" s="83"/>
      <c r="K416" s="263">
        <f t="shared" si="2"/>
        <v>0</v>
      </c>
      <c r="L416" s="8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6" customHeight="1">
      <c r="A417" s="254" t="s">
        <v>469</v>
      </c>
      <c r="B417" s="79"/>
      <c r="C417" s="79"/>
      <c r="D417" s="79"/>
      <c r="E417" s="79"/>
      <c r="F417" s="79"/>
      <c r="G417" s="83"/>
      <c r="H417" s="75"/>
      <c r="I417" s="233"/>
      <c r="J417" s="83"/>
      <c r="K417" s="263">
        <f t="shared" si="2"/>
        <v>0</v>
      </c>
      <c r="L417" s="8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254" t="s">
        <v>469</v>
      </c>
      <c r="B418" s="79"/>
      <c r="C418" s="79"/>
      <c r="D418" s="79"/>
      <c r="E418" s="79"/>
      <c r="F418" s="79"/>
      <c r="G418" s="83"/>
      <c r="H418" s="75"/>
      <c r="I418" s="233"/>
      <c r="J418" s="83"/>
      <c r="K418" s="263">
        <f t="shared" si="2"/>
        <v>0</v>
      </c>
      <c r="L418" s="8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>
      <c r="A419" s="254" t="s">
        <v>469</v>
      </c>
      <c r="B419" s="79"/>
      <c r="C419" s="79"/>
      <c r="D419" s="79"/>
      <c r="E419" s="79"/>
      <c r="F419" s="79"/>
      <c r="G419" s="83"/>
      <c r="H419" s="75"/>
      <c r="I419" s="233"/>
      <c r="J419" s="83"/>
      <c r="K419" s="263">
        <f t="shared" si="2"/>
        <v>0</v>
      </c>
      <c r="L419" s="8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254" t="s">
        <v>469</v>
      </c>
      <c r="B420" s="79"/>
      <c r="C420" s="79"/>
      <c r="D420" s="79"/>
      <c r="E420" s="79"/>
      <c r="F420" s="79"/>
      <c r="G420" s="83"/>
      <c r="H420" s="75"/>
      <c r="I420" s="233"/>
      <c r="J420" s="83"/>
      <c r="K420" s="263">
        <f t="shared" si="2"/>
        <v>0</v>
      </c>
      <c r="L420" s="8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>
      <c r="A421" s="254" t="s">
        <v>469</v>
      </c>
      <c r="B421" s="79"/>
      <c r="C421" s="79"/>
      <c r="D421" s="79"/>
      <c r="E421" s="79"/>
      <c r="F421" s="79"/>
      <c r="G421" s="83"/>
      <c r="H421" s="75"/>
      <c r="I421" s="233"/>
      <c r="J421" s="83"/>
      <c r="K421" s="263">
        <f t="shared" si="2"/>
        <v>0</v>
      </c>
      <c r="L421" s="8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254" t="s">
        <v>469</v>
      </c>
      <c r="B422" s="79"/>
      <c r="C422" s="79"/>
      <c r="D422" s="79"/>
      <c r="E422" s="79"/>
      <c r="F422" s="79"/>
      <c r="G422" s="83"/>
      <c r="H422" s="75"/>
      <c r="I422" s="233"/>
      <c r="J422" s="83"/>
      <c r="K422" s="263">
        <f t="shared" si="2"/>
        <v>0</v>
      </c>
      <c r="L422" s="8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>
      <c r="A423" s="254" t="s">
        <v>469</v>
      </c>
      <c r="B423" s="79"/>
      <c r="C423" s="79"/>
      <c r="D423" s="79"/>
      <c r="E423" s="79"/>
      <c r="F423" s="79"/>
      <c r="G423" s="83"/>
      <c r="H423" s="75"/>
      <c r="I423" s="233"/>
      <c r="J423" s="83"/>
      <c r="K423" s="263">
        <f t="shared" si="2"/>
        <v>0</v>
      </c>
      <c r="L423" s="8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254" t="s">
        <v>469</v>
      </c>
      <c r="B424" s="79"/>
      <c r="C424" s="79"/>
      <c r="D424" s="79"/>
      <c r="E424" s="79"/>
      <c r="F424" s="79"/>
      <c r="G424" s="83"/>
      <c r="H424" s="75"/>
      <c r="I424" s="233"/>
      <c r="J424" s="83"/>
      <c r="K424" s="263">
        <f t="shared" si="2"/>
        <v>0</v>
      </c>
      <c r="L424" s="8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254" t="s">
        <v>469</v>
      </c>
      <c r="B425" s="79"/>
      <c r="C425" s="79"/>
      <c r="D425" s="79"/>
      <c r="E425" s="79"/>
      <c r="F425" s="79"/>
      <c r="G425" s="83"/>
      <c r="H425" s="75"/>
      <c r="I425" s="233"/>
      <c r="J425" s="83"/>
      <c r="K425" s="263">
        <f t="shared" si="2"/>
        <v>0</v>
      </c>
      <c r="L425" s="8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254" t="s">
        <v>469</v>
      </c>
      <c r="B426" s="79"/>
      <c r="C426" s="79"/>
      <c r="D426" s="79"/>
      <c r="E426" s="79"/>
      <c r="F426" s="79"/>
      <c r="G426" s="83"/>
      <c r="H426" s="75"/>
      <c r="I426" s="233"/>
      <c r="J426" s="83"/>
      <c r="K426" s="263">
        <f t="shared" si="2"/>
        <v>0</v>
      </c>
      <c r="L426" s="8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254" t="s">
        <v>469</v>
      </c>
      <c r="B427" s="79"/>
      <c r="C427" s="79"/>
      <c r="D427" s="79"/>
      <c r="E427" s="79"/>
      <c r="F427" s="79"/>
      <c r="G427" s="83"/>
      <c r="H427" s="75"/>
      <c r="I427" s="233"/>
      <c r="J427" s="83"/>
      <c r="K427" s="263">
        <f t="shared" si="2"/>
        <v>0</v>
      </c>
      <c r="L427" s="8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254" t="s">
        <v>469</v>
      </c>
      <c r="B428" s="79"/>
      <c r="C428" s="79"/>
      <c r="D428" s="79"/>
      <c r="E428" s="79"/>
      <c r="F428" s="79"/>
      <c r="G428" s="83"/>
      <c r="H428" s="75"/>
      <c r="I428" s="233"/>
      <c r="J428" s="83"/>
      <c r="K428" s="263">
        <f t="shared" si="2"/>
        <v>0</v>
      </c>
      <c r="L428" s="8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254" t="s">
        <v>469</v>
      </c>
      <c r="B429" s="79"/>
      <c r="C429" s="79"/>
      <c r="D429" s="79"/>
      <c r="E429" s="79"/>
      <c r="F429" s="79"/>
      <c r="G429" s="83"/>
      <c r="H429" s="75"/>
      <c r="I429" s="233"/>
      <c r="J429" s="83"/>
      <c r="K429" s="263">
        <f t="shared" si="2"/>
        <v>0</v>
      </c>
      <c r="L429" s="8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289" t="s">
        <v>469</v>
      </c>
      <c r="B430" s="168"/>
      <c r="C430" s="168"/>
      <c r="D430" s="168"/>
      <c r="E430" s="168"/>
      <c r="F430" s="168"/>
      <c r="G430" s="166"/>
      <c r="H430" s="76"/>
      <c r="I430" s="234"/>
      <c r="J430" s="166"/>
      <c r="K430" s="256">
        <f t="shared" si="2"/>
        <v>0</v>
      </c>
      <c r="L430" s="169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290" t="s">
        <v>287</v>
      </c>
      <c r="B431" s="168"/>
      <c r="C431" s="168"/>
      <c r="D431" s="168"/>
      <c r="E431" s="168"/>
      <c r="F431" s="168"/>
      <c r="G431" s="166"/>
      <c r="H431" s="77"/>
      <c r="I431" s="288"/>
      <c r="J431" s="166"/>
      <c r="K431" s="256">
        <f>SUM(K398:L430)</f>
        <v>0</v>
      </c>
      <c r="L431" s="169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291" t="s">
        <v>470</v>
      </c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292" t="s">
        <v>471</v>
      </c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293" t="s">
        <v>472</v>
      </c>
      <c r="B435" s="79"/>
      <c r="C435" s="79"/>
      <c r="D435" s="83"/>
      <c r="E435" s="294" t="s">
        <v>473</v>
      </c>
      <c r="F435" s="83"/>
      <c r="G435" s="295" t="s">
        <v>474</v>
      </c>
      <c r="H435" s="83"/>
      <c r="I435" s="295" t="s">
        <v>475</v>
      </c>
      <c r="J435" s="79"/>
      <c r="K435" s="79"/>
      <c r="L435" s="8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296"/>
      <c r="B436" s="79"/>
      <c r="C436" s="79"/>
      <c r="D436" s="83"/>
      <c r="E436" s="135"/>
      <c r="F436" s="83"/>
      <c r="G436" s="135"/>
      <c r="H436" s="83"/>
      <c r="I436" s="136" t="s">
        <v>476</v>
      </c>
      <c r="J436" s="79"/>
      <c r="K436" s="79"/>
      <c r="L436" s="8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296"/>
      <c r="B437" s="79"/>
      <c r="C437" s="79"/>
      <c r="D437" s="83"/>
      <c r="E437" s="135"/>
      <c r="F437" s="83"/>
      <c r="G437" s="135"/>
      <c r="H437" s="83"/>
      <c r="I437" s="136" t="s">
        <v>476</v>
      </c>
      <c r="J437" s="79"/>
      <c r="K437" s="79"/>
      <c r="L437" s="8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296"/>
      <c r="B438" s="79"/>
      <c r="C438" s="79"/>
      <c r="D438" s="83"/>
      <c r="E438" s="135"/>
      <c r="F438" s="83"/>
      <c r="G438" s="135"/>
      <c r="H438" s="83"/>
      <c r="I438" s="136" t="s">
        <v>476</v>
      </c>
      <c r="J438" s="79"/>
      <c r="K438" s="79"/>
      <c r="L438" s="8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296"/>
      <c r="B439" s="79"/>
      <c r="C439" s="79"/>
      <c r="D439" s="83"/>
      <c r="E439" s="135"/>
      <c r="F439" s="83"/>
      <c r="G439" s="135"/>
      <c r="H439" s="83"/>
      <c r="I439" s="136" t="s">
        <v>476</v>
      </c>
      <c r="J439" s="79"/>
      <c r="K439" s="79"/>
      <c r="L439" s="8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296"/>
      <c r="B440" s="79"/>
      <c r="C440" s="79"/>
      <c r="D440" s="83"/>
      <c r="E440" s="135"/>
      <c r="F440" s="83"/>
      <c r="G440" s="135"/>
      <c r="H440" s="83"/>
      <c r="I440" s="136" t="s">
        <v>476</v>
      </c>
      <c r="J440" s="79"/>
      <c r="K440" s="79"/>
      <c r="L440" s="8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296"/>
      <c r="B441" s="79"/>
      <c r="C441" s="79"/>
      <c r="D441" s="83"/>
      <c r="E441" s="135"/>
      <c r="F441" s="83"/>
      <c r="G441" s="135"/>
      <c r="H441" s="83"/>
      <c r="I441" s="136" t="s">
        <v>476</v>
      </c>
      <c r="J441" s="79"/>
      <c r="K441" s="79"/>
      <c r="L441" s="8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297"/>
      <c r="B442" s="168"/>
      <c r="C442" s="168"/>
      <c r="D442" s="166"/>
      <c r="E442" s="298"/>
      <c r="F442" s="166"/>
      <c r="G442" s="298"/>
      <c r="H442" s="166"/>
      <c r="I442" s="299" t="s">
        <v>476</v>
      </c>
      <c r="J442" s="168"/>
      <c r="K442" s="168"/>
      <c r="L442" s="169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/>
    <row r="644" spans="1:26" ht="15.75" customHeight="1"/>
    <row r="645" spans="1:26" ht="15.75" customHeight="1"/>
    <row r="646" spans="1:26" ht="15.75" customHeight="1"/>
    <row r="647" spans="1:26" ht="15.75" customHeight="1"/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91">
    <mergeCell ref="A441:D441"/>
    <mergeCell ref="A442:D442"/>
    <mergeCell ref="E442:F442"/>
    <mergeCell ref="G442:H442"/>
    <mergeCell ref="I442:L442"/>
    <mergeCell ref="A440:D440"/>
    <mergeCell ref="E440:F440"/>
    <mergeCell ref="G440:H440"/>
    <mergeCell ref="I440:L440"/>
    <mergeCell ref="E441:F441"/>
    <mergeCell ref="G441:H441"/>
    <mergeCell ref="I441:L441"/>
    <mergeCell ref="G439:H439"/>
    <mergeCell ref="I439:L439"/>
    <mergeCell ref="A437:D437"/>
    <mergeCell ref="A438:D438"/>
    <mergeCell ref="E438:F438"/>
    <mergeCell ref="G438:H438"/>
    <mergeCell ref="I438:L438"/>
    <mergeCell ref="A439:D439"/>
    <mergeCell ref="E439:F439"/>
    <mergeCell ref="A435:D435"/>
    <mergeCell ref="E435:F435"/>
    <mergeCell ref="G435:H435"/>
    <mergeCell ref="I435:L435"/>
    <mergeCell ref="A436:D436"/>
    <mergeCell ref="E436:F436"/>
    <mergeCell ref="G436:H436"/>
    <mergeCell ref="I436:L436"/>
    <mergeCell ref="E437:F437"/>
    <mergeCell ref="G437:H437"/>
    <mergeCell ref="I437:L437"/>
    <mergeCell ref="A429:G429"/>
    <mergeCell ref="I429:J429"/>
    <mergeCell ref="K429:L429"/>
    <mergeCell ref="A430:G430"/>
    <mergeCell ref="K430:L430"/>
    <mergeCell ref="K431:L431"/>
    <mergeCell ref="A431:G431"/>
    <mergeCell ref="A433:L433"/>
    <mergeCell ref="A434:L434"/>
    <mergeCell ref="I427:J427"/>
    <mergeCell ref="I428:J428"/>
    <mergeCell ref="A425:G425"/>
    <mergeCell ref="A426:G426"/>
    <mergeCell ref="I426:J426"/>
    <mergeCell ref="K426:L426"/>
    <mergeCell ref="A427:G427"/>
    <mergeCell ref="K427:L427"/>
    <mergeCell ref="K428:L428"/>
    <mergeCell ref="A428:G428"/>
    <mergeCell ref="I424:J424"/>
    <mergeCell ref="I425:J425"/>
    <mergeCell ref="A422:G422"/>
    <mergeCell ref="A423:G423"/>
    <mergeCell ref="I423:J423"/>
    <mergeCell ref="K423:L423"/>
    <mergeCell ref="A424:G424"/>
    <mergeCell ref="K424:L424"/>
    <mergeCell ref="K425:L425"/>
    <mergeCell ref="I421:J421"/>
    <mergeCell ref="I422:J422"/>
    <mergeCell ref="A419:G419"/>
    <mergeCell ref="A420:G420"/>
    <mergeCell ref="I420:J420"/>
    <mergeCell ref="K420:L420"/>
    <mergeCell ref="A421:G421"/>
    <mergeCell ref="K421:L421"/>
    <mergeCell ref="K422:L422"/>
    <mergeCell ref="K416:L416"/>
    <mergeCell ref="I418:J418"/>
    <mergeCell ref="I419:J419"/>
    <mergeCell ref="A416:G416"/>
    <mergeCell ref="A417:G417"/>
    <mergeCell ref="I417:J417"/>
    <mergeCell ref="K417:L417"/>
    <mergeCell ref="A418:G418"/>
    <mergeCell ref="K418:L418"/>
    <mergeCell ref="K419:L419"/>
    <mergeCell ref="G383:I383"/>
    <mergeCell ref="J383:K383"/>
    <mergeCell ref="G385:J385"/>
    <mergeCell ref="G386:H386"/>
    <mergeCell ref="I386:J386"/>
    <mergeCell ref="I430:J430"/>
    <mergeCell ref="I431:J431"/>
    <mergeCell ref="I412:J412"/>
    <mergeCell ref="I413:J413"/>
    <mergeCell ref="A410:G410"/>
    <mergeCell ref="A411:G411"/>
    <mergeCell ref="I411:J411"/>
    <mergeCell ref="K411:L411"/>
    <mergeCell ref="A412:G412"/>
    <mergeCell ref="K412:L412"/>
    <mergeCell ref="K413:L413"/>
    <mergeCell ref="I415:J415"/>
    <mergeCell ref="I416:J416"/>
    <mergeCell ref="A413:G413"/>
    <mergeCell ref="A414:G414"/>
    <mergeCell ref="I414:J414"/>
    <mergeCell ref="K414:L414"/>
    <mergeCell ref="A415:G415"/>
    <mergeCell ref="K415:L415"/>
    <mergeCell ref="H369:I369"/>
    <mergeCell ref="J369:K369"/>
    <mergeCell ref="H370:I370"/>
    <mergeCell ref="G373:G374"/>
    <mergeCell ref="G377:G378"/>
    <mergeCell ref="G381:G382"/>
    <mergeCell ref="J370:K370"/>
    <mergeCell ref="G371:K372"/>
    <mergeCell ref="H373:I373"/>
    <mergeCell ref="J373:K373"/>
    <mergeCell ref="H374:I374"/>
    <mergeCell ref="J374:K374"/>
    <mergeCell ref="G375:K376"/>
    <mergeCell ref="H377:I377"/>
    <mergeCell ref="J377:K377"/>
    <mergeCell ref="H378:I378"/>
    <mergeCell ref="J378:K378"/>
    <mergeCell ref="G379:K380"/>
    <mergeCell ref="H381:I381"/>
    <mergeCell ref="J381:K381"/>
    <mergeCell ref="H382:I382"/>
    <mergeCell ref="J382:K382"/>
    <mergeCell ref="I397:J397"/>
    <mergeCell ref="I398:J398"/>
    <mergeCell ref="I391:J391"/>
    <mergeCell ref="I392:J392"/>
    <mergeCell ref="B393:D393"/>
    <mergeCell ref="A395:L396"/>
    <mergeCell ref="A397:G397"/>
    <mergeCell ref="K397:L397"/>
    <mergeCell ref="K398:L398"/>
    <mergeCell ref="I409:J409"/>
    <mergeCell ref="I410:J410"/>
    <mergeCell ref="A407:G407"/>
    <mergeCell ref="A408:G408"/>
    <mergeCell ref="I408:J408"/>
    <mergeCell ref="K408:L408"/>
    <mergeCell ref="A409:G409"/>
    <mergeCell ref="K409:L409"/>
    <mergeCell ref="K410:L410"/>
    <mergeCell ref="I406:J406"/>
    <mergeCell ref="I407:J407"/>
    <mergeCell ref="A404:G404"/>
    <mergeCell ref="A405:G405"/>
    <mergeCell ref="I405:J405"/>
    <mergeCell ref="K405:L405"/>
    <mergeCell ref="A406:G406"/>
    <mergeCell ref="K406:L406"/>
    <mergeCell ref="K407:L407"/>
    <mergeCell ref="I403:J403"/>
    <mergeCell ref="I404:J404"/>
    <mergeCell ref="A401:G401"/>
    <mergeCell ref="A402:G402"/>
    <mergeCell ref="I402:J402"/>
    <mergeCell ref="K402:L402"/>
    <mergeCell ref="A403:G403"/>
    <mergeCell ref="K403:L403"/>
    <mergeCell ref="K404:L404"/>
    <mergeCell ref="I400:J400"/>
    <mergeCell ref="I401:J401"/>
    <mergeCell ref="A398:G398"/>
    <mergeCell ref="A399:G399"/>
    <mergeCell ref="I399:J399"/>
    <mergeCell ref="K399:L399"/>
    <mergeCell ref="A400:G400"/>
    <mergeCell ref="K400:L400"/>
    <mergeCell ref="K401:L401"/>
    <mergeCell ref="B342:L342"/>
    <mergeCell ref="H365:I365"/>
    <mergeCell ref="J365:K365"/>
    <mergeCell ref="G390:H390"/>
    <mergeCell ref="G391:H391"/>
    <mergeCell ref="G392:H392"/>
    <mergeCell ref="G387:H387"/>
    <mergeCell ref="I387:J387"/>
    <mergeCell ref="G388:H388"/>
    <mergeCell ref="I388:J388"/>
    <mergeCell ref="G389:H389"/>
    <mergeCell ref="I389:J389"/>
    <mergeCell ref="I390:J390"/>
    <mergeCell ref="A359:L360"/>
    <mergeCell ref="B361:E361"/>
    <mergeCell ref="G361:K361"/>
    <mergeCell ref="H362:I362"/>
    <mergeCell ref="J362:K362"/>
    <mergeCell ref="G363:K364"/>
    <mergeCell ref="G365:G366"/>
    <mergeCell ref="H366:I366"/>
    <mergeCell ref="J366:K366"/>
    <mergeCell ref="G367:K368"/>
    <mergeCell ref="G369:G370"/>
    <mergeCell ref="A356:L356"/>
    <mergeCell ref="A357:L357"/>
    <mergeCell ref="D322:J322"/>
    <mergeCell ref="D323:J323"/>
    <mergeCell ref="A319:B321"/>
    <mergeCell ref="C319:C321"/>
    <mergeCell ref="D319:J321"/>
    <mergeCell ref="K319:L319"/>
    <mergeCell ref="K320:L320"/>
    <mergeCell ref="A322:B322"/>
    <mergeCell ref="A323:B323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24:B324"/>
    <mergeCell ref="D324:J324"/>
    <mergeCell ref="A325:B325"/>
    <mergeCell ref="D325:J325"/>
    <mergeCell ref="A326:B326"/>
    <mergeCell ref="B346:L346"/>
    <mergeCell ref="B347:L347"/>
    <mergeCell ref="B348:L348"/>
    <mergeCell ref="B349:L349"/>
    <mergeCell ref="B350:L350"/>
    <mergeCell ref="B351:L351"/>
    <mergeCell ref="B352:L352"/>
    <mergeCell ref="B353:L353"/>
    <mergeCell ref="A354:L354"/>
    <mergeCell ref="A309:J311"/>
    <mergeCell ref="K309:L311"/>
    <mergeCell ref="A312:L313"/>
    <mergeCell ref="A314:J315"/>
    <mergeCell ref="K314:L315"/>
    <mergeCell ref="A317:L318"/>
    <mergeCell ref="B343:L343"/>
    <mergeCell ref="B344:L344"/>
    <mergeCell ref="B345:L345"/>
    <mergeCell ref="D326:J326"/>
    <mergeCell ref="D327:J327"/>
    <mergeCell ref="D328:J328"/>
    <mergeCell ref="D329:J329"/>
    <mergeCell ref="D330:J330"/>
    <mergeCell ref="D331:J331"/>
    <mergeCell ref="D332:J332"/>
    <mergeCell ref="D333:J333"/>
    <mergeCell ref="D334:J334"/>
    <mergeCell ref="A335:J335"/>
    <mergeCell ref="K335:L335"/>
    <mergeCell ref="A337:L338"/>
    <mergeCell ref="A339:L339"/>
    <mergeCell ref="B340:L340"/>
    <mergeCell ref="B341:L341"/>
    <mergeCell ref="K299:L299"/>
    <mergeCell ref="K300:L300"/>
    <mergeCell ref="K301:L301"/>
    <mergeCell ref="K302:L302"/>
    <mergeCell ref="K303:L303"/>
    <mergeCell ref="A305:J306"/>
    <mergeCell ref="K305:L306"/>
    <mergeCell ref="K307:L308"/>
    <mergeCell ref="A307:J308"/>
    <mergeCell ref="K288:L288"/>
    <mergeCell ref="K289:L289"/>
    <mergeCell ref="K290:L290"/>
    <mergeCell ref="K291:L291"/>
    <mergeCell ref="A293:J294"/>
    <mergeCell ref="K293:L294"/>
    <mergeCell ref="A295:J295"/>
    <mergeCell ref="K295:L295"/>
    <mergeCell ref="A297:J298"/>
    <mergeCell ref="K297:L29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A184:B184"/>
    <mergeCell ref="C184:E184"/>
    <mergeCell ref="F184:G184"/>
    <mergeCell ref="K264:L264"/>
    <mergeCell ref="K265:L265"/>
    <mergeCell ref="K266:L266"/>
    <mergeCell ref="K267:L267"/>
    <mergeCell ref="K268:L268"/>
    <mergeCell ref="K269:L269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K250:L250"/>
    <mergeCell ref="K251:L251"/>
    <mergeCell ref="K252:L252"/>
    <mergeCell ref="A254:J255"/>
    <mergeCell ref="K254:L255"/>
    <mergeCell ref="A263:J263"/>
    <mergeCell ref="K263:L263"/>
    <mergeCell ref="K256:L256"/>
    <mergeCell ref="K257:L257"/>
    <mergeCell ref="K258:L258"/>
    <mergeCell ref="K259:L259"/>
    <mergeCell ref="K260:L260"/>
    <mergeCell ref="K261:L261"/>
    <mergeCell ref="K262:L262"/>
    <mergeCell ref="K240:L240"/>
    <mergeCell ref="K241:L241"/>
    <mergeCell ref="K242:L242"/>
    <mergeCell ref="K243:L243"/>
    <mergeCell ref="K244:L244"/>
    <mergeCell ref="A246:J247"/>
    <mergeCell ref="K246:L247"/>
    <mergeCell ref="K248:L248"/>
    <mergeCell ref="K249:L249"/>
    <mergeCell ref="K228:L228"/>
    <mergeCell ref="K236:L236"/>
    <mergeCell ref="A238:J239"/>
    <mergeCell ref="K238:L239"/>
    <mergeCell ref="K229:L229"/>
    <mergeCell ref="K230:L230"/>
    <mergeCell ref="K231:L231"/>
    <mergeCell ref="K232:L232"/>
    <mergeCell ref="K233:L233"/>
    <mergeCell ref="K234:L234"/>
    <mergeCell ref="K235:L235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A192:J193"/>
    <mergeCell ref="K192:L193"/>
    <mergeCell ref="K194:L194"/>
    <mergeCell ref="K195:L195"/>
    <mergeCell ref="K196:L196"/>
    <mergeCell ref="K197:L197"/>
    <mergeCell ref="K198:L198"/>
    <mergeCell ref="K199:L199"/>
    <mergeCell ref="K200:L200"/>
    <mergeCell ref="A186:J186"/>
    <mergeCell ref="K186:L186"/>
    <mergeCell ref="A187:J187"/>
    <mergeCell ref="K187:L187"/>
    <mergeCell ref="K188:L188"/>
    <mergeCell ref="A188:J188"/>
    <mergeCell ref="A189:J189"/>
    <mergeCell ref="K189:L189"/>
    <mergeCell ref="A190:J190"/>
    <mergeCell ref="K190:L190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A146:B146"/>
    <mergeCell ref="C146:E146"/>
    <mergeCell ref="F146:G146"/>
    <mergeCell ref="A147:B147"/>
    <mergeCell ref="C147:E147"/>
    <mergeCell ref="F147:G147"/>
    <mergeCell ref="A149:L149"/>
    <mergeCell ref="C150:E151"/>
    <mergeCell ref="F150:G151"/>
    <mergeCell ref="H150:H151"/>
    <mergeCell ref="I150:I151"/>
    <mergeCell ref="J150:J151"/>
    <mergeCell ref="K150:K151"/>
    <mergeCell ref="L150:L151"/>
    <mergeCell ref="C145:E145"/>
    <mergeCell ref="F145:G145"/>
    <mergeCell ref="A143:B143"/>
    <mergeCell ref="C143:E143"/>
    <mergeCell ref="F143:G143"/>
    <mergeCell ref="A144:B144"/>
    <mergeCell ref="C144:E144"/>
    <mergeCell ref="F144:G144"/>
    <mergeCell ref="A145:B145"/>
    <mergeCell ref="C142:E142"/>
    <mergeCell ref="F142:G142"/>
    <mergeCell ref="A140:B140"/>
    <mergeCell ref="C140:E140"/>
    <mergeCell ref="F140:G140"/>
    <mergeCell ref="A141:B141"/>
    <mergeCell ref="C141:E141"/>
    <mergeCell ref="F141:G141"/>
    <mergeCell ref="A142:B142"/>
    <mergeCell ref="A135:B135"/>
    <mergeCell ref="C135:E135"/>
    <mergeCell ref="F135:G135"/>
    <mergeCell ref="A136:B136"/>
    <mergeCell ref="C139:E139"/>
    <mergeCell ref="F139:G139"/>
    <mergeCell ref="A137:B137"/>
    <mergeCell ref="C137:E137"/>
    <mergeCell ref="F137:G137"/>
    <mergeCell ref="A138:B138"/>
    <mergeCell ref="C138:E138"/>
    <mergeCell ref="F138:G138"/>
    <mergeCell ref="A139:B139"/>
    <mergeCell ref="A112:L112"/>
    <mergeCell ref="A113:L113"/>
    <mergeCell ref="A114:L114"/>
    <mergeCell ref="A150:B151"/>
    <mergeCell ref="A152:B152"/>
    <mergeCell ref="C152:E152"/>
    <mergeCell ref="F152:G152"/>
    <mergeCell ref="A153:B153"/>
    <mergeCell ref="C153:E153"/>
    <mergeCell ref="F153:G153"/>
    <mergeCell ref="C133:E133"/>
    <mergeCell ref="F133:G133"/>
    <mergeCell ref="A131:B131"/>
    <mergeCell ref="C131:E131"/>
    <mergeCell ref="F131:G131"/>
    <mergeCell ref="A132:B132"/>
    <mergeCell ref="C132:E132"/>
    <mergeCell ref="F132:G132"/>
    <mergeCell ref="A133:B133"/>
    <mergeCell ref="C136:E136"/>
    <mergeCell ref="F136:G136"/>
    <mergeCell ref="A134:B134"/>
    <mergeCell ref="C134:E134"/>
    <mergeCell ref="F134:G134"/>
    <mergeCell ref="A98:J99"/>
    <mergeCell ref="K98:L99"/>
    <mergeCell ref="A100:J101"/>
    <mergeCell ref="K100:L101"/>
    <mergeCell ref="A103:L104"/>
    <mergeCell ref="A106:J107"/>
    <mergeCell ref="K106:L107"/>
    <mergeCell ref="A108:J109"/>
    <mergeCell ref="K108:L109"/>
    <mergeCell ref="A88:L89"/>
    <mergeCell ref="A90:J91"/>
    <mergeCell ref="K90:L91"/>
    <mergeCell ref="A92:J93"/>
    <mergeCell ref="K92:L93"/>
    <mergeCell ref="A94:J95"/>
    <mergeCell ref="K94:L95"/>
    <mergeCell ref="A96:J97"/>
    <mergeCell ref="K96:L97"/>
    <mergeCell ref="A85:A86"/>
    <mergeCell ref="B85:J86"/>
    <mergeCell ref="A66:J66"/>
    <mergeCell ref="K66:L66"/>
    <mergeCell ref="B67:J68"/>
    <mergeCell ref="K67:L86"/>
    <mergeCell ref="B69:J70"/>
    <mergeCell ref="B71:J72"/>
    <mergeCell ref="B73:J74"/>
    <mergeCell ref="A79:A80"/>
    <mergeCell ref="B79:J80"/>
    <mergeCell ref="A81:A82"/>
    <mergeCell ref="B81:J82"/>
    <mergeCell ref="A83:A84"/>
    <mergeCell ref="B83:J84"/>
    <mergeCell ref="B75:J76"/>
    <mergeCell ref="A77:A78"/>
    <mergeCell ref="B77:J78"/>
    <mergeCell ref="A54:L54"/>
    <mergeCell ref="A56:L57"/>
    <mergeCell ref="A58:L61"/>
    <mergeCell ref="A63:L63"/>
    <mergeCell ref="A64:L65"/>
    <mergeCell ref="A71:A72"/>
    <mergeCell ref="A73:A74"/>
    <mergeCell ref="A67:A70"/>
    <mergeCell ref="A75:A76"/>
    <mergeCell ref="A41:B41"/>
    <mergeCell ref="C41:L41"/>
    <mergeCell ref="A42:B42"/>
    <mergeCell ref="C42:L42"/>
    <mergeCell ref="A44:L45"/>
    <mergeCell ref="A46:L46"/>
    <mergeCell ref="A48:L49"/>
    <mergeCell ref="A50:L50"/>
    <mergeCell ref="A52:L53"/>
    <mergeCell ref="C130:E130"/>
    <mergeCell ref="F130:G130"/>
    <mergeCell ref="A128:B128"/>
    <mergeCell ref="C128:E128"/>
    <mergeCell ref="F128:G128"/>
    <mergeCell ref="A129:B129"/>
    <mergeCell ref="C129:E129"/>
    <mergeCell ref="F129:G129"/>
    <mergeCell ref="A130:B130"/>
    <mergeCell ref="C127:E127"/>
    <mergeCell ref="F127:G127"/>
    <mergeCell ref="A125:B125"/>
    <mergeCell ref="C125:E125"/>
    <mergeCell ref="F125:G125"/>
    <mergeCell ref="A126:B126"/>
    <mergeCell ref="C126:E126"/>
    <mergeCell ref="F126:G126"/>
    <mergeCell ref="A127:B127"/>
    <mergeCell ref="C124:E124"/>
    <mergeCell ref="F124:G124"/>
    <mergeCell ref="A122:B122"/>
    <mergeCell ref="C122:E122"/>
    <mergeCell ref="F122:G122"/>
    <mergeCell ref="A123:B123"/>
    <mergeCell ref="C123:E123"/>
    <mergeCell ref="F123:G123"/>
    <mergeCell ref="A124:B124"/>
    <mergeCell ref="A118:B118"/>
    <mergeCell ref="C118:E118"/>
    <mergeCell ref="F118:G118"/>
    <mergeCell ref="C121:E121"/>
    <mergeCell ref="F121:G121"/>
    <mergeCell ref="A119:B119"/>
    <mergeCell ref="C119:E119"/>
    <mergeCell ref="F119:G119"/>
    <mergeCell ref="A120:B120"/>
    <mergeCell ref="C120:E120"/>
    <mergeCell ref="F120:G120"/>
    <mergeCell ref="A121:B121"/>
    <mergeCell ref="C115:E116"/>
    <mergeCell ref="F115:G116"/>
    <mergeCell ref="H115:H116"/>
    <mergeCell ref="I115:I116"/>
    <mergeCell ref="J115:J116"/>
    <mergeCell ref="K115:K116"/>
    <mergeCell ref="L115:L116"/>
    <mergeCell ref="A115:B116"/>
    <mergeCell ref="A117:B117"/>
    <mergeCell ref="C117:E117"/>
    <mergeCell ref="F117:G117"/>
    <mergeCell ref="B24:L24"/>
    <mergeCell ref="A26:L27"/>
    <mergeCell ref="A28:B29"/>
    <mergeCell ref="C28:L29"/>
    <mergeCell ref="A33:B36"/>
    <mergeCell ref="A37:B38"/>
    <mergeCell ref="C37:L37"/>
    <mergeCell ref="C38:L38"/>
    <mergeCell ref="A39:B40"/>
    <mergeCell ref="C39:L39"/>
    <mergeCell ref="C40:L40"/>
    <mergeCell ref="A22:B22"/>
    <mergeCell ref="B23:H23"/>
    <mergeCell ref="D13:E13"/>
    <mergeCell ref="F13:G13"/>
    <mergeCell ref="A14:E14"/>
    <mergeCell ref="F14:L14"/>
    <mergeCell ref="A17:L18"/>
    <mergeCell ref="A19:L19"/>
    <mergeCell ref="A20:A21"/>
    <mergeCell ref="I20:L21"/>
    <mergeCell ref="C22:L22"/>
    <mergeCell ref="J23:L23"/>
    <mergeCell ref="A9:E9"/>
    <mergeCell ref="H9:L9"/>
    <mergeCell ref="A10:L10"/>
    <mergeCell ref="A11:G11"/>
    <mergeCell ref="H11:L11"/>
    <mergeCell ref="A12:L12"/>
    <mergeCell ref="A13:C13"/>
    <mergeCell ref="H13:L13"/>
    <mergeCell ref="B20:G21"/>
    <mergeCell ref="H20:H21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C34:L34"/>
    <mergeCell ref="C35:L35"/>
    <mergeCell ref="A30:B30"/>
    <mergeCell ref="C30:L30"/>
    <mergeCell ref="A31:B32"/>
    <mergeCell ref="E31:L31"/>
    <mergeCell ref="D32:L32"/>
    <mergeCell ref="C33:L33"/>
    <mergeCell ref="C36:L36"/>
  </mergeCell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Dados!$A$12:$A62</xm:f>
          </x14:formula1>
          <xm:sqref>A152:A184</xm:sqref>
        </x14:dataValidation>
        <x14:dataValidation type="list" allowBlank="1" showErrorMessage="1" xr:uid="{00000000-0002-0000-0000-000001000000}">
          <x14:formula1>
            <xm:f>Dados!$A$2:$A$9</xm:f>
          </x14:formula1>
          <xm:sqref>C42</xm:sqref>
        </x14:dataValidation>
        <x14:dataValidation type="list" allowBlank="1" showErrorMessage="1" xr:uid="{41600032-BDFF-4CF2-901A-BF89F3CF3161}">
          <x14:formula1>
            <xm:f>Dados!$A$12:$A28</xm:f>
          </x14:formula1>
          <xm:sqref>A117:B147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>
      <selection activeCell="A29" sqref="A29"/>
    </sheetView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1" t="s">
        <v>0</v>
      </c>
      <c r="E2" s="1" t="s">
        <v>1</v>
      </c>
      <c r="G2" s="1">
        <v>1</v>
      </c>
      <c r="H2" s="1" t="s">
        <v>2</v>
      </c>
      <c r="K2" s="1" t="s">
        <v>3</v>
      </c>
    </row>
    <row r="3" spans="1:11">
      <c r="A3" s="1" t="s">
        <v>4</v>
      </c>
      <c r="E3" s="1" t="s">
        <v>5</v>
      </c>
      <c r="G3" s="1">
        <v>2</v>
      </c>
      <c r="H3" s="1" t="s">
        <v>6</v>
      </c>
      <c r="K3" s="1" t="s">
        <v>7</v>
      </c>
    </row>
    <row r="4" spans="1:11">
      <c r="A4" s="1" t="s">
        <v>8</v>
      </c>
      <c r="E4" s="1" t="s">
        <v>9</v>
      </c>
      <c r="G4" s="1">
        <v>3</v>
      </c>
      <c r="H4" s="1" t="s">
        <v>10</v>
      </c>
      <c r="K4" s="1" t="s">
        <v>11</v>
      </c>
    </row>
    <row r="5" spans="1:11">
      <c r="A5" s="1" t="s">
        <v>12</v>
      </c>
    </row>
    <row r="6" spans="1:11">
      <c r="A6" s="1" t="s">
        <v>13</v>
      </c>
      <c r="E6" s="1" t="s">
        <v>14</v>
      </c>
      <c r="G6" s="1">
        <v>4</v>
      </c>
      <c r="H6" s="1" t="s">
        <v>15</v>
      </c>
      <c r="K6" s="1" t="s">
        <v>16</v>
      </c>
    </row>
    <row r="7" spans="1:11">
      <c r="A7" s="1" t="s">
        <v>17</v>
      </c>
    </row>
    <row r="8" spans="1:11">
      <c r="A8" s="1" t="s">
        <v>18</v>
      </c>
      <c r="E8" s="1" t="s">
        <v>19</v>
      </c>
      <c r="G8" s="1">
        <v>5</v>
      </c>
      <c r="H8" s="1" t="s">
        <v>20</v>
      </c>
      <c r="K8" s="1" t="s">
        <v>21</v>
      </c>
    </row>
    <row r="9" spans="1:11">
      <c r="A9" s="1" t="s">
        <v>22</v>
      </c>
      <c r="E9" s="1" t="s">
        <v>23</v>
      </c>
      <c r="G9" s="1">
        <v>6</v>
      </c>
      <c r="H9" s="1" t="s">
        <v>24</v>
      </c>
      <c r="K9" s="1" t="s">
        <v>25</v>
      </c>
    </row>
    <row r="10" spans="1:11">
      <c r="E10" s="1" t="s">
        <v>26</v>
      </c>
      <c r="G10" s="1">
        <v>7</v>
      </c>
      <c r="H10" s="1" t="s">
        <v>27</v>
      </c>
      <c r="K10" s="1" t="s">
        <v>28</v>
      </c>
    </row>
    <row r="11" spans="1:11">
      <c r="E11" s="1" t="s">
        <v>29</v>
      </c>
      <c r="G11" s="1">
        <v>8</v>
      </c>
      <c r="H11" s="1" t="s">
        <v>30</v>
      </c>
      <c r="K11" s="1" t="s">
        <v>31</v>
      </c>
    </row>
    <row r="12" spans="1:11">
      <c r="A12" s="1" t="s">
        <v>32</v>
      </c>
      <c r="E12" s="1" t="s">
        <v>33</v>
      </c>
      <c r="G12" s="1">
        <v>9</v>
      </c>
      <c r="H12" s="1" t="s">
        <v>34</v>
      </c>
      <c r="K12" s="1" t="s">
        <v>35</v>
      </c>
    </row>
    <row r="13" spans="1:11" ht="45">
      <c r="A13" s="2" t="s">
        <v>36</v>
      </c>
      <c r="E13" s="1" t="s">
        <v>37</v>
      </c>
      <c r="G13" s="1">
        <v>10</v>
      </c>
      <c r="H13" s="1" t="s">
        <v>38</v>
      </c>
      <c r="K13" s="1" t="s">
        <v>39</v>
      </c>
    </row>
    <row r="14" spans="1:11">
      <c r="A14" s="1" t="s">
        <v>40</v>
      </c>
      <c r="E14" s="1" t="s">
        <v>41</v>
      </c>
      <c r="H14" s="1" t="s">
        <v>42</v>
      </c>
      <c r="K14" s="1" t="s">
        <v>43</v>
      </c>
    </row>
    <row r="15" spans="1:11">
      <c r="A15" s="1" t="s">
        <v>44</v>
      </c>
      <c r="E15" s="1" t="s">
        <v>45</v>
      </c>
      <c r="H15" s="1" t="s">
        <v>46</v>
      </c>
      <c r="K15" s="1" t="s">
        <v>47</v>
      </c>
    </row>
    <row r="16" spans="1:11">
      <c r="A16" s="1" t="s">
        <v>48</v>
      </c>
      <c r="E16" s="1" t="s">
        <v>49</v>
      </c>
      <c r="H16" s="1" t="s">
        <v>50</v>
      </c>
      <c r="K16" s="1" t="s">
        <v>51</v>
      </c>
    </row>
    <row r="17" spans="1:11">
      <c r="A17" s="1" t="s">
        <v>52</v>
      </c>
      <c r="E17" s="1" t="s">
        <v>53</v>
      </c>
      <c r="H17" s="1" t="s">
        <v>54</v>
      </c>
      <c r="K17" s="1" t="s">
        <v>55</v>
      </c>
    </row>
    <row r="18" spans="1:11">
      <c r="A18" s="1" t="s">
        <v>56</v>
      </c>
      <c r="E18" s="1" t="s">
        <v>57</v>
      </c>
      <c r="H18" s="1" t="s">
        <v>58</v>
      </c>
      <c r="K18" s="1" t="s">
        <v>59</v>
      </c>
    </row>
    <row r="19" spans="1:11">
      <c r="A19" s="1" t="s">
        <v>60</v>
      </c>
      <c r="E19" s="1" t="s">
        <v>61</v>
      </c>
      <c r="H19" s="1" t="s">
        <v>62</v>
      </c>
      <c r="K19" s="1" t="s">
        <v>63</v>
      </c>
    </row>
    <row r="20" spans="1:11">
      <c r="A20" s="1" t="s">
        <v>64</v>
      </c>
      <c r="E20" s="1" t="s">
        <v>65</v>
      </c>
      <c r="H20" s="1" t="s">
        <v>66</v>
      </c>
      <c r="K20" s="1" t="s">
        <v>67</v>
      </c>
    </row>
    <row r="21" spans="1:11" ht="15.75" customHeight="1">
      <c r="A21" s="1" t="s">
        <v>68</v>
      </c>
      <c r="E21" s="1" t="s">
        <v>69</v>
      </c>
      <c r="H21" s="1" t="s">
        <v>70</v>
      </c>
      <c r="K21" s="1" t="s">
        <v>71</v>
      </c>
    </row>
    <row r="22" spans="1:11" ht="15.75" customHeight="1">
      <c r="A22" s="1" t="s">
        <v>72</v>
      </c>
      <c r="E22" s="1" t="s">
        <v>73</v>
      </c>
      <c r="H22" s="1" t="s">
        <v>74</v>
      </c>
      <c r="K22" s="1" t="s">
        <v>75</v>
      </c>
    </row>
    <row r="23" spans="1:11" ht="15.75" customHeight="1">
      <c r="A23" s="1" t="s">
        <v>76</v>
      </c>
      <c r="E23" s="1" t="s">
        <v>77</v>
      </c>
      <c r="H23" s="1" t="s">
        <v>78</v>
      </c>
      <c r="K23" s="1" t="s">
        <v>79</v>
      </c>
    </row>
    <row r="24" spans="1:11" ht="15.75" customHeight="1">
      <c r="A24" s="1" t="s">
        <v>80</v>
      </c>
      <c r="E24" s="1" t="s">
        <v>81</v>
      </c>
      <c r="H24" s="1" t="s">
        <v>82</v>
      </c>
      <c r="K24" s="1" t="s">
        <v>83</v>
      </c>
    </row>
    <row r="25" spans="1:11" ht="15.75" customHeight="1">
      <c r="A25" s="1" t="s">
        <v>84</v>
      </c>
      <c r="E25" s="1" t="s">
        <v>85</v>
      </c>
      <c r="H25" s="1" t="s">
        <v>86</v>
      </c>
      <c r="K25" s="1" t="s">
        <v>87</v>
      </c>
    </row>
    <row r="26" spans="1:11" ht="15.75" customHeight="1">
      <c r="A26" s="1" t="s">
        <v>88</v>
      </c>
      <c r="E26" s="1" t="s">
        <v>89</v>
      </c>
      <c r="H26" s="1" t="s">
        <v>90</v>
      </c>
      <c r="K26" s="1" t="s">
        <v>91</v>
      </c>
    </row>
    <row r="27" spans="1:11" ht="15.75" customHeight="1">
      <c r="A27" s="1" t="s">
        <v>92</v>
      </c>
      <c r="E27" s="1" t="s">
        <v>93</v>
      </c>
      <c r="H27" s="1" t="s">
        <v>94</v>
      </c>
      <c r="K27" s="1" t="s">
        <v>95</v>
      </c>
    </row>
    <row r="28" spans="1:11" ht="15.75" customHeight="1">
      <c r="A28" s="300" t="s">
        <v>477</v>
      </c>
      <c r="E28" s="1" t="s">
        <v>96</v>
      </c>
      <c r="H28" s="1" t="s">
        <v>97</v>
      </c>
      <c r="K28" s="1" t="s">
        <v>98</v>
      </c>
    </row>
    <row r="29" spans="1:11" ht="15.75" customHeight="1">
      <c r="E29" s="1" t="s">
        <v>99</v>
      </c>
      <c r="H29" s="1" t="s">
        <v>100</v>
      </c>
      <c r="K29" s="1" t="s">
        <v>101</v>
      </c>
    </row>
    <row r="30" spans="1:11" ht="15.75" customHeight="1">
      <c r="E30" s="1" t="s">
        <v>102</v>
      </c>
      <c r="H30" s="1" t="s">
        <v>103</v>
      </c>
      <c r="K30" s="1" t="s">
        <v>104</v>
      </c>
    </row>
    <row r="31" spans="1:11" ht="15.75" customHeight="1">
      <c r="E31" s="1" t="s">
        <v>105</v>
      </c>
      <c r="H31" s="1" t="s">
        <v>106</v>
      </c>
      <c r="K31" s="1" t="s">
        <v>107</v>
      </c>
    </row>
    <row r="32" spans="1:11" ht="15.75" customHeight="1">
      <c r="E32" s="1" t="s">
        <v>108</v>
      </c>
      <c r="H32" s="1" t="s">
        <v>109</v>
      </c>
      <c r="K32" s="1" t="s">
        <v>110</v>
      </c>
    </row>
    <row r="33" spans="5:11" ht="15.75" customHeight="1">
      <c r="E33" s="1" t="s">
        <v>111</v>
      </c>
      <c r="H33" s="1" t="s">
        <v>112</v>
      </c>
      <c r="K33" s="1" t="s">
        <v>113</v>
      </c>
    </row>
    <row r="34" spans="5:11" ht="15.75" customHeight="1">
      <c r="E34" s="1" t="s">
        <v>114</v>
      </c>
      <c r="H34" s="1" t="s">
        <v>115</v>
      </c>
      <c r="K34" s="1" t="s">
        <v>116</v>
      </c>
    </row>
    <row r="35" spans="5:11" ht="15.75" customHeight="1">
      <c r="E35" s="1" t="s">
        <v>117</v>
      </c>
      <c r="H35" s="1" t="s">
        <v>118</v>
      </c>
      <c r="K35" s="1" t="s">
        <v>119</v>
      </c>
    </row>
    <row r="36" spans="5:11" ht="15.75" customHeight="1">
      <c r="E36" s="1" t="s">
        <v>120</v>
      </c>
      <c r="H36" s="1" t="s">
        <v>121</v>
      </c>
      <c r="K36" s="1" t="s">
        <v>122</v>
      </c>
    </row>
    <row r="37" spans="5:11" ht="15.75" customHeight="1">
      <c r="E37" s="1" t="s">
        <v>123</v>
      </c>
      <c r="H37" s="1" t="s">
        <v>124</v>
      </c>
      <c r="K37" s="1" t="s">
        <v>125</v>
      </c>
    </row>
    <row r="38" spans="5:11" ht="15.75" customHeight="1">
      <c r="E38" s="1" t="s">
        <v>126</v>
      </c>
      <c r="H38" s="1" t="s">
        <v>127</v>
      </c>
      <c r="K38" s="1" t="s">
        <v>128</v>
      </c>
    </row>
    <row r="39" spans="5:11" ht="15.75" customHeight="1">
      <c r="E39" s="1" t="s">
        <v>129</v>
      </c>
      <c r="H39" s="1" t="s">
        <v>130</v>
      </c>
      <c r="K39" s="1" t="s">
        <v>131</v>
      </c>
    </row>
    <row r="40" spans="5:11" ht="15.75" customHeight="1">
      <c r="E40" s="1" t="s">
        <v>132</v>
      </c>
      <c r="H40" s="1" t="s">
        <v>133</v>
      </c>
      <c r="K40" s="1" t="s">
        <v>134</v>
      </c>
    </row>
    <row r="41" spans="5:11" ht="15.75" customHeight="1">
      <c r="E41" s="1" t="s">
        <v>135</v>
      </c>
      <c r="H41" s="1" t="s">
        <v>136</v>
      </c>
      <c r="K41" s="1" t="s">
        <v>137</v>
      </c>
    </row>
    <row r="42" spans="5:11" ht="15.75" customHeight="1">
      <c r="E42" s="1" t="s">
        <v>138</v>
      </c>
      <c r="H42" s="1" t="s">
        <v>139</v>
      </c>
      <c r="K42" s="1" t="s">
        <v>140</v>
      </c>
    </row>
    <row r="43" spans="5:11" ht="15.75" customHeight="1">
      <c r="E43" s="1" t="s">
        <v>141</v>
      </c>
      <c r="H43" s="1" t="s">
        <v>142</v>
      </c>
      <c r="K43" s="1" t="s">
        <v>143</v>
      </c>
    </row>
    <row r="44" spans="5:11" ht="15.75" customHeight="1">
      <c r="E44" s="1" t="s">
        <v>144</v>
      </c>
      <c r="H44" s="1" t="s">
        <v>145</v>
      </c>
    </row>
    <row r="45" spans="5:11" ht="15.75" customHeight="1">
      <c r="E45" s="1" t="s">
        <v>146</v>
      </c>
      <c r="H45" s="1" t="s">
        <v>147</v>
      </c>
    </row>
    <row r="46" spans="5:11" ht="15.75" customHeight="1">
      <c r="E46" s="1" t="s">
        <v>148</v>
      </c>
      <c r="H46" s="1" t="s">
        <v>149</v>
      </c>
    </row>
    <row r="47" spans="5:11" ht="15.75" customHeight="1">
      <c r="E47" s="1" t="s">
        <v>150</v>
      </c>
      <c r="H47" s="1" t="s">
        <v>151</v>
      </c>
    </row>
    <row r="48" spans="5:11" ht="15.75" customHeight="1">
      <c r="E48" s="1" t="s">
        <v>152</v>
      </c>
      <c r="H48" s="1" t="s">
        <v>153</v>
      </c>
    </row>
    <row r="49" spans="5:8" ht="15.75" customHeight="1">
      <c r="E49" s="1" t="s">
        <v>154</v>
      </c>
      <c r="H49" s="1" t="s">
        <v>155</v>
      </c>
    </row>
    <row r="50" spans="5:8" ht="15.75" customHeight="1">
      <c r="E50" s="1" t="s">
        <v>156</v>
      </c>
      <c r="H50" s="1" t="s">
        <v>157</v>
      </c>
    </row>
    <row r="51" spans="5:8" ht="15.75" customHeight="1">
      <c r="E51" s="1" t="s">
        <v>158</v>
      </c>
      <c r="H51" s="1" t="s">
        <v>159</v>
      </c>
    </row>
    <row r="52" spans="5:8" ht="15.75" customHeight="1">
      <c r="E52" s="1" t="s">
        <v>160</v>
      </c>
      <c r="H52" s="1" t="s">
        <v>161</v>
      </c>
    </row>
    <row r="53" spans="5:8" ht="15.75" customHeight="1">
      <c r="E53" s="1" t="s">
        <v>162</v>
      </c>
      <c r="H53" s="1" t="s">
        <v>163</v>
      </c>
    </row>
    <row r="54" spans="5:8" ht="15.75" customHeight="1">
      <c r="E54" s="1" t="s">
        <v>164</v>
      </c>
      <c r="H54" s="1" t="s">
        <v>165</v>
      </c>
    </row>
    <row r="55" spans="5:8" ht="15.75" customHeight="1">
      <c r="E55" s="1" t="s">
        <v>166</v>
      </c>
      <c r="H55" s="1" t="s">
        <v>167</v>
      </c>
    </row>
    <row r="56" spans="5:8" ht="15.75" customHeight="1">
      <c r="E56" s="1" t="s">
        <v>168</v>
      </c>
      <c r="H56" s="1" t="s">
        <v>169</v>
      </c>
    </row>
    <row r="57" spans="5:8" ht="15.75" customHeight="1">
      <c r="E57" s="1" t="s">
        <v>170</v>
      </c>
      <c r="H57" s="1" t="s">
        <v>171</v>
      </c>
    </row>
    <row r="58" spans="5:8" ht="15.75" customHeight="1">
      <c r="E58" s="1" t="s">
        <v>172</v>
      </c>
      <c r="H58" s="1" t="s">
        <v>173</v>
      </c>
    </row>
    <row r="59" spans="5:8" ht="15.75" customHeight="1">
      <c r="E59" s="1" t="s">
        <v>174</v>
      </c>
      <c r="H59" s="1" t="s">
        <v>175</v>
      </c>
    </row>
    <row r="60" spans="5:8" ht="15.75" customHeight="1">
      <c r="E60" s="1" t="s">
        <v>176</v>
      </c>
      <c r="H60" s="1" t="s">
        <v>177</v>
      </c>
    </row>
    <row r="61" spans="5:8" ht="15.75" customHeight="1">
      <c r="E61" s="1" t="s">
        <v>178</v>
      </c>
      <c r="H61" s="1" t="s">
        <v>179</v>
      </c>
    </row>
    <row r="62" spans="5:8" ht="15.75" customHeight="1">
      <c r="E62" s="1" t="s">
        <v>180</v>
      </c>
      <c r="H62" s="1" t="s">
        <v>181</v>
      </c>
    </row>
    <row r="63" spans="5:8" ht="15.75" customHeight="1">
      <c r="E63" s="1" t="s">
        <v>182</v>
      </c>
      <c r="H63" s="1" t="s">
        <v>183</v>
      </c>
    </row>
    <row r="64" spans="5:8" ht="15.75" customHeight="1">
      <c r="H64" s="1" t="s">
        <v>184</v>
      </c>
    </row>
    <row r="65" spans="8:8" ht="15.75" customHeight="1">
      <c r="H65" s="1" t="s">
        <v>185</v>
      </c>
    </row>
    <row r="66" spans="8:8" ht="15.75" customHeight="1">
      <c r="H66" s="1" t="s">
        <v>186</v>
      </c>
    </row>
    <row r="67" spans="8:8" ht="15.75" customHeight="1">
      <c r="H67" s="1" t="s">
        <v>187</v>
      </c>
    </row>
    <row r="68" spans="8:8" ht="15.75" customHeight="1">
      <c r="H68" s="1" t="s">
        <v>188</v>
      </c>
    </row>
    <row r="69" spans="8:8" ht="15.75" customHeight="1">
      <c r="H69" s="1" t="s">
        <v>189</v>
      </c>
    </row>
    <row r="70" spans="8:8" ht="15.75" customHeight="1">
      <c r="H70" s="1" t="s">
        <v>190</v>
      </c>
    </row>
    <row r="71" spans="8:8" ht="15.75" customHeight="1">
      <c r="H71" s="1" t="s">
        <v>191</v>
      </c>
    </row>
    <row r="72" spans="8:8" ht="15.75" customHeight="1">
      <c r="H72" s="1" t="s">
        <v>192</v>
      </c>
    </row>
    <row r="73" spans="8:8" ht="15.75" customHeight="1">
      <c r="H73" s="1" t="s">
        <v>193</v>
      </c>
    </row>
    <row r="74" spans="8:8" ht="15.75" customHeight="1">
      <c r="H74" s="1" t="s">
        <v>194</v>
      </c>
    </row>
    <row r="75" spans="8:8" ht="15.75" customHeight="1">
      <c r="H75" s="1" t="s">
        <v>195</v>
      </c>
    </row>
    <row r="76" spans="8:8" ht="15.75" customHeight="1">
      <c r="H76" s="1" t="s">
        <v>196</v>
      </c>
    </row>
    <row r="77" spans="8:8" ht="15.75" customHeight="1">
      <c r="H77" s="1" t="s">
        <v>197</v>
      </c>
    </row>
    <row r="78" spans="8:8" ht="15.75" customHeight="1">
      <c r="H78" s="1" t="s">
        <v>198</v>
      </c>
    </row>
    <row r="79" spans="8:8" ht="15.75" customHeight="1">
      <c r="H79" s="1" t="s">
        <v>199</v>
      </c>
    </row>
    <row r="80" spans="8:8" ht="15.75" customHeight="1">
      <c r="H80" s="1" t="s">
        <v>200</v>
      </c>
    </row>
    <row r="81" spans="8:8" ht="15.75" customHeight="1">
      <c r="H81" s="1" t="s">
        <v>202</v>
      </c>
    </row>
    <row r="82" spans="8:8" ht="15.75" customHeight="1">
      <c r="H82" s="1" t="s">
        <v>203</v>
      </c>
    </row>
    <row r="83" spans="8:8" ht="15.75" customHeight="1">
      <c r="H83" s="1" t="s">
        <v>204</v>
      </c>
    </row>
    <row r="84" spans="8:8" ht="15.75" customHeight="1">
      <c r="H84" s="1" t="s">
        <v>205</v>
      </c>
    </row>
    <row r="85" spans="8:8" ht="15.75" customHeight="1">
      <c r="H85" s="1" t="s">
        <v>206</v>
      </c>
    </row>
    <row r="86" spans="8:8" ht="15.75" customHeight="1">
      <c r="H86" s="1" t="s">
        <v>207</v>
      </c>
    </row>
    <row r="87" spans="8:8" ht="15.75" customHeight="1">
      <c r="H87" s="1" t="s">
        <v>208</v>
      </c>
    </row>
    <row r="88" spans="8:8" ht="15.75" customHeight="1">
      <c r="H88" s="1" t="s">
        <v>209</v>
      </c>
    </row>
    <row r="89" spans="8:8" ht="15.75" customHeight="1">
      <c r="H89" s="1" t="s">
        <v>210</v>
      </c>
    </row>
    <row r="90" spans="8:8" ht="15.75" customHeight="1">
      <c r="H90" s="1" t="s">
        <v>211</v>
      </c>
    </row>
    <row r="91" spans="8:8" ht="15.75" customHeight="1">
      <c r="H91" s="1" t="s">
        <v>212</v>
      </c>
    </row>
    <row r="92" spans="8:8" ht="15.75" customHeight="1">
      <c r="H92" s="1" t="s">
        <v>213</v>
      </c>
    </row>
    <row r="93" spans="8:8" ht="15.75" customHeight="1">
      <c r="H93" s="1" t="s">
        <v>214</v>
      </c>
    </row>
    <row r="94" spans="8:8" ht="15.75" customHeight="1">
      <c r="H94" s="1" t="s">
        <v>215</v>
      </c>
    </row>
    <row r="95" spans="8:8" ht="15.75" customHeight="1">
      <c r="H95" s="1" t="s">
        <v>216</v>
      </c>
    </row>
    <row r="96" spans="8:8" ht="15.75" customHeight="1">
      <c r="H96" s="1" t="s">
        <v>217</v>
      </c>
    </row>
    <row r="97" spans="8:8" ht="15.75" customHeight="1">
      <c r="H97" s="1" t="s">
        <v>218</v>
      </c>
    </row>
    <row r="98" spans="8:8" ht="15.75" customHeight="1">
      <c r="H98" s="1" t="s">
        <v>219</v>
      </c>
    </row>
    <row r="99" spans="8:8" ht="15.75" customHeight="1">
      <c r="H99" s="1" t="s">
        <v>220</v>
      </c>
    </row>
    <row r="100" spans="8:8" ht="15.75" customHeight="1">
      <c r="H100" s="1" t="s">
        <v>221</v>
      </c>
    </row>
    <row r="101" spans="8:8" ht="15.75" customHeight="1">
      <c r="H101" s="1" t="s">
        <v>222</v>
      </c>
    </row>
    <row r="102" spans="8:8" ht="15.75" customHeight="1">
      <c r="H102" s="1" t="s">
        <v>223</v>
      </c>
    </row>
    <row r="103" spans="8:8" ht="15.75" customHeight="1">
      <c r="H103" s="1" t="s">
        <v>224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2026-07-21T19:53:43Z</dcterms:created>
  <dcterms:modified xsi:type="dcterms:W3CDTF">2026-10-14T13:08:14Z</dcterms:modified>
</cp:coreProperties>
</file>