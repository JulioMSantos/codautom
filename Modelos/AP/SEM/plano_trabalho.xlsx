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ITTEC\Documents\GitHub\codautom\Modelos\ACT\"/>
    </mc:Choice>
  </mc:AlternateContent>
  <xr:revisionPtr revIDLastSave="0" documentId="13_ncr:1_{74BCB5BE-E3F1-428C-98E0-0FFFDBA4D090}" xr6:coauthVersionLast="36" xr6:coauthVersionMax="36" xr10:uidLastSave="{00000000-0000-0000-0000-000000000000}"/>
  <bookViews>
    <workbookView xWindow="0" yWindow="0" windowWidth="16365" windowHeight="10380" xr2:uid="{00000000-000D-0000-FFFF-FFFF00000000}"/>
  </bookViews>
  <sheets>
    <sheet name="Plano de Trabalho" sheetId="1" r:id="rId1"/>
    <sheet name="Dados" sheetId="2" state="hidden" r:id="rId2"/>
  </sheets>
  <calcPr calcId="191029"/>
  <extLst>
    <ext uri="GoogleSheetsCustomDataVersion2">
      <go:sheetsCustomData xmlns:go="http://customooxmlschemas.google.com/" r:id="rId6" roundtripDataChecksum="dJ6kgxnX3a6tZhzDN7LbzuMUSVj/29+98ojG6iTTZmE="/>
    </ext>
  </extLst>
</workbook>
</file>

<file path=xl/calcChain.xml><?xml version="1.0" encoding="utf-8"?>
<calcChain xmlns="http://schemas.openxmlformats.org/spreadsheetml/2006/main">
  <c r="K492" i="1" l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93" i="1" s="1"/>
  <c r="K460" i="1"/>
  <c r="K437" i="1"/>
  <c r="K435" i="1"/>
  <c r="K433" i="1"/>
  <c r="K394" i="1"/>
  <c r="K386" i="1"/>
  <c r="K378" i="1"/>
  <c r="K332" i="1"/>
  <c r="K326" i="1"/>
  <c r="K445" i="1" s="1"/>
  <c r="K449" i="1" s="1"/>
  <c r="K315" i="1"/>
  <c r="K313" i="1"/>
  <c r="K311" i="1"/>
  <c r="K309" i="1"/>
  <c r="K307" i="1"/>
  <c r="K284" i="1"/>
  <c r="E278" i="1"/>
  <c r="I277" i="1"/>
  <c r="J26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G138" i="1" s="1"/>
  <c r="K4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10" authorId="0" shapeId="0" xr:uid="{D2F56090-34C6-4B98-A740-39844F3E196B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211" authorId="0" shapeId="0" xr:uid="{7B0D8595-7820-4172-94B9-4DAF48C0D5B5}">
      <text>
        <r>
          <rPr>
            <sz val="11"/>
            <color theme="1"/>
            <rFont val="Calibri"/>
            <family val="2"/>
            <scheme val="minor"/>
          </rPr>
          <t>======
ID#AAAB1mqcq9E
pccli    (2026-02-26 18:52:16)
(descreva aqui a fase da meta de execução)</t>
        </r>
      </text>
    </comment>
    <comment ref="D212" authorId="0" shapeId="0" xr:uid="{B6706C81-C1D6-4E55-A52E-108345C362A8}">
      <text>
        <r>
          <rPr>
            <sz val="11"/>
            <color theme="1"/>
            <rFont val="Calibri"/>
            <family val="2"/>
            <scheme val="minor"/>
          </rPr>
          <t>======
ID#AAAB1mqcq90
pccli    (2026-02-26 18:52:16)
(descreva aqui a fase da meta de execução)</t>
        </r>
      </text>
    </comment>
    <comment ref="D213" authorId="0" shapeId="0" xr:uid="{54CCED47-0C04-4B0D-B370-0D02655CE9BA}">
      <text>
        <r>
          <rPr>
            <sz val="11"/>
            <color theme="1"/>
            <rFont val="Calibri"/>
            <family val="2"/>
            <scheme val="minor"/>
          </rPr>
          <t>======
ID#AAAB1mqcq-A
pccli    (2026-02-26 18:52:16)
(descreva aqui a fase da meta de execução)</t>
        </r>
      </text>
    </comment>
    <comment ref="D214" authorId="0" shapeId="0" xr:uid="{31340F47-9D88-435C-8BCB-1A15FDE76D35}">
      <text>
        <r>
          <rPr>
            <sz val="11"/>
            <color theme="1"/>
            <rFont val="Calibri"/>
            <family val="2"/>
            <scheme val="minor"/>
          </rPr>
          <t>======
ID#AAAB1mqcq9o
pccli    (2026-02-26 18:52:16)
(descreva aqui a fase da meta de execução)</t>
        </r>
      </text>
    </comment>
    <comment ref="D215" authorId="0" shapeId="0" xr:uid="{9F6167EA-8677-4327-9FAC-12B79A1E17D0}">
      <text>
        <r>
          <rPr>
            <sz val="11"/>
            <color theme="1"/>
            <rFont val="Calibri"/>
            <family val="2"/>
            <scheme val="minor"/>
          </rPr>
          <t>======
ID#AAAB1mqcq8s
pccli    (2026-02-26 18:52:16)
(descreva aqui a fase da meta de execução)</t>
        </r>
      </text>
    </comment>
    <comment ref="D216" authorId="0" shapeId="0" xr:uid="{0A451295-262D-4E5D-925B-A345B8B570D6}">
      <text>
        <r>
          <rPr>
            <sz val="11"/>
            <color theme="1"/>
            <rFont val="Calibri"/>
            <family val="2"/>
            <scheme val="minor"/>
          </rPr>
          <t>======
ID#AAAB1mqcq9U
pccli    (2026-02-26 18:52:16)
(descreva aqui a fase da meta de execução)</t>
        </r>
      </text>
    </comment>
    <comment ref="D217" authorId="0" shapeId="0" xr:uid="{499A26F5-0B4A-4B2C-A51F-BCA5B7F96445}">
      <text>
        <r>
          <rPr>
            <sz val="11"/>
            <color theme="1"/>
            <rFont val="Calibri"/>
            <family val="2"/>
            <scheme val="minor"/>
          </rPr>
          <t>======
ID#AAAB1mIRW0A
pccli    (2026-02-26 18:52:16)
(descreva aqui a fase da meta de execução)</t>
        </r>
      </text>
    </comment>
    <comment ref="D218" authorId="0" shapeId="0" xr:uid="{E5F9E4C8-AE21-45D5-AFBA-B3A96CF80298}">
      <text>
        <r>
          <rPr>
            <sz val="11"/>
            <color theme="1"/>
            <rFont val="Calibri"/>
            <family val="2"/>
            <scheme val="minor"/>
          </rPr>
          <t>======
ID#AAAB1mIRWzg
pccli    (2026-02-26 18:52:16)
(descreva aqui a fase da meta de execução)</t>
        </r>
      </text>
    </comment>
    <comment ref="D219" authorId="0" shapeId="0" xr:uid="{DE08E208-B21A-43EF-B88B-6D01FDA24941}">
      <text>
        <r>
          <rPr>
            <sz val="11"/>
            <color theme="1"/>
            <rFont val="Calibri"/>
            <family val="2"/>
            <scheme val="minor"/>
          </rPr>
          <t>======
ID#AAAB1mqcq-E
pccli    (2026-02-26 18:52:16)
(descreva aqui a fase da meta de execução)</t>
        </r>
      </text>
    </comment>
    <comment ref="D220" authorId="0" shapeId="0" xr:uid="{843A3836-3A99-429A-A6E2-A630E167991B}">
      <text>
        <r>
          <rPr>
            <sz val="11"/>
            <color theme="1"/>
            <rFont val="Calibri"/>
            <family val="2"/>
            <scheme val="minor"/>
          </rPr>
          <t>======
ID#AAAB1mIRWzU
pccli    (2026-02-26 18:52:16)
(descreva aqui a fase da meta de execução)</t>
        </r>
      </text>
    </comment>
    <comment ref="D221" authorId="0" shapeId="0" xr:uid="{56E8B84C-363B-43F3-A789-1FDE86BF5205}">
      <text>
        <r>
          <rPr>
            <sz val="11"/>
            <color theme="1"/>
            <rFont val="Calibri"/>
            <family val="2"/>
            <scheme val="minor"/>
          </rPr>
          <t>======
ID#AAAB1mqcq8k
pccli    (2026-02-26 18:52:16)
(descreva aqui a fase da meta de execução)</t>
        </r>
      </text>
    </comment>
    <comment ref="D222" authorId="0" shapeId="0" xr:uid="{2F16A9AF-E63D-48C7-AD2D-57ED6D976F6E}">
      <text>
        <r>
          <rPr>
            <sz val="11"/>
            <color theme="1"/>
            <rFont val="Calibri"/>
            <family val="2"/>
            <scheme val="minor"/>
          </rPr>
          <t>======
ID#AAAB1mqcq9g
pccli    (2026-02-26 18:52:16)
pccli:</t>
        </r>
      </text>
    </comment>
    <comment ref="B286" authorId="0" shapeId="0" xr:uid="{9E64F3DF-C109-4ED9-BA83-8E2DDA7E5228}">
      <text>
        <r>
          <rPr>
            <sz val="11"/>
            <color theme="1"/>
            <rFont val="Calibri"/>
            <family val="2"/>
            <scheme val="minor"/>
          </rPr>
          <t>======
ID#AAAB1mqcq-M
pccli    (2026-02-26 18:52:16)
(Informe o título e registro do projeto de prestação de serviços que aportará recursos no projeto, na forma prevista pelo Art. 14, §3º, III, da Res. 025/2012 da UFSM.)</t>
        </r>
      </text>
    </comment>
    <comment ref="A323" authorId="0" shapeId="0" xr:uid="{26D8A9B1-E331-43FE-B617-C22A3EA3AF1F}">
      <text>
        <r>
          <rPr>
            <sz val="11"/>
            <color theme="1"/>
            <rFont val="Calibri"/>
            <family val="2"/>
            <scheme val="minor"/>
          </rPr>
          <t>======
ID#AAAB1mqcq94
pccli    (2026-02-26 18:52:16)
(Informe o título e registro do projeto de pesquisa que receberá aportes de recursos, na forma prevista pelo Art. 14, §3º, III, da Res. 025/2012 da UFSM.)</t>
        </r>
      </text>
    </comment>
    <comment ref="K447" authorId="0" shapeId="0" xr:uid="{C8FDBE82-4A0C-4581-B9FD-89ADCBF1B3D7}">
      <text>
        <r>
          <rPr>
            <sz val="11"/>
            <color theme="1"/>
            <rFont val="Calibri"/>
            <family val="2"/>
            <scheme val="minor"/>
          </rPr>
          <t>======
ID#AAAB1mIRWz0
PERCENTUAL UFSM    (2026-02-26 18:52:16)
De R$ 0,00 (zero reais) a R$ 200.000,00 (duzentos mil reais) = 5%
ACIMA DE R$ 200.001,00 (duzentos mil e um reias reais) = 8%
*VALOR TOTAL DO PROJETO</t>
        </r>
      </text>
    </comment>
    <comment ref="A460" authorId="0" shapeId="0" xr:uid="{7C889CFB-F0A3-434F-BA66-0653C544C402}">
      <text>
        <r>
          <rPr>
            <sz val="11"/>
            <color theme="1"/>
            <rFont val="Calibri"/>
            <family val="2"/>
            <scheme val="minor"/>
          </rPr>
          <t>======
ID#AAAB1mqcq84
pccli    (2026-02-26 18:52:16)
(Aqui descreva o material permanente)</t>
        </r>
      </text>
    </comment>
    <comment ref="A461" authorId="0" shapeId="0" xr:uid="{CBCDD9E1-B9CE-476C-9C93-813CCC6A23DD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2" authorId="0" shapeId="0" xr:uid="{1F360348-F6D5-489C-8FA2-D28A9E33717C}">
      <text>
        <r>
          <rPr>
            <sz val="11"/>
            <color theme="1"/>
            <rFont val="Calibri"/>
            <family val="2"/>
            <scheme val="minor"/>
          </rPr>
          <t>======
ID#AAAB1mIRWzo
pccli    (2026-02-26 18:52:16)
(Aqui descreva o material permanente)</t>
        </r>
      </text>
    </comment>
    <comment ref="A463" authorId="0" shapeId="0" xr:uid="{4B206BCF-4CC5-4E9F-9C18-F693539E5E86}">
      <text>
        <r>
          <rPr>
            <sz val="11"/>
            <color theme="1"/>
            <rFont val="Calibri"/>
            <family val="2"/>
            <scheme val="minor"/>
          </rPr>
          <t>======
ID#AAAB1mqcq-U
pccli    (2026-02-26 18:52:16)
(Aqui descreva o material permanente)</t>
        </r>
      </text>
    </comment>
    <comment ref="A464" authorId="0" shapeId="0" xr:uid="{571541C8-66DD-4CEE-AA55-F727D64F4579}">
      <text>
        <r>
          <rPr>
            <sz val="11"/>
            <color theme="1"/>
            <rFont val="Calibri"/>
            <family val="2"/>
            <scheme val="minor"/>
          </rPr>
          <t>======
ID#AAAB1mIRWzQ
pccli    (2026-02-26 18:52:16)
(Aqui descreva o material permanente)</t>
        </r>
      </text>
    </comment>
    <comment ref="A465" authorId="0" shapeId="0" xr:uid="{AC0099E1-F30C-4A1A-AA39-B2B77830751F}">
      <text>
        <r>
          <rPr>
            <sz val="11"/>
            <color theme="1"/>
            <rFont val="Calibri"/>
            <family val="2"/>
            <scheme val="minor"/>
          </rPr>
          <t>======
ID#AAAB1mIRWy0
pccli    (2026-02-26 18:52:16)
(Aqui descreva o material permanente)</t>
        </r>
      </text>
    </comment>
    <comment ref="A466" authorId="0" shapeId="0" xr:uid="{C525DED1-9FD4-4732-81CF-2833A0D99ADB}">
      <text>
        <r>
          <rPr>
            <sz val="11"/>
            <color theme="1"/>
            <rFont val="Calibri"/>
            <family val="2"/>
            <scheme val="minor"/>
          </rPr>
          <t>======
ID#AAAB1mIRWzY
pccli    (2026-02-26 18:52:16)
(Aqui descreva o material permanente)</t>
        </r>
      </text>
    </comment>
    <comment ref="A467" authorId="0" shapeId="0" xr:uid="{F1CDB55D-B4F4-4C50-965D-ADD2D8621626}">
      <text>
        <r>
          <rPr>
            <sz val="11"/>
            <color theme="1"/>
            <rFont val="Calibri"/>
            <family val="2"/>
            <scheme val="minor"/>
          </rPr>
          <t>======
ID#AAAB1mIRWz8
pccli    (2026-02-26 18:52:16)
(Aqui descreva o material permanente)</t>
        </r>
      </text>
    </comment>
    <comment ref="A468" authorId="0" shapeId="0" xr:uid="{82C2AA2D-EFF7-4A2C-BCE9-B9CEADE40EFE}">
      <text>
        <r>
          <rPr>
            <sz val="11"/>
            <color theme="1"/>
            <rFont val="Calibri"/>
            <family val="2"/>
            <scheme val="minor"/>
          </rPr>
          <t>======
ID#AAAB1mqcq9M
pccli    (2026-02-26 18:52:16)
(Aqui descreva o material permanente)</t>
        </r>
      </text>
    </comment>
    <comment ref="A469" authorId="0" shapeId="0" xr:uid="{C90E1E9D-2606-4A8B-B4CB-085D5ED311F1}">
      <text>
        <r>
          <rPr>
            <sz val="11"/>
            <color theme="1"/>
            <rFont val="Calibri"/>
            <family val="2"/>
            <scheme val="minor"/>
          </rPr>
          <t>======
ID#AAAB1mqcq8o
pccli    (2026-02-26 18:52:16)
(Aqui descreva o material permanente)</t>
        </r>
      </text>
    </comment>
    <comment ref="A470" authorId="0" shapeId="0" xr:uid="{A789218C-4EEB-4569-82E2-AF32CF8CCF07}">
      <text>
        <r>
          <rPr>
            <sz val="11"/>
            <color theme="1"/>
            <rFont val="Calibri"/>
            <family val="2"/>
            <scheme val="minor"/>
          </rPr>
          <t>======
ID#AAAB1mIRWzk
pccli    (2026-02-26 18:52:16)
(Aqui descreva o material permanente)</t>
        </r>
      </text>
    </comment>
    <comment ref="A471" authorId="0" shapeId="0" xr:uid="{5E7D5E39-B170-420D-9208-185FC4E33DDB}">
      <text>
        <r>
          <rPr>
            <sz val="11"/>
            <color theme="1"/>
            <rFont val="Calibri"/>
            <family val="2"/>
            <scheme val="minor"/>
          </rPr>
          <t>======
ID#AAAB1mIRWz4
pccli    (2026-02-26 18:52:16)
(Aqui descreva o material permanente)</t>
        </r>
      </text>
    </comment>
    <comment ref="A472" authorId="0" shapeId="0" xr:uid="{0D175B07-AFC1-473B-8735-91CF266B93BF}">
      <text>
        <r>
          <rPr>
            <sz val="11"/>
            <color theme="1"/>
            <rFont val="Calibri"/>
            <family val="2"/>
            <scheme val="minor"/>
          </rPr>
          <t>======
ID#AAAB1mIRWzA
pccli    (2026-02-26 18:52:16)
(Aqui descreva o material permanente)</t>
        </r>
      </text>
    </comment>
    <comment ref="A473" authorId="0" shapeId="0" xr:uid="{33144972-0E43-4F58-8ABF-9813A1B75F7D}">
      <text>
        <r>
          <rPr>
            <sz val="11"/>
            <color theme="1"/>
            <rFont val="Calibri"/>
            <family val="2"/>
            <scheme val="minor"/>
          </rPr>
          <t>======
ID#AAAB1mqcq-Q
pccli    (2026-02-26 18:52:16)
(Aqui descreva o material permanente)</t>
        </r>
      </text>
    </comment>
    <comment ref="A474" authorId="0" shapeId="0" xr:uid="{36F0197F-6359-4B4F-9E3C-CAC1212D5407}">
      <text>
        <r>
          <rPr>
            <sz val="11"/>
            <color theme="1"/>
            <rFont val="Calibri"/>
            <family val="2"/>
            <scheme val="minor"/>
          </rPr>
          <t>======
ID#AAAB1mqcq80
pccli    (2026-02-26 18:52:16)
(Aqui descreva o material permanente)</t>
        </r>
      </text>
    </comment>
    <comment ref="A475" authorId="0" shapeId="0" xr:uid="{503AECA0-BBCA-4A1B-8B50-727EEF6B8D22}">
      <text>
        <r>
          <rPr>
            <sz val="11"/>
            <color theme="1"/>
            <rFont val="Calibri"/>
            <family val="2"/>
            <scheme val="minor"/>
          </rPr>
          <t>======
ID#AAAB1mIRW0E
pccli    (2026-02-26 18:52:16)
(Aqui descreva o material permanente)</t>
        </r>
      </text>
    </comment>
    <comment ref="A476" authorId="0" shapeId="0" xr:uid="{8030B92A-CC63-4196-ABC5-ABE01CD408C2}">
      <text>
        <r>
          <rPr>
            <sz val="11"/>
            <color theme="1"/>
            <rFont val="Calibri"/>
            <family val="2"/>
            <scheme val="minor"/>
          </rPr>
          <t>======
ID#AAAB1mIRWzM
pccli    (2026-02-26 18:52:16)
(Aqui descreva o material permanente)</t>
        </r>
      </text>
    </comment>
    <comment ref="A477" authorId="0" shapeId="0" xr:uid="{634C2609-D6F8-44B6-9103-4F722EB1AB28}">
      <text>
        <r>
          <rPr>
            <sz val="11"/>
            <color theme="1"/>
            <rFont val="Calibri"/>
            <family val="2"/>
            <scheme val="minor"/>
          </rPr>
          <t>======
ID#AAAB1mqcq9A
pccli    (2026-02-26 18:52:16)
(Aqui descreva o material permanente)</t>
        </r>
      </text>
    </comment>
    <comment ref="A478" authorId="0" shapeId="0" xr:uid="{4B311325-6A8F-44A2-A9C5-BA5923A0C566}">
      <text>
        <r>
          <rPr>
            <sz val="11"/>
            <color theme="1"/>
            <rFont val="Calibri"/>
            <family val="2"/>
            <scheme val="minor"/>
          </rPr>
          <t>======
ID#AAAB1mqcq9I
pccli    (2026-02-26 18:52:16)
(Aqui descreva o material permanente)</t>
        </r>
      </text>
    </comment>
    <comment ref="A479" authorId="0" shapeId="0" xr:uid="{F40263C9-B5B6-4E19-8CDC-45DBEC7992EA}">
      <text>
        <r>
          <rPr>
            <sz val="11"/>
            <color theme="1"/>
            <rFont val="Calibri"/>
            <family val="2"/>
            <scheme val="minor"/>
          </rPr>
          <t>======
ID#AAAB1mqcq9Q
pccli    (2026-02-26 18:52:16)
(Aqui descreva o material permanente)</t>
        </r>
      </text>
    </comment>
    <comment ref="A480" authorId="0" shapeId="0" xr:uid="{566DDA2D-23CD-41CC-87F4-71E3B39545BB}">
      <text>
        <r>
          <rPr>
            <sz val="11"/>
            <color theme="1"/>
            <rFont val="Calibri"/>
            <family val="2"/>
            <scheme val="minor"/>
          </rPr>
          <t>======
ID#AAAB1mqcq9w
pccli    (2026-02-26 18:52:16)
(Aqui descreva o material permanente)</t>
        </r>
      </text>
    </comment>
    <comment ref="A481" authorId="0" shapeId="0" xr:uid="{A10F86C5-FB18-445C-B330-D2CBF07F43B5}">
      <text>
        <r>
          <rPr>
            <sz val="11"/>
            <color theme="1"/>
            <rFont val="Calibri"/>
            <family val="2"/>
            <scheme val="minor"/>
          </rPr>
          <t>======
ID#AAAB1mIRWzE
pccli    (2026-02-26 18:52:16)
(Aqui descreva o material permanente)</t>
        </r>
      </text>
    </comment>
    <comment ref="A482" authorId="0" shapeId="0" xr:uid="{7743FB8A-6C2C-40C0-9E0A-ED39C8A7F98A}">
      <text>
        <r>
          <rPr>
            <sz val="11"/>
            <color theme="1"/>
            <rFont val="Calibri"/>
            <family val="2"/>
            <scheme val="minor"/>
          </rPr>
          <t>======
ID#AAAB1mIRWzI
pccli    (2026-02-26 18:52:16)
(Aqui descreva o material permanente)</t>
        </r>
      </text>
    </comment>
    <comment ref="A483" authorId="0" shapeId="0" xr:uid="{C509B5CD-D38C-4F8D-97F3-792F384BFECC}">
      <text>
        <r>
          <rPr>
            <sz val="11"/>
            <color theme="1"/>
            <rFont val="Calibri"/>
            <family val="2"/>
            <scheme val="minor"/>
          </rPr>
          <t>======
ID#AAAB1mIRWyw
pccli    (2026-02-26 18:52:16)
(Aqui descreva o material permanente)</t>
        </r>
      </text>
    </comment>
    <comment ref="A484" authorId="0" shapeId="0" xr:uid="{144C398E-1F56-4346-A587-BA07CEA3D013}">
      <text>
        <r>
          <rPr>
            <sz val="11"/>
            <color theme="1"/>
            <rFont val="Calibri"/>
            <family val="2"/>
            <scheme val="minor"/>
          </rPr>
          <t>======
ID#AAAB1mIRWy4
pccli    (2026-02-26 18:52:16)
(Aqui descreva o material permanente)</t>
        </r>
      </text>
    </comment>
    <comment ref="A485" authorId="0" shapeId="0" xr:uid="{E3ADF4DC-57E3-49B1-9BB2-9046A88AC98A}">
      <text>
        <r>
          <rPr>
            <sz val="11"/>
            <color theme="1"/>
            <rFont val="Calibri"/>
            <family val="2"/>
            <scheme val="minor"/>
          </rPr>
          <t>======
ID#AAAB1mIRWzs
pccli    (2026-02-26 18:52:16)
(Aqui descreva o material permanente)</t>
        </r>
      </text>
    </comment>
    <comment ref="A486" authorId="0" shapeId="0" xr:uid="{0E3FF0A8-A4B8-4CB8-A6D3-912142FE798E}">
      <text>
        <r>
          <rPr>
            <sz val="11"/>
            <color theme="1"/>
            <rFont val="Calibri"/>
            <family val="2"/>
            <scheme val="minor"/>
          </rPr>
          <t>======
ID#AAAB1mIRWy8
pccli    (2026-02-26 18:52:16)
(Aqui descreva o material permanente)</t>
        </r>
      </text>
    </comment>
    <comment ref="A487" authorId="0" shapeId="0" xr:uid="{9A7BDFD5-FF41-4640-9523-FE9F73E176D7}">
      <text>
        <r>
          <rPr>
            <sz val="11"/>
            <color theme="1"/>
            <rFont val="Calibri"/>
            <family val="2"/>
            <scheme val="minor"/>
          </rPr>
          <t>======
ID#AAAB1mqcq9Y
pccli    (2026-02-26 18:52:16)
(Aqui descreva o material permanente)</t>
        </r>
      </text>
    </comment>
    <comment ref="A488" authorId="0" shapeId="0" xr:uid="{BEA90DF6-96BE-4081-881A-1E20AA134995}">
      <text>
        <r>
          <rPr>
            <sz val="11"/>
            <color theme="1"/>
            <rFont val="Calibri"/>
            <family val="2"/>
            <scheme val="minor"/>
          </rPr>
          <t>======
ID#AAAB1mIRWzc
pccli    (2026-02-26 18:52:16)
(Aqui descreva o material permanente)</t>
        </r>
      </text>
    </comment>
    <comment ref="A489" authorId="0" shapeId="0" xr:uid="{36D3C8D9-6529-425E-AF64-708C8164F9A9}">
      <text>
        <r>
          <rPr>
            <sz val="11"/>
            <color theme="1"/>
            <rFont val="Calibri"/>
            <family val="2"/>
            <scheme val="minor"/>
          </rPr>
          <t>======
ID#AAAB1mqcq88
pccli    (2026-02-26 18:52:16)
(Aqui descreva o material permanente)</t>
        </r>
      </text>
    </comment>
    <comment ref="A490" authorId="0" shapeId="0" xr:uid="{A297CF12-0658-4F56-A1DE-8E71FCD3779E}">
      <text>
        <r>
          <rPr>
            <sz val="11"/>
            <color theme="1"/>
            <rFont val="Calibri"/>
            <family val="2"/>
            <scheme val="minor"/>
          </rPr>
          <t>======
ID#AAAB1mqcq98
pccli    (2026-02-26 18:52:16)
(Aqui descreva o material permanente)</t>
        </r>
      </text>
    </comment>
    <comment ref="A491" authorId="0" shapeId="0" xr:uid="{1388A0E1-483B-4E22-A3EC-7248E1B6BC04}">
      <text>
        <r>
          <rPr>
            <sz val="11"/>
            <color theme="1"/>
            <rFont val="Calibri"/>
            <family val="2"/>
            <scheme val="minor"/>
          </rPr>
          <t>======
ID#AAAB1mqcq9s
pccli    (2026-02-26 18:52:16)
(Aqui descreva o material permanente)</t>
        </r>
      </text>
    </comment>
  </commentList>
</comments>
</file>

<file path=xl/sharedStrings.xml><?xml version="1.0" encoding="utf-8"?>
<sst xmlns="http://schemas.openxmlformats.org/spreadsheetml/2006/main" count="601" uniqueCount="456">
  <si>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</si>
  <si>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</si>
  <si>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</si>
  <si>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</si>
  <si>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</si>
  <si>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</si>
  <si>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</si>
  <si>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</si>
  <si>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</si>
  <si>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</si>
  <si>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</si>
  <si>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</si>
  <si>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</si>
  <si>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 xml:space="preserve">2 - DADOS DO PROJETO </t>
  </si>
  <si>
    <t>2.1.2 - INÍCIO</t>
  </si>
  <si>
    <t>A PARTIR DA ASSINATURA DO CONTRATO</t>
  </si>
  <si>
    <t>2.1.4 - COORDENADOR</t>
  </si>
  <si>
    <t>2.1.5 - FISCAL</t>
  </si>
  <si>
    <t>2.1.8 - CLASSIFICAÇÃO DO PROJETO</t>
  </si>
  <si>
    <t>Selecione o enquadramento do projeto</t>
  </si>
  <si>
    <t>VALOR</t>
  </si>
  <si>
    <t>INÍCIO</t>
  </si>
  <si>
    <t>TÉRMINO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</si>
  <si>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</si>
  <si>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</si>
  <si>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</si>
  <si>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</si>
  <si>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</si>
  <si>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</si>
  <si>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</si>
  <si>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</si>
  <si>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</si>
  <si>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</si>
  <si>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</si>
  <si>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</si>
  <si>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</si>
  <si>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</si>
  <si>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</si>
  <si>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</si>
  <si>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</si>
  <si>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</si>
  <si>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</si>
  <si>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</si>
  <si>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</si>
  <si>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</si>
  <si>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</si>
  <si>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</si>
  <si>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</si>
  <si>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</si>
  <si>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</si>
  <si>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</si>
  <si>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</si>
  <si>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</si>
  <si>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</si>
  <si>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</si>
  <si>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</si>
  <si>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</si>
  <si>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</si>
  <si>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</si>
  <si>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</si>
  <si>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</si>
  <si>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</si>
  <si>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</si>
  <si>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</si>
  <si>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</si>
  <si>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</si>
  <si>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</si>
  <si>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</si>
  <si>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</si>
  <si>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</si>
  <si>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</si>
  <si>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</si>
  <si>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</si>
  <si>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</si>
  <si>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</si>
  <si>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</si>
  <si>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</si>
  <si>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</si>
  <si>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</si>
  <si>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</si>
  <si>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</si>
  <si>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</si>
  <si>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</si>
  <si>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</si>
  <si>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</si>
  <si>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</si>
  <si>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</si>
  <si>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</si>
  <si>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</si>
  <si>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</si>
  <si>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</si>
  <si>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</si>
  <si>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</si>
  <si>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</si>
  <si>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</si>
  <si>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</si>
  <si>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</si>
  <si>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</si>
  <si>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</si>
  <si>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</si>
  <si>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</si>
  <si>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</si>
  <si>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</si>
  <si>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</si>
  <si>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</si>
  <si>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</si>
  <si>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</si>
  <si>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</si>
  <si>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</si>
  <si>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</si>
  <si>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</si>
  <si>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</si>
  <si>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</si>
  <si>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</si>
  <si>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</si>
  <si>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</si>
  <si>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</si>
  <si>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</si>
  <si>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</si>
  <si>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</si>
  <si>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</si>
  <si>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</si>
  <si>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</si>
  <si>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</si>
  <si>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</si>
  <si>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</si>
  <si>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</si>
  <si>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</si>
  <si>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</si>
  <si>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</si>
  <si>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</si>
  <si>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</si>
  <si>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</si>
  <si>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</si>
  <si>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</si>
  <si>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</si>
  <si>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</si>
  <si>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</si>
  <si>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</si>
  <si>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</si>
  <si>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</si>
  <si>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</si>
  <si>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</si>
  <si>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</si>
  <si>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</si>
  <si>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</si>
  <si>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</si>
  <si>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</si>
  <si>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</si>
  <si>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</si>
  <si>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</si>
  <si>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</si>
  <si>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</si>
  <si>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</si>
  <si>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</si>
  <si>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</si>
  <si>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</si>
  <si>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</si>
  <si>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</si>
  <si>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</si>
  <si>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</si>
  <si>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</si>
  <si>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</si>
  <si>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</si>
  <si>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</si>
  <si>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</si>
  <si>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</si>
  <si>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</si>
  <si>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</si>
  <si>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</si>
  <si>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</si>
  <si>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</si>
  <si>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</si>
  <si>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</si>
  <si>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</si>
  <si>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</si>
  <si>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</si>
  <si>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</si>
  <si>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</si>
  <si>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</si>
  <si>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</si>
  <si>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</si>
  <si>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</si>
  <si>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</si>
  <si>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</si>
  <si>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</si>
  <si>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</si>
  <si>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</si>
  <si>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</si>
  <si>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</si>
  <si>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</si>
  <si>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</si>
  <si>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</si>
  <si>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</si>
  <si>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</si>
  <si>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</si>
  <si>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</si>
  <si>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</si>
  <si>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</si>
  <si>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</si>
  <si>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</si>
  <si>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</si>
  <si>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</si>
  <si>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</si>
  <si>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</si>
  <si>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</si>
  <si>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</si>
  <si>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</si>
  <si>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</si>
  <si>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</si>
  <si>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</si>
  <si>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</si>
  <si>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</si>
  <si>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</si>
  <si>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</si>
  <si>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</si>
  <si>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</si>
  <si>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</si>
  <si>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</si>
  <si>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</si>
  <si>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</si>
  <si>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</si>
  <si>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</si>
  <si>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</si>
  <si>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</si>
  <si>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</si>
  <si>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</si>
  <si>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</si>
  <si>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</si>
  <si>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</si>
  <si>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</si>
  <si>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</si>
  <si>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</si>
  <si>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</si>
  <si>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</si>
  <si>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</si>
  <si>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</si>
  <si>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</si>
  <si>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</si>
  <si>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</si>
  <si>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</si>
  <si>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</si>
  <si>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</si>
  <si>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</si>
  <si>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</si>
  <si>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</si>
  <si>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 xml:space="preserve">2.1.1 - TÍTULO </t>
  </si>
  <si>
    <t>2.1.1 - TÉRMINO</t>
  </si>
  <si>
    <t xml:space="preserve">2.1.7 - N° DE REGISTRO </t>
  </si>
  <si>
    <t>2.2 - RESUMO</t>
  </si>
  <si>
    <t>2.3 - OBJETIVOS</t>
  </si>
  <si>
    <t>2.4 - JUSTIFICATIVA</t>
  </si>
  <si>
    <t>2.5 - RESULTADOS ESPERADOS</t>
  </si>
  <si>
    <t>2.1.9 - INSTRUMENTO JURÍDICO</t>
  </si>
  <si>
    <t xml:space="preserve">3 - CLASSIFICAÇÕES </t>
  </si>
  <si>
    <t xml:space="preserve">TIPO DE CLASSIFICAÇÃO </t>
  </si>
  <si>
    <t xml:space="preserve">CLASSIFICAÇÃO </t>
  </si>
  <si>
    <t xml:space="preserve">4 - INOVAÇÃO </t>
  </si>
  <si>
    <t xml:space="preserve">5 - UNIDADES VINCULADAS </t>
  </si>
  <si>
    <t xml:space="preserve">INÍCIO </t>
  </si>
  <si>
    <t xml:space="preserve"> UNIDADE </t>
  </si>
  <si>
    <t>FUNÇÃO</t>
  </si>
  <si>
    <t>PARTICIPANTE</t>
  </si>
  <si>
    <t>VÍNCULO</t>
  </si>
  <si>
    <t xml:space="preserve">CURSO/LOTAÇÃO </t>
  </si>
  <si>
    <t>$$$$$</t>
  </si>
  <si>
    <t xml:space="preserve"> </t>
  </si>
  <si>
    <t>CH DENTRO</t>
  </si>
  <si>
    <t>CH FORA</t>
  </si>
  <si>
    <t>MATRICULA / SIAPE</t>
  </si>
  <si>
    <t>PAÍS</t>
  </si>
  <si>
    <t>UF</t>
  </si>
  <si>
    <t>CIDADE</t>
  </si>
  <si>
    <t xml:space="preserve">POTENCIAL DE INOVAÇÃO DO PROJETO </t>
  </si>
  <si>
    <t xml:space="preserve">PROJETO POSSUI POTENCIAL DE INOVAÇÃO DE PRODUTOS, PROCESSOS OU SERVIÇOS </t>
  </si>
  <si>
    <t>OBJETIVO ESTRATÉGICO</t>
  </si>
  <si>
    <t xml:space="preserve">PLANO DE GESTÃO </t>
  </si>
  <si>
    <t>SIAPE</t>
  </si>
  <si>
    <t>2.1.6 - COORDENADOR ADM</t>
  </si>
  <si>
    <t xml:space="preserve">6 - PARTICIPANTES </t>
  </si>
  <si>
    <t>7 - REGIÕES DE ATUAÇÃO</t>
  </si>
  <si>
    <t>Plano de Trabalho</t>
  </si>
  <si>
    <t>NOME LABORATÓRIO</t>
  </si>
  <si>
    <t>UNIDADE</t>
  </si>
  <si>
    <t>8 - LABORATÓRIOS UTILIZADOS</t>
  </si>
  <si>
    <t>SIAPE RESPONSÁVEL</t>
  </si>
  <si>
    <t>RESPONSÁVEL LAB</t>
  </si>
  <si>
    <t>TOTAL</t>
  </si>
  <si>
    <t>9 - CRONOGRAMA DE EXECUÇÃO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</si>
  <si>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</si>
  <si>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</si>
  <si>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</si>
  <si>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</si>
  <si>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</si>
  <si>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(descreva aqui a fase da meta de execução)</t>
  </si>
  <si>
    <t>9.1 - DESCRIÇÃO DAS ATIVIDADES</t>
  </si>
  <si>
    <t>Descrição das atividades de cada membro da equipe relacionando com a meta/fase do projeto:</t>
  </si>
  <si>
    <t>Nome</t>
  </si>
  <si>
    <t>(descreva as atividades por meta/fase)</t>
  </si>
  <si>
    <r>
      <rPr>
        <b/>
        <sz val="14"/>
        <color rgb="FFFFFF00"/>
        <rFont val="Calibri"/>
        <family val="2"/>
      </rPr>
      <t xml:space="preserve">ESCOLHA APENAS UMA DAS OPÇÕES </t>
    </r>
    <r>
      <rPr>
        <b/>
        <sz val="14"/>
        <color rgb="FFFFFFFF"/>
        <rFont val="Calibri"/>
        <family val="2"/>
      </rPr>
      <t xml:space="preserve">DE PERÍODO DE REMBOLSO ABAIXO: </t>
    </r>
  </si>
  <si>
    <t>MENSAL OU SEMESTRAL OU ANUAL</t>
  </si>
  <si>
    <t>10 - CRONOGRAMA DE DESEMBOLSO</t>
  </si>
  <si>
    <t xml:space="preserve">MENSAL 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</si>
  <si>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</si>
  <si>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</si>
  <si>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</si>
  <si>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</si>
  <si>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</si>
  <si>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</si>
  <si>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</si>
  <si>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</si>
  <si>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</si>
  <si>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</si>
  <si>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</si>
  <si>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ANUAL</t>
  </si>
  <si>
    <t>ANO 1</t>
  </si>
  <si>
    <t>ANO 2</t>
  </si>
  <si>
    <t>ANO 3</t>
  </si>
  <si>
    <t>ANO 4</t>
  </si>
  <si>
    <t>ANO 5</t>
  </si>
  <si>
    <t>11 - FONTES E USOS</t>
  </si>
  <si>
    <t>11.1 - FONTES</t>
  </si>
  <si>
    <t>ESPECIFICAÇÃO DOS RECURSOS FINANCEIROS PROVENIENTES: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</si>
  <si>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</si>
  <si>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</si>
  <si>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</si>
  <si>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</si>
  <si>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</si>
  <si>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</si>
  <si>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</si>
  <si>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</si>
  <si>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repasse de outras fontes de recursos orçamentários da União (TED)</t>
  </si>
  <si>
    <t>11.2 - USOS</t>
  </si>
  <si>
    <t>ESPECIFICAÇÃO</t>
  </si>
  <si>
    <t>DESPESAS DE CUSTEIO</t>
  </si>
  <si>
    <t>DESPESAS DE CAPITAL</t>
  </si>
  <si>
    <t>RESSARCIMENTO INFRAESTRUTURA UFSM (5% a 8% CUSTEIO)</t>
  </si>
  <si>
    <t xml:space="preserve">DESPESAS OPERACIONAIS FUNDAÇÃO </t>
  </si>
  <si>
    <t>11.3 - PLANO DE APLICAÇÃO</t>
  </si>
  <si>
    <r>
      <rPr>
        <b/>
        <sz val="14"/>
        <color rgb="FFFF0000"/>
        <rFont val="Calibri"/>
        <family val="2"/>
      </rPr>
      <t xml:space="preserve">SOMENTE SE PROJETO DE PRESTAÇÃO DE SERVIÇOS:
</t>
    </r>
    <r>
      <rPr>
        <b/>
        <sz val="14"/>
        <color theme="1"/>
        <rFont val="Calibri"/>
        <family val="2"/>
      </rPr>
      <t>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</si>
  <si>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</si>
  <si>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11.2 - Diárias</t>
  </si>
  <si>
    <t>Diárias no país</t>
  </si>
  <si>
    <t>Diárias no exterior</t>
  </si>
  <si>
    <t>Auxílio para desenvolvimento de estudos e pesquisas</t>
  </si>
  <si>
    <t>Diárias a colaboradores eventuais no país</t>
  </si>
  <si>
    <t>11.3 - Serviços de Terceiros Pessoa Jurídica</t>
  </si>
  <si>
    <t>Assinaturas de periódicos e anuidades</t>
  </si>
  <si>
    <t>Direitos autorais</t>
  </si>
  <si>
    <t>Serviços técnicos profissionais</t>
  </si>
  <si>
    <t>Manutenção de software</t>
  </si>
  <si>
    <t>Locação de imóveis</t>
  </si>
  <si>
    <t>Locação de softwares</t>
  </si>
  <si>
    <t>Locação de máquinas e equipamentos</t>
  </si>
  <si>
    <t xml:space="preserve">Locação de bens. Mov. Out. naturezas e intangíveis 
</t>
  </si>
  <si>
    <t>Manutenção e conservação de bens imóveis</t>
  </si>
  <si>
    <t>Manutenção e conservação de máquinas e equipamentos</t>
  </si>
  <si>
    <t>Serviço de estacionamento de veículos</t>
  </si>
  <si>
    <t>Manutenção e conservação de veículos</t>
  </si>
  <si>
    <t>Exposições, congressos e conferências</t>
  </si>
  <si>
    <t>Confecção de uniformes</t>
  </si>
  <si>
    <t>Desenvolvimento de software</t>
  </si>
  <si>
    <t>Suporte de infraestrutura de TI</t>
  </si>
  <si>
    <t>Suporte a usuários de TI</t>
  </si>
  <si>
    <t>Hospedagem de sistemas</t>
  </si>
  <si>
    <t>Locação de equipamentos de processamento de dados</t>
  </si>
  <si>
    <t>Fornecimento de alimentação</t>
  </si>
  <si>
    <t>Serviços de energia elétrica</t>
  </si>
  <si>
    <t>Serviços de água e esgoto</t>
  </si>
  <si>
    <t>Serviços de comunicação em geral</t>
  </si>
  <si>
    <t>Serviços médico-hospitalar, odontológicos e laboratoriais</t>
  </si>
  <si>
    <t>Serviços de análises e pesquisas científicas</t>
  </si>
  <si>
    <t>Serviços de tecnologia da informação</t>
  </si>
  <si>
    <t>Serviços de telecomunicações</t>
  </si>
  <si>
    <t>Serviços de áudio, vídeo e foto</t>
  </si>
  <si>
    <t>Serviços de produção industrial</t>
  </si>
  <si>
    <t>Serviços gráficos e editoriais</t>
  </si>
  <si>
    <t>Seguros em geral</t>
  </si>
  <si>
    <t>Confecção de material de acondicionamento e embalagem</t>
  </si>
  <si>
    <t>Vale-transporte</t>
  </si>
  <si>
    <t>Fretes e transportes de encomendas</t>
  </si>
  <si>
    <t>Serviço de apoio administrativo, técnico e operacional</t>
  </si>
  <si>
    <t>Hospedagens</t>
  </si>
  <si>
    <t>Serviços de cópias e reprodução de documentos</t>
  </si>
  <si>
    <t>Serviços de publicidade legal</t>
  </si>
  <si>
    <t>Aquisição de softwares sob encomenda</t>
  </si>
  <si>
    <t>Manutenção e conservação de equip. de processamento de dados</t>
  </si>
  <si>
    <t>Comunicação de dados</t>
  </si>
  <si>
    <t>Testes e confecções de placas relacionados ao objeto do projeto</t>
  </si>
  <si>
    <t>Outros serviços de terceiros pessoa jurídica</t>
  </si>
  <si>
    <t>11.4 - Serviços de Terceiros - Pessoa Física</t>
  </si>
  <si>
    <t>Serviços de limpeza e conservação</t>
  </si>
  <si>
    <t>Serviços de apoio administrativo, técnico e operacional</t>
  </si>
  <si>
    <t>Obrigações Tributárias e Contributivas (cota patronal 20%)</t>
  </si>
  <si>
    <t>11.5 - Passagens e Despesas de Locomoção</t>
  </si>
  <si>
    <t>Passagens para o país</t>
  </si>
  <si>
    <t>Passagens para o exterior</t>
  </si>
  <si>
    <t>Locação de meios de transportes</t>
  </si>
  <si>
    <t>Locomoção urbana</t>
  </si>
  <si>
    <t>Outras despesas com locomoção</t>
  </si>
  <si>
    <t>11.6 - Material de Consumo</t>
  </si>
  <si>
    <t>Combustíveis e lubrificantes automotivos</t>
  </si>
  <si>
    <t>Gás e outros materiais engarrafados</t>
  </si>
  <si>
    <t>Alimentos para animais</t>
  </si>
  <si>
    <t>Gêneros de alimentação</t>
  </si>
  <si>
    <t>Animais para pesquisa e abate</t>
  </si>
  <si>
    <t>Material farmacológico</t>
  </si>
  <si>
    <t>Material odontológico</t>
  </si>
  <si>
    <t>Material químico</t>
  </si>
  <si>
    <t>Material educativo e esportivo</t>
  </si>
  <si>
    <t>Material de expediente</t>
  </si>
  <si>
    <t>Material de processamento de dados</t>
  </si>
  <si>
    <t>Materiais e medicamentos para uso veterinário</t>
  </si>
  <si>
    <t>Material de acondicionamento e embalagem</t>
  </si>
  <si>
    <t>Material de copa e cozinha</t>
  </si>
  <si>
    <t>Material de limpeza e produtos de higienização</t>
  </si>
  <si>
    <t>Uniformes, tecidos e aviamentos</t>
  </si>
  <si>
    <t>Material para manutenção de bens imóveis/instalações</t>
  </si>
  <si>
    <t>Material para manutenção de bens móveis</t>
  </si>
  <si>
    <t>Material elétrico e eletrônico</t>
  </si>
  <si>
    <t>Material de proteção e segurança</t>
  </si>
  <si>
    <t>Material para áudio, vídeo e foto</t>
  </si>
  <si>
    <t>Material para comunicações</t>
  </si>
  <si>
    <t>Sementes, mudas de plantas e insumos</t>
  </si>
  <si>
    <t>Material para produção industrial</t>
  </si>
  <si>
    <t>Material laboratorial</t>
  </si>
  <si>
    <t>Material hospitalar</t>
  </si>
  <si>
    <t>Material para manutenção de veículos</t>
  </si>
  <si>
    <t>Material biológico</t>
  </si>
  <si>
    <t>Material para utilização em gráfica</t>
  </si>
  <si>
    <t>Ferramentas</t>
  </si>
  <si>
    <t>Material de sinalização visual e outros</t>
  </si>
  <si>
    <t>Material bibliográfico</t>
  </si>
  <si>
    <t>Aquisição de software - produto</t>
  </si>
  <si>
    <t>Material para divulgação</t>
  </si>
  <si>
    <t>Materiais de Consumo para utilização no laboratório</t>
  </si>
  <si>
    <t>Outros Materiais de Consumo</t>
  </si>
  <si>
    <t>11.7 - Equipamento e Material Permanente (Anexo I)</t>
  </si>
  <si>
    <t>Material Permanente (Preencher o ANEXO I)</t>
  </si>
  <si>
    <t>11.8 - Obras e Instalações</t>
  </si>
  <si>
    <t>Estudos e Projetos</t>
  </si>
  <si>
    <t>Obras em andamento</t>
  </si>
  <si>
    <t>Instalações</t>
  </si>
  <si>
    <t>Almoxarifado de obras</t>
  </si>
  <si>
    <t>Outras obras e instalações</t>
  </si>
  <si>
    <t>11.9 - Ressarcimento pelo Uso da Infraestrutura da UFSM</t>
  </si>
  <si>
    <t>Ressarcimento pelo Uso da Infraestrutura da UFSM</t>
  </si>
  <si>
    <t>11.10 - Despesas operacionais e administravas da FUNDAÇÃO DE APOIO</t>
  </si>
  <si>
    <t xml:space="preserve">                                                                                           Despesas operacionais e administravas da FUNDAÇÃO DE APOIO</t>
  </si>
  <si>
    <t>TOTAL GERAL</t>
  </si>
  <si>
    <t>ANEXO I - MATERIAL E EQUIPAMENTO PERMANENTE</t>
  </si>
  <si>
    <t>QUANTIDADE</t>
  </si>
  <si>
    <t>VALOR UNITÁRIO</t>
  </si>
  <si>
    <t>VALOR TOTAL</t>
  </si>
  <si>
    <t>cadeira</t>
  </si>
  <si>
    <t>(Aqui descreva o material permanente)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</si>
</sst>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 &quot;* #,##0.00_-;&quot;-R$ &quot;* #,##0.00_-;_-&quot;R$ &quot;* \-??_-;_-@"/>
    <numFmt numFmtId="165" formatCode="_-[$R$-416]\ * #,##0.00_-;\-[$R$-416]\ * #,##0.00_-;_-[$R$-416]\ * \-??_-;_-@"/>
    <numFmt numFmtId="166" formatCode="_-* #,##0.00_-;\-* #,##0.00_-;_-* \-??_-;_-@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FFFF00"/>
      <name val="Calibri"/>
      <family val="2"/>
    </font>
    <font>
      <b/>
      <sz val="14"/>
      <color rgb="FFFFFFFF"/>
      <name val="Calibri"/>
      <family val="2"/>
    </font>
    <font>
      <b/>
      <sz val="14"/>
      <color rgb="FFFF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-0.249977111117893"/>
        <bgColor rgb="FF2E75B5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2F2F2"/>
        <bgColor rgb="FFF2F2F2"/>
      </patternFill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theme="4" tint="-0.249977111117893"/>
        <bgColor rgb="FFD0CECE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7E6E6"/>
        <bgColor rgb="FFE7E6E6"/>
      </patternFill>
    </fill>
  </fills>
  <borders count="1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2"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2" borderId="7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0" fillId="0" borderId="20" xfId="0" applyFont="1" applyBorder="1" applyAlignment="1"/>
    <xf numFmtId="0" fontId="0" fillId="5" borderId="8" xfId="0" applyFont="1" applyFill="1" applyBorder="1" applyAlignment="1"/>
    <xf numFmtId="0" fontId="2" fillId="6" borderId="8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vertical="center"/>
    </xf>
    <xf numFmtId="0" fontId="2" fillId="6" borderId="20" xfId="0" applyFont="1" applyFill="1" applyBorder="1" applyAlignment="1">
      <alignment horizontal="left" vertical="center"/>
    </xf>
    <xf numFmtId="0" fontId="10" fillId="2" borderId="51" xfId="0" applyFont="1" applyFill="1" applyBorder="1" applyAlignment="1">
      <alignment vertical="center"/>
    </xf>
    <xf numFmtId="0" fontId="2" fillId="6" borderId="51" xfId="0" applyFont="1" applyFill="1" applyBorder="1" applyAlignment="1">
      <alignment horizontal="left" vertical="center"/>
    </xf>
    <xf numFmtId="0" fontId="2" fillId="6" borderId="52" xfId="0" applyFont="1" applyFill="1" applyBorder="1" applyAlignment="1">
      <alignment horizontal="left" vertical="center"/>
    </xf>
    <xf numFmtId="0" fontId="2" fillId="6" borderId="53" xfId="0" applyFont="1" applyFill="1" applyBorder="1" applyAlignment="1">
      <alignment horizontal="left" vertical="center"/>
    </xf>
    <xf numFmtId="0" fontId="0" fillId="0" borderId="51" xfId="0" applyFont="1" applyBorder="1" applyAlignment="1"/>
    <xf numFmtId="0" fontId="0" fillId="0" borderId="52" xfId="0" applyFont="1" applyBorder="1" applyAlignment="1"/>
    <xf numFmtId="0" fontId="0" fillId="0" borderId="53" xfId="0" applyFont="1" applyBorder="1" applyAlignment="1"/>
    <xf numFmtId="0" fontId="7" fillId="6" borderId="8" xfId="0" applyFont="1" applyFill="1" applyBorder="1" applyAlignment="1">
      <alignment horizontal="left"/>
    </xf>
    <xf numFmtId="0" fontId="6" fillId="6" borderId="8" xfId="0" applyFont="1" applyFill="1" applyBorder="1" applyAlignment="1">
      <alignment horizontal="left"/>
    </xf>
    <xf numFmtId="0" fontId="3" fillId="2" borderId="67" xfId="0" applyFont="1" applyFill="1" applyBorder="1" applyAlignment="1">
      <alignment vertical="center" wrapText="1"/>
    </xf>
    <xf numFmtId="0" fontId="0" fillId="0" borderId="0" xfId="0" applyFont="1" applyAlignment="1"/>
    <xf numFmtId="0" fontId="3" fillId="6" borderId="8" xfId="0" applyFont="1" applyFill="1" applyBorder="1" applyAlignment="1">
      <alignment vertical="center"/>
    </xf>
    <xf numFmtId="0" fontId="4" fillId="5" borderId="8" xfId="0" applyFont="1" applyFill="1" applyBorder="1" applyAlignment="1"/>
    <xf numFmtId="0" fontId="5" fillId="6" borderId="8" xfId="0" applyFont="1" applyFill="1" applyBorder="1" applyAlignment="1"/>
    <xf numFmtId="0" fontId="6" fillId="6" borderId="8" xfId="0" applyFont="1" applyFill="1" applyBorder="1" applyAlignment="1"/>
    <xf numFmtId="0" fontId="0" fillId="0" borderId="24" xfId="0" applyFont="1" applyBorder="1" applyAlignment="1"/>
    <xf numFmtId="0" fontId="0" fillId="0" borderId="42" xfId="0" applyFont="1" applyBorder="1" applyAlignment="1"/>
    <xf numFmtId="0" fontId="2" fillId="6" borderId="49" xfId="0" applyFont="1" applyFill="1" applyBorder="1" applyAlignment="1">
      <alignment horizontal="center" vertical="center"/>
    </xf>
    <xf numFmtId="0" fontId="2" fillId="6" borderId="43" xfId="0" applyFont="1" applyFill="1" applyBorder="1" applyAlignment="1">
      <alignment horizontal="center" vertical="center"/>
    </xf>
    <xf numFmtId="0" fontId="2" fillId="6" borderId="50" xfId="0" applyFont="1" applyFill="1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48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4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10" fillId="2" borderId="48" xfId="0" applyFont="1" applyFill="1" applyBorder="1" applyAlignment="1">
      <alignment horizontal="center" vertical="center"/>
    </xf>
    <xf numFmtId="0" fontId="0" fillId="0" borderId="54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58" xfId="0" applyFont="1" applyBorder="1" applyAlignment="1">
      <alignment horizontal="center"/>
    </xf>
    <xf numFmtId="0" fontId="0" fillId="0" borderId="52" xfId="0" applyFont="1" applyBorder="1" applyAlignment="1">
      <alignment horizontal="center"/>
    </xf>
    <xf numFmtId="0" fontId="10" fillId="2" borderId="20" xfId="0" applyFont="1" applyFill="1" applyBorder="1" applyAlignment="1">
      <alignment horizontal="center" vertical="center"/>
    </xf>
    <xf numFmtId="0" fontId="0" fillId="0" borderId="51" xfId="0" applyFont="1" applyBorder="1" applyAlignment="1">
      <alignment horizontal="center"/>
    </xf>
    <xf numFmtId="0" fontId="0" fillId="0" borderId="53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49" xfId="0" applyFont="1" applyBorder="1" applyAlignment="1">
      <alignment horizontal="center"/>
    </xf>
    <xf numFmtId="0" fontId="0" fillId="0" borderId="50" xfId="0" applyFont="1" applyBorder="1" applyAlignment="1">
      <alignment horizontal="center"/>
    </xf>
    <xf numFmtId="0" fontId="9" fillId="4" borderId="55" xfId="0" applyFont="1" applyFill="1" applyBorder="1" applyAlignment="1">
      <alignment horizontal="center" vertical="center"/>
    </xf>
    <xf numFmtId="0" fontId="9" fillId="4" borderId="56" xfId="0" applyFont="1" applyFill="1" applyBorder="1" applyAlignment="1">
      <alignment horizontal="center" vertical="center"/>
    </xf>
    <xf numFmtId="0" fontId="9" fillId="4" borderId="57" xfId="0" applyFont="1" applyFill="1" applyBorder="1" applyAlignment="1">
      <alignment horizontal="center" vertical="center"/>
    </xf>
    <xf numFmtId="0" fontId="9" fillId="4" borderId="54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10" fillId="2" borderId="48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0" fillId="5" borderId="25" xfId="0" applyFont="1" applyFill="1" applyBorder="1" applyAlignment="1">
      <alignment horizontal="center"/>
    </xf>
    <xf numFmtId="0" fontId="0" fillId="5" borderId="37" xfId="0" applyFont="1" applyFill="1" applyBorder="1" applyAlignment="1">
      <alignment horizontal="center"/>
    </xf>
    <xf numFmtId="0" fontId="10" fillId="2" borderId="49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0" fillId="5" borderId="42" xfId="0" applyFont="1" applyFill="1" applyBorder="1" applyAlignment="1">
      <alignment horizontal="center"/>
    </xf>
    <xf numFmtId="0" fontId="0" fillId="5" borderId="43" xfId="0" applyFont="1" applyFill="1" applyBorder="1" applyAlignment="1">
      <alignment horizontal="center"/>
    </xf>
    <xf numFmtId="0" fontId="0" fillId="5" borderId="44" xfId="0" applyFont="1" applyFill="1" applyBorder="1" applyAlignment="1">
      <alignment horizontal="center"/>
    </xf>
    <xf numFmtId="0" fontId="10" fillId="2" borderId="49" xfId="0" applyFont="1" applyFill="1" applyBorder="1" applyAlignment="1">
      <alignment horizontal="left" vertical="center"/>
    </xf>
    <xf numFmtId="0" fontId="3" fillId="2" borderId="50" xfId="0" applyFont="1" applyFill="1" applyBorder="1" applyAlignment="1">
      <alignment horizontal="left" vertical="center"/>
    </xf>
    <xf numFmtId="0" fontId="0" fillId="5" borderId="48" xfId="0" applyFont="1" applyFill="1" applyBorder="1" applyAlignment="1">
      <alignment horizontal="center"/>
    </xf>
    <xf numFmtId="0" fontId="0" fillId="5" borderId="26" xfId="0" applyFont="1" applyFill="1" applyBorder="1" applyAlignment="1">
      <alignment horizontal="center"/>
    </xf>
    <xf numFmtId="0" fontId="0" fillId="5" borderId="24" xfId="0" applyFont="1" applyFill="1" applyBorder="1" applyAlignment="1">
      <alignment horizontal="center"/>
    </xf>
    <xf numFmtId="0" fontId="0" fillId="5" borderId="38" xfId="0" applyFont="1" applyFill="1" applyBorder="1" applyAlignment="1">
      <alignment horizontal="center"/>
    </xf>
    <xf numFmtId="0" fontId="0" fillId="5" borderId="27" xfId="0" applyFont="1" applyFill="1" applyBorder="1" applyAlignment="1">
      <alignment horizontal="center"/>
    </xf>
    <xf numFmtId="0" fontId="10" fillId="2" borderId="48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37" xfId="0" applyFont="1" applyBorder="1" applyAlignment="1">
      <alignment horizontal="center"/>
    </xf>
    <xf numFmtId="0" fontId="2" fillId="2" borderId="13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3" fillId="2" borderId="40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0" fillId="0" borderId="42" xfId="0" applyFont="1" applyBorder="1" applyAlignment="1">
      <alignment horizontal="center"/>
    </xf>
    <xf numFmtId="0" fontId="0" fillId="0" borderId="43" xfId="0" applyFont="1" applyBorder="1" applyAlignment="1">
      <alignment horizontal="center"/>
    </xf>
    <xf numFmtId="0" fontId="0" fillId="0" borderId="44" xfId="0" applyFont="1" applyBorder="1" applyAlignment="1">
      <alignment horizontal="center"/>
    </xf>
    <xf numFmtId="0" fontId="2" fillId="2" borderId="10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3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left" vertical="center"/>
    </xf>
    <xf numFmtId="0" fontId="3" fillId="2" borderId="30" xfId="0" applyFont="1" applyFill="1" applyBorder="1" applyAlignment="1">
      <alignment horizontal="left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40" xfId="0" applyFont="1" applyFill="1" applyBorder="1" applyAlignment="1">
      <alignment vertical="center" wrapText="1"/>
    </xf>
    <xf numFmtId="0" fontId="4" fillId="0" borderId="65" xfId="0" applyFont="1" applyBorder="1"/>
    <xf numFmtId="0" fontId="4" fillId="0" borderId="66" xfId="0" applyFont="1" applyBorder="1"/>
    <xf numFmtId="0" fontId="3" fillId="2" borderId="68" xfId="0" applyFont="1" applyFill="1" applyBorder="1" applyAlignment="1">
      <alignment horizontal="left" vertical="center" wrapText="1"/>
    </xf>
    <xf numFmtId="0" fontId="4" fillId="0" borderId="69" xfId="0" applyFont="1" applyBorder="1"/>
    <xf numFmtId="0" fontId="3" fillId="2" borderId="6" xfId="0" applyFont="1" applyFill="1" applyBorder="1" applyAlignment="1">
      <alignment horizontal="center" vertical="center"/>
    </xf>
    <xf numFmtId="0" fontId="4" fillId="0" borderId="5" xfId="0" applyFont="1" applyBorder="1"/>
    <xf numFmtId="0" fontId="3" fillId="2" borderId="6" xfId="0" applyFont="1" applyFill="1" applyBorder="1" applyAlignment="1">
      <alignment horizontal="left" vertical="center" wrapText="1"/>
    </xf>
    <xf numFmtId="0" fontId="4" fillId="0" borderId="15" xfId="0" applyFont="1" applyBorder="1"/>
    <xf numFmtId="0" fontId="4" fillId="0" borderId="62" xfId="0" applyFont="1" applyBorder="1"/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8" xfId="0" applyFont="1" applyBorder="1"/>
    <xf numFmtId="0" fontId="3" fillId="2" borderId="29" xfId="0" applyFont="1" applyFill="1" applyBorder="1" applyAlignment="1">
      <alignment horizontal="center" vertical="center"/>
    </xf>
    <xf numFmtId="0" fontId="4" fillId="0" borderId="30" xfId="0" applyFont="1" applyBorder="1"/>
    <xf numFmtId="0" fontId="4" fillId="0" borderId="59" xfId="0" applyFont="1" applyBorder="1"/>
    <xf numFmtId="0" fontId="4" fillId="0" borderId="11" xfId="0" applyFont="1" applyBorder="1"/>
    <xf numFmtId="0" fontId="4" fillId="0" borderId="60" xfId="0" applyFont="1" applyBorder="1"/>
    <xf numFmtId="0" fontId="2" fillId="2" borderId="61" xfId="0" applyFont="1" applyFill="1" applyBorder="1" applyAlignment="1">
      <alignment horizontal="left" vertical="center" wrapText="1"/>
    </xf>
    <xf numFmtId="0" fontId="4" fillId="0" borderId="2" xfId="0" applyFont="1" applyBorder="1"/>
    <xf numFmtId="0" fontId="4" fillId="0" borderId="3" xfId="0" applyFont="1" applyBorder="1"/>
    <xf numFmtId="0" fontId="3" fillId="2" borderId="63" xfId="0" applyFont="1" applyFill="1" applyBorder="1" applyAlignment="1">
      <alignment horizontal="left" vertical="center" wrapText="1"/>
    </xf>
    <xf numFmtId="0" fontId="4" fillId="0" borderId="4" xfId="0" applyFont="1" applyBorder="1"/>
    <xf numFmtId="0" fontId="4" fillId="0" borderId="64" xfId="0" applyFont="1" applyBorder="1"/>
    <xf numFmtId="0" fontId="3" fillId="2" borderId="34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vertical="center" wrapText="1"/>
    </xf>
    <xf numFmtId="0" fontId="3" fillId="2" borderId="20" xfId="0" applyFont="1" applyFill="1" applyBorder="1" applyAlignment="1">
      <alignment vertical="center"/>
    </xf>
    <xf numFmtId="0" fontId="3" fillId="2" borderId="51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 wrapText="1"/>
    </xf>
    <xf numFmtId="0" fontId="3" fillId="3" borderId="24" xfId="0" applyFont="1" applyFill="1" applyBorder="1" applyAlignment="1">
      <alignment vertical="center" wrapText="1"/>
    </xf>
    <xf numFmtId="164" fontId="3" fillId="2" borderId="70" xfId="0" applyNumberFormat="1" applyFont="1" applyFill="1" applyBorder="1" applyAlignment="1">
      <alignment vertical="center" shrinkToFit="1"/>
    </xf>
    <xf numFmtId="0" fontId="1" fillId="0" borderId="20" xfId="0" applyFont="1" applyBorder="1" applyAlignment="1"/>
    <xf numFmtId="0" fontId="3" fillId="3" borderId="52" xfId="0" applyFont="1" applyFill="1" applyBorder="1" applyAlignment="1">
      <alignment vertical="center" wrapText="1"/>
    </xf>
    <xf numFmtId="0" fontId="3" fillId="3" borderId="42" xfId="0" applyFont="1" applyFill="1" applyBorder="1" applyAlignment="1">
      <alignment vertical="center" wrapText="1"/>
    </xf>
    <xf numFmtId="164" fontId="3" fillId="2" borderId="71" xfId="0" applyNumberFormat="1" applyFont="1" applyFill="1" applyBorder="1" applyAlignment="1">
      <alignment vertical="center" shrinkToFit="1"/>
    </xf>
    <xf numFmtId="0" fontId="1" fillId="0" borderId="52" xfId="0" applyFont="1" applyBorder="1" applyAlignment="1"/>
    <xf numFmtId="0" fontId="11" fillId="7" borderId="72" xfId="0" applyFont="1" applyFill="1" applyBorder="1" applyAlignment="1">
      <alignment horizontal="center"/>
    </xf>
    <xf numFmtId="0" fontId="11" fillId="7" borderId="73" xfId="0" applyFont="1" applyFill="1" applyBorder="1" applyAlignment="1">
      <alignment horizontal="center"/>
    </xf>
    <xf numFmtId="0" fontId="0" fillId="0" borderId="74" xfId="0" applyFont="1" applyBorder="1" applyAlignment="1"/>
    <xf numFmtId="164" fontId="11" fillId="7" borderId="75" xfId="0" applyNumberFormat="1" applyFont="1" applyFill="1" applyBorder="1" applyAlignment="1">
      <alignment horizontal="center"/>
    </xf>
    <xf numFmtId="0" fontId="11" fillId="7" borderId="74" xfId="0" applyFont="1" applyFill="1" applyBorder="1" applyAlignment="1">
      <alignment horizontal="center"/>
    </xf>
    <xf numFmtId="0" fontId="11" fillId="7" borderId="76" xfId="0" applyFont="1" applyFill="1" applyBorder="1" applyAlignment="1">
      <alignment horizontal="center"/>
    </xf>
    <xf numFmtId="0" fontId="0" fillId="0" borderId="73" xfId="0" applyFont="1" applyBorder="1" applyAlignment="1"/>
    <xf numFmtId="0" fontId="3" fillId="2" borderId="36" xfId="0" applyFont="1" applyFill="1" applyBorder="1" applyAlignment="1">
      <alignment horizontal="center" vertical="center"/>
    </xf>
    <xf numFmtId="0" fontId="4" fillId="0" borderId="77" xfId="0" applyFont="1" applyBorder="1"/>
    <xf numFmtId="0" fontId="3" fillId="2" borderId="78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4" fillId="0" borderId="47" xfId="0" applyFont="1" applyBorder="1"/>
    <xf numFmtId="0" fontId="4" fillId="0" borderId="80" xfId="0" applyFont="1" applyBorder="1"/>
    <xf numFmtId="0" fontId="4" fillId="0" borderId="81" xfId="0" applyFont="1" applyBorder="1"/>
    <xf numFmtId="0" fontId="4" fillId="0" borderId="9" xfId="0" applyFont="1" applyBorder="1"/>
    <xf numFmtId="0" fontId="1" fillId="0" borderId="8" xfId="0" applyFont="1" applyBorder="1" applyAlignment="1"/>
    <xf numFmtId="0" fontId="7" fillId="2" borderId="6" xfId="0" applyFont="1" applyFill="1" applyBorder="1" applyAlignment="1">
      <alignment horizontal="center" vertical="center" wrapText="1"/>
    </xf>
    <xf numFmtId="0" fontId="4" fillId="0" borderId="63" xfId="0" applyFont="1" applyBorder="1"/>
    <xf numFmtId="0" fontId="4" fillId="0" borderId="82" xfId="0" applyFont="1" applyBorder="1"/>
    <xf numFmtId="0" fontId="4" fillId="0" borderId="83" xfId="0" applyFont="1" applyBorder="1"/>
    <xf numFmtId="0" fontId="4" fillId="0" borderId="84" xfId="0" applyFont="1" applyBorder="1"/>
    <xf numFmtId="0" fontId="3" fillId="2" borderId="7" xfId="0" applyFont="1" applyFill="1" applyBorder="1" applyAlignment="1">
      <alignment horizontal="center" vertical="center"/>
    </xf>
    <xf numFmtId="0" fontId="3" fillId="2" borderId="85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3" fillId="3" borderId="85" xfId="0" applyFont="1" applyFill="1" applyBorder="1" applyAlignment="1">
      <alignment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68" xfId="0" applyFont="1" applyFill="1" applyBorder="1" applyAlignment="1">
      <alignment vertical="center"/>
    </xf>
    <xf numFmtId="0" fontId="3" fillId="3" borderId="68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vertical="center"/>
    </xf>
    <xf numFmtId="0" fontId="3" fillId="3" borderId="86" xfId="0" applyFont="1" applyFill="1" applyBorder="1" applyAlignment="1">
      <alignment vertical="center"/>
    </xf>
    <xf numFmtId="0" fontId="2" fillId="8" borderId="21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8" borderId="4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12" borderId="87" xfId="0" applyFont="1" applyFill="1" applyBorder="1" applyAlignment="1">
      <alignment horizontal="center" vertical="center"/>
    </xf>
    <xf numFmtId="0" fontId="5" fillId="12" borderId="88" xfId="0" applyFont="1" applyFill="1" applyBorder="1" applyAlignment="1">
      <alignment horizontal="center" vertical="center"/>
    </xf>
    <xf numFmtId="0" fontId="5" fillId="12" borderId="89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5" fillId="11" borderId="90" xfId="0" applyFont="1" applyFill="1" applyBorder="1" applyAlignment="1">
      <alignment horizontal="center" vertical="center"/>
    </xf>
    <xf numFmtId="0" fontId="5" fillId="11" borderId="83" xfId="0" applyFont="1" applyFill="1" applyBorder="1" applyAlignment="1">
      <alignment horizontal="center" vertical="center"/>
    </xf>
    <xf numFmtId="0" fontId="5" fillId="11" borderId="91" xfId="0" applyFont="1" applyFill="1" applyBorder="1" applyAlignment="1">
      <alignment horizontal="center" vertical="center"/>
    </xf>
    <xf numFmtId="0" fontId="5" fillId="12" borderId="92" xfId="0" applyFont="1" applyFill="1" applyBorder="1" applyAlignment="1">
      <alignment horizontal="center" vertical="center"/>
    </xf>
    <xf numFmtId="0" fontId="5" fillId="12" borderId="93" xfId="0" applyFont="1" applyFill="1" applyBorder="1" applyAlignment="1">
      <alignment horizontal="center" vertical="center"/>
    </xf>
    <xf numFmtId="0" fontId="5" fillId="12" borderId="94" xfId="0" applyFont="1" applyFill="1" applyBorder="1" applyAlignment="1">
      <alignment horizontal="center" vertical="center"/>
    </xf>
    <xf numFmtId="0" fontId="5" fillId="12" borderId="95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6" fillId="11" borderId="96" xfId="0" applyFont="1" applyFill="1" applyBorder="1" applyAlignment="1">
      <alignment horizontal="center" vertical="center"/>
    </xf>
    <xf numFmtId="164" fontId="6" fillId="11" borderId="7" xfId="0" applyNumberFormat="1" applyFont="1" applyFill="1" applyBorder="1" applyAlignment="1">
      <alignment vertical="center" shrinkToFit="1"/>
    </xf>
    <xf numFmtId="0" fontId="6" fillId="11" borderId="7" xfId="0" applyFont="1" applyFill="1" applyBorder="1" applyAlignment="1">
      <alignment horizontal="center" vertical="center"/>
    </xf>
    <xf numFmtId="164" fontId="6" fillId="11" borderId="70" xfId="0" applyNumberFormat="1" applyFont="1" applyFill="1" applyBorder="1" applyAlignment="1">
      <alignment vertical="center" shrinkToFit="1"/>
    </xf>
    <xf numFmtId="0" fontId="6" fillId="12" borderId="13" xfId="0" applyFont="1" applyFill="1" applyBorder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6" fillId="12" borderId="14" xfId="0" applyFont="1" applyFill="1" applyBorder="1" applyAlignment="1">
      <alignment horizontal="center" vertical="center"/>
    </xf>
    <xf numFmtId="0" fontId="6" fillId="12" borderId="97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2" borderId="98" xfId="0" applyFont="1" applyFill="1" applyBorder="1" applyAlignment="1">
      <alignment horizontal="center" vertical="center"/>
    </xf>
    <xf numFmtId="0" fontId="6" fillId="12" borderId="99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164" fontId="6" fillId="12" borderId="6" xfId="0" applyNumberFormat="1" applyFont="1" applyFill="1" applyBorder="1" applyAlignment="1">
      <alignment horizontal="center" vertical="center"/>
    </xf>
    <xf numFmtId="164" fontId="6" fillId="12" borderId="100" xfId="0" applyNumberFormat="1" applyFont="1" applyFill="1" applyBorder="1" applyAlignment="1">
      <alignment horizontal="center" vertical="center"/>
    </xf>
    <xf numFmtId="0" fontId="6" fillId="12" borderId="101" xfId="0" applyFont="1" applyFill="1" applyBorder="1" applyAlignment="1">
      <alignment horizontal="center" vertical="center"/>
    </xf>
    <xf numFmtId="0" fontId="6" fillId="12" borderId="93" xfId="0" applyFont="1" applyFill="1" applyBorder="1" applyAlignment="1">
      <alignment horizontal="center" vertical="center"/>
    </xf>
    <xf numFmtId="0" fontId="6" fillId="12" borderId="94" xfId="0" applyFont="1" applyFill="1" applyBorder="1" applyAlignment="1">
      <alignment horizontal="center" vertical="center"/>
    </xf>
    <xf numFmtId="164" fontId="6" fillId="12" borderId="93" xfId="0" applyNumberFormat="1" applyFont="1" applyFill="1" applyBorder="1" applyAlignment="1">
      <alignment horizontal="center" vertical="center"/>
    </xf>
    <xf numFmtId="164" fontId="6" fillId="12" borderId="95" xfId="0" applyNumberFormat="1" applyFont="1" applyFill="1" applyBorder="1" applyAlignment="1">
      <alignment horizontal="center" vertical="center"/>
    </xf>
    <xf numFmtId="0" fontId="6" fillId="12" borderId="102" xfId="0" applyFont="1" applyFill="1" applyBorder="1" applyAlignment="1">
      <alignment horizontal="center" vertical="center"/>
    </xf>
    <xf numFmtId="0" fontId="6" fillId="12" borderId="103" xfId="0" applyFont="1" applyFill="1" applyBorder="1" applyAlignment="1">
      <alignment horizontal="center" vertical="center"/>
    </xf>
    <xf numFmtId="0" fontId="6" fillId="12" borderId="84" xfId="0" applyFont="1" applyFill="1" applyBorder="1" applyAlignment="1">
      <alignment horizontal="center" vertical="center"/>
    </xf>
    <xf numFmtId="0" fontId="6" fillId="12" borderId="82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104" xfId="0" applyFont="1" applyFill="1" applyBorder="1" applyAlignment="1">
      <alignment horizontal="center" vertical="center"/>
    </xf>
    <xf numFmtId="164" fontId="6" fillId="12" borderId="105" xfId="0" applyNumberFormat="1" applyFont="1" applyFill="1" applyBorder="1" applyAlignment="1">
      <alignment horizontal="center" vertical="center"/>
    </xf>
    <xf numFmtId="164" fontId="6" fillId="12" borderId="3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vertical="center"/>
    </xf>
    <xf numFmtId="0" fontId="6" fillId="3" borderId="17" xfId="0" applyFont="1" applyFill="1" applyBorder="1" applyAlignment="1">
      <alignment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3" borderId="87" xfId="0" applyFont="1" applyFill="1" applyBorder="1" applyAlignment="1">
      <alignment horizontal="center" vertical="center"/>
    </xf>
    <xf numFmtId="0" fontId="5" fillId="13" borderId="106" xfId="0" applyFont="1" applyFill="1" applyBorder="1" applyAlignment="1">
      <alignment horizontal="center" vertical="center"/>
    </xf>
    <xf numFmtId="0" fontId="5" fillId="13" borderId="107" xfId="0" applyFont="1" applyFill="1" applyBorder="1" applyAlignment="1">
      <alignment horizontal="center" vertical="center"/>
    </xf>
    <xf numFmtId="0" fontId="5" fillId="13" borderId="89" xfId="0" applyFont="1" applyFill="1" applyBorder="1" applyAlignment="1">
      <alignment horizontal="center" vertical="center"/>
    </xf>
    <xf numFmtId="0" fontId="6" fillId="13" borderId="108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165" fontId="6" fillId="13" borderId="6" xfId="0" applyNumberFormat="1" applyFont="1" applyFill="1" applyBorder="1" applyAlignment="1">
      <alignment horizontal="center" vertical="center"/>
    </xf>
    <xf numFmtId="165" fontId="6" fillId="13" borderId="100" xfId="0" applyNumberFormat="1" applyFont="1" applyFill="1" applyBorder="1" applyAlignment="1">
      <alignment horizontal="center" vertical="center"/>
    </xf>
    <xf numFmtId="0" fontId="5" fillId="13" borderId="109" xfId="0" applyFont="1" applyFill="1" applyBorder="1" applyAlignment="1">
      <alignment horizontal="center" vertical="center"/>
    </xf>
    <xf numFmtId="0" fontId="5" fillId="13" borderId="94" xfId="0" applyFont="1" applyFill="1" applyBorder="1" applyAlignment="1">
      <alignment horizontal="center" vertical="center"/>
    </xf>
    <xf numFmtId="165" fontId="6" fillId="13" borderId="93" xfId="0" applyNumberFormat="1" applyFont="1" applyFill="1" applyBorder="1" applyAlignment="1">
      <alignment horizontal="center" vertical="center" shrinkToFit="1"/>
    </xf>
    <xf numFmtId="165" fontId="6" fillId="13" borderId="95" xfId="0" applyNumberFormat="1" applyFont="1" applyFill="1" applyBorder="1" applyAlignment="1">
      <alignment horizontal="center" vertical="center" shrinkToFit="1"/>
    </xf>
    <xf numFmtId="0" fontId="3" fillId="0" borderId="110" xfId="0" applyFont="1" applyBorder="1" applyAlignment="1">
      <alignment vertical="center"/>
    </xf>
    <xf numFmtId="0" fontId="6" fillId="11" borderId="109" xfId="0" applyFont="1" applyFill="1" applyBorder="1" applyAlignment="1">
      <alignment horizontal="center" vertical="center"/>
    </xf>
    <xf numFmtId="0" fontId="4" fillId="0" borderId="111" xfId="0" applyFont="1" applyBorder="1"/>
    <xf numFmtId="0" fontId="4" fillId="0" borderId="94" xfId="0" applyFont="1" applyBorder="1"/>
    <xf numFmtId="164" fontId="6" fillId="11" borderId="112" xfId="0" applyNumberFormat="1" applyFont="1" applyFill="1" applyBorder="1" applyAlignment="1">
      <alignment vertical="center" shrinkToFit="1"/>
    </xf>
    <xf numFmtId="0" fontId="6" fillId="3" borderId="18" xfId="0" applyFont="1" applyFill="1" applyBorder="1" applyAlignment="1">
      <alignment vertical="center"/>
    </xf>
    <xf numFmtId="0" fontId="6" fillId="3" borderId="19" xfId="0" applyFont="1" applyFill="1" applyBorder="1" applyAlignment="1">
      <alignment vertical="center"/>
    </xf>
    <xf numFmtId="0" fontId="2" fillId="14" borderId="1" xfId="0" applyFont="1" applyFill="1" applyBorder="1" applyAlignment="1">
      <alignment horizontal="left" vertical="center"/>
    </xf>
    <xf numFmtId="0" fontId="4" fillId="15" borderId="2" xfId="0" applyFont="1" applyFill="1" applyBorder="1"/>
    <xf numFmtId="0" fontId="4" fillId="15" borderId="3" xfId="0" applyFont="1" applyFill="1" applyBorder="1"/>
    <xf numFmtId="0" fontId="3" fillId="2" borderId="10" xfId="0" applyFont="1" applyFill="1" applyBorder="1" applyAlignment="1">
      <alignment horizontal="left" vertical="center"/>
    </xf>
    <xf numFmtId="0" fontId="4" fillId="0" borderId="17" xfId="0" applyFont="1" applyBorder="1"/>
    <xf numFmtId="0" fontId="4" fillId="0" borderId="97" xfId="0" applyFont="1" applyBorder="1"/>
    <xf numFmtId="0" fontId="4" fillId="0" borderId="98" xfId="0" applyFont="1" applyBorder="1"/>
    <xf numFmtId="0" fontId="3" fillId="2" borderId="113" xfId="0" applyFont="1" applyFill="1" applyBorder="1" applyAlignment="1">
      <alignment horizontal="center" vertical="center"/>
    </xf>
    <xf numFmtId="0" fontId="4" fillId="0" borderId="100" xfId="0" applyFont="1" applyBorder="1"/>
    <xf numFmtId="0" fontId="3" fillId="0" borderId="78" xfId="0" applyFont="1" applyBorder="1" applyAlignment="1">
      <alignment horizontal="center" vertical="center"/>
    </xf>
    <xf numFmtId="164" fontId="3" fillId="2" borderId="79" xfId="0" applyNumberFormat="1" applyFont="1" applyFill="1" applyBorder="1" applyAlignment="1">
      <alignment horizontal="center" vertical="center"/>
    </xf>
    <xf numFmtId="0" fontId="4" fillId="0" borderId="114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0" borderId="115" xfId="0" applyFont="1" applyBorder="1" applyAlignment="1">
      <alignment horizontal="center" vertical="center"/>
    </xf>
    <xf numFmtId="0" fontId="3" fillId="2" borderId="79" xfId="0" applyFont="1" applyFill="1" applyBorder="1" applyAlignment="1">
      <alignment horizontal="left" vertical="center"/>
    </xf>
    <xf numFmtId="0" fontId="4" fillId="0" borderId="90" xfId="0" applyFont="1" applyBorder="1"/>
    <xf numFmtId="0" fontId="3" fillId="0" borderId="99" xfId="0" applyFont="1" applyBorder="1" applyAlignment="1">
      <alignment horizontal="center" vertical="center"/>
    </xf>
    <xf numFmtId="0" fontId="3" fillId="2" borderId="79" xfId="0" applyFont="1" applyFill="1" applyBorder="1" applyAlignment="1">
      <alignment horizontal="left" vertical="center" wrapText="1"/>
    </xf>
    <xf numFmtId="0" fontId="4" fillId="0" borderId="101" xfId="0" applyFont="1" applyBorder="1"/>
    <xf numFmtId="0" fontId="4" fillId="0" borderId="116" xfId="0" applyFont="1" applyBorder="1"/>
    <xf numFmtId="0" fontId="4" fillId="0" borderId="18" xfId="0" applyFont="1" applyBorder="1"/>
    <xf numFmtId="0" fontId="4" fillId="0" borderId="117" xfId="0" applyFont="1" applyBorder="1"/>
    <xf numFmtId="0" fontId="4" fillId="0" borderId="19" xfId="0" applyFont="1" applyBorder="1"/>
    <xf numFmtId="0" fontId="3" fillId="3" borderId="8" xfId="0" applyFont="1" applyFill="1" applyBorder="1" applyAlignment="1">
      <alignment vertical="center"/>
    </xf>
    <xf numFmtId="0" fontId="2" fillId="14" borderId="13" xfId="0" applyFont="1" applyFill="1" applyBorder="1" applyAlignment="1">
      <alignment horizontal="left" vertical="center"/>
    </xf>
    <xf numFmtId="0" fontId="4" fillId="15" borderId="16" xfId="0" applyFont="1" applyFill="1" applyBorder="1"/>
    <xf numFmtId="0" fontId="4" fillId="15" borderId="14" xfId="0" applyFont="1" applyFill="1" applyBorder="1"/>
    <xf numFmtId="0" fontId="4" fillId="15" borderId="12" xfId="0" applyFont="1" applyFill="1" applyBorder="1"/>
    <xf numFmtId="0" fontId="4" fillId="15" borderId="18" xfId="0" applyFont="1" applyFill="1" applyBorder="1"/>
    <xf numFmtId="0" fontId="4" fillId="15" borderId="19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113" xfId="0" applyFont="1" applyFill="1" applyBorder="1" applyAlignment="1">
      <alignment horizontal="left" vertical="center"/>
    </xf>
    <xf numFmtId="0" fontId="2" fillId="2" borderId="113" xfId="0" applyFont="1" applyFill="1" applyBorder="1" applyAlignment="1">
      <alignment horizontal="left" vertical="center"/>
    </xf>
    <xf numFmtId="164" fontId="2" fillId="2" borderId="79" xfId="0" applyNumberFormat="1" applyFont="1" applyFill="1" applyBorder="1" applyAlignment="1">
      <alignment horizontal="center" vertical="center"/>
    </xf>
    <xf numFmtId="0" fontId="4" fillId="0" borderId="12" xfId="0" applyFont="1" applyBorder="1"/>
    <xf numFmtId="0" fontId="2" fillId="14" borderId="13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/>
    </xf>
    <xf numFmtId="0" fontId="4" fillId="0" borderId="16" xfId="0" applyFont="1" applyBorder="1"/>
    <xf numFmtId="0" fontId="4" fillId="0" borderId="103" xfId="0" applyFont="1" applyBorder="1"/>
    <xf numFmtId="164" fontId="2" fillId="2" borderId="102" xfId="0" applyNumberFormat="1" applyFont="1" applyFill="1" applyBorder="1" applyAlignment="1">
      <alignment horizontal="center" vertical="center" wrapText="1"/>
    </xf>
    <xf numFmtId="0" fontId="4" fillId="0" borderId="14" xfId="0" applyFont="1" applyBorder="1"/>
    <xf numFmtId="0" fontId="2" fillId="3" borderId="113" xfId="0" applyFont="1" applyFill="1" applyBorder="1" applyAlignment="1">
      <alignment horizontal="center" vertical="center" wrapText="1"/>
    </xf>
    <xf numFmtId="164" fontId="2" fillId="3" borderId="79" xfId="0" applyNumberFormat="1" applyFont="1" applyFill="1" applyBorder="1" applyAlignment="1">
      <alignment horizontal="left" vertical="center" wrapText="1"/>
    </xf>
    <xf numFmtId="0" fontId="2" fillId="14" borderId="87" xfId="0" applyFont="1" applyFill="1" applyBorder="1" applyAlignment="1">
      <alignment horizontal="center" vertical="center" wrapText="1"/>
    </xf>
    <xf numFmtId="0" fontId="4" fillId="15" borderId="88" xfId="0" applyFont="1" applyFill="1" applyBorder="1"/>
    <xf numFmtId="0" fontId="4" fillId="15" borderId="106" xfId="0" applyFont="1" applyFill="1" applyBorder="1"/>
    <xf numFmtId="164" fontId="2" fillId="2" borderId="107" xfId="0" applyNumberFormat="1" applyFont="1" applyFill="1" applyBorder="1" applyAlignment="1">
      <alignment horizontal="center" vertical="center"/>
    </xf>
    <xf numFmtId="0" fontId="4" fillId="0" borderId="89" xfId="0" applyFont="1" applyBorder="1"/>
    <xf numFmtId="0" fontId="3" fillId="11" borderId="108" xfId="0" applyFont="1" applyFill="1" applyBorder="1" applyAlignment="1">
      <alignment horizontal="left" vertical="center"/>
    </xf>
    <xf numFmtId="165" fontId="3" fillId="3" borderId="6" xfId="0" applyNumberFormat="1" applyFont="1" applyFill="1" applyBorder="1" applyAlignment="1">
      <alignment horizontal="center" vertical="center"/>
    </xf>
    <xf numFmtId="0" fontId="3" fillId="11" borderId="113" xfId="0" applyFont="1" applyFill="1" applyBorder="1" applyAlignment="1">
      <alignment horizontal="left" vertical="center"/>
    </xf>
    <xf numFmtId="165" fontId="3" fillId="3" borderId="79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/>
    </xf>
    <xf numFmtId="165" fontId="3" fillId="3" borderId="15" xfId="0" applyNumberFormat="1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4" fillId="15" borderId="8" xfId="0" applyFont="1" applyFill="1" applyBorder="1"/>
    <xf numFmtId="0" fontId="4" fillId="15" borderId="80" xfId="0" applyFont="1" applyFill="1" applyBorder="1"/>
    <xf numFmtId="165" fontId="3" fillId="2" borderId="9" xfId="0" applyNumberFormat="1" applyFont="1" applyFill="1" applyBorder="1" applyAlignment="1">
      <alignment horizontal="center" vertical="center"/>
    </xf>
    <xf numFmtId="0" fontId="4" fillId="15" borderId="117" xfId="0" applyFont="1" applyFill="1" applyBorder="1"/>
    <xf numFmtId="0" fontId="3" fillId="11" borderId="87" xfId="0" applyFont="1" applyFill="1" applyBorder="1" applyAlignment="1">
      <alignment horizontal="left" vertical="center"/>
    </xf>
    <xf numFmtId="0" fontId="3" fillId="11" borderId="88" xfId="0" applyFont="1" applyFill="1" applyBorder="1" applyAlignment="1">
      <alignment horizontal="left" vertical="center"/>
    </xf>
    <xf numFmtId="0" fontId="3" fillId="11" borderId="106" xfId="0" applyFont="1" applyFill="1" applyBorder="1" applyAlignment="1">
      <alignment horizontal="left" vertical="center"/>
    </xf>
    <xf numFmtId="165" fontId="3" fillId="3" borderId="107" xfId="0" applyNumberFormat="1" applyFont="1" applyFill="1" applyBorder="1" applyAlignment="1">
      <alignment horizontal="center" vertical="center"/>
    </xf>
    <xf numFmtId="0" fontId="3" fillId="11" borderId="108" xfId="0" applyFont="1" applyFill="1" applyBorder="1" applyAlignment="1">
      <alignment horizontal="left" vertical="center"/>
    </xf>
    <xf numFmtId="0" fontId="3" fillId="11" borderId="15" xfId="0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left" vertical="center"/>
    </xf>
    <xf numFmtId="0" fontId="3" fillId="11" borderId="109" xfId="0" applyFont="1" applyFill="1" applyBorder="1" applyAlignment="1">
      <alignment horizontal="left" vertical="center"/>
    </xf>
    <xf numFmtId="0" fontId="3" fillId="11" borderId="111" xfId="0" applyFont="1" applyFill="1" applyBorder="1" applyAlignment="1">
      <alignment horizontal="left" vertical="center"/>
    </xf>
    <xf numFmtId="0" fontId="3" fillId="11" borderId="94" xfId="0" applyFont="1" applyFill="1" applyBorder="1" applyAlignment="1">
      <alignment horizontal="left" vertical="center"/>
    </xf>
    <xf numFmtId="165" fontId="3" fillId="3" borderId="93" xfId="0" applyNumberFormat="1" applyFont="1" applyFill="1" applyBorder="1" applyAlignment="1">
      <alignment horizontal="center" vertical="center"/>
    </xf>
    <xf numFmtId="0" fontId="4" fillId="0" borderId="95" xfId="0" applyFont="1" applyBorder="1"/>
    <xf numFmtId="0" fontId="4" fillId="15" borderId="103" xfId="0" applyFont="1" applyFill="1" applyBorder="1"/>
    <xf numFmtId="165" fontId="3" fillId="2" borderId="102" xfId="0" applyNumberFormat="1" applyFont="1" applyFill="1" applyBorder="1" applyAlignment="1">
      <alignment horizontal="center" vertical="center"/>
    </xf>
    <xf numFmtId="0" fontId="3" fillId="11" borderId="97" xfId="0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0" fontId="3" fillId="11" borderId="82" xfId="0" applyFont="1" applyFill="1" applyBorder="1" applyAlignment="1">
      <alignment horizontal="left" vertical="center"/>
    </xf>
    <xf numFmtId="164" fontId="3" fillId="3" borderId="107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3" fillId="3" borderId="93" xfId="0" applyNumberFormat="1" applyFont="1" applyFill="1" applyBorder="1" applyAlignment="1">
      <alignment horizontal="center" vertical="center"/>
    </xf>
    <xf numFmtId="164" fontId="3" fillId="2" borderId="102" xfId="0" applyNumberFormat="1" applyFont="1" applyFill="1" applyBorder="1" applyAlignment="1">
      <alignment horizontal="center" vertical="center"/>
    </xf>
    <xf numFmtId="0" fontId="3" fillId="11" borderId="108" xfId="0" applyFont="1" applyFill="1" applyBorder="1" applyAlignment="1">
      <alignment horizontal="left" vertical="center" wrapText="1"/>
    </xf>
    <xf numFmtId="165" fontId="2" fillId="2" borderId="102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4" fillId="0" borderId="104" xfId="0" applyFont="1" applyBorder="1"/>
    <xf numFmtId="165" fontId="3" fillId="2" borderId="105" xfId="0" applyNumberFormat="1" applyFont="1" applyFill="1" applyBorder="1" applyAlignment="1">
      <alignment horizontal="center" vertical="center"/>
    </xf>
    <xf numFmtId="164" fontId="2" fillId="2" borderId="102" xfId="0" applyNumberFormat="1" applyFont="1" applyFill="1" applyBorder="1" applyAlignment="1">
      <alignment horizontal="center" vertical="center"/>
    </xf>
    <xf numFmtId="0" fontId="4" fillId="15" borderId="97" xfId="0" applyFont="1" applyFill="1" applyBorder="1"/>
    <xf numFmtId="0" fontId="4" fillId="15" borderId="4" xfId="0" applyFont="1" applyFill="1" applyBorder="1"/>
    <xf numFmtId="0" fontId="4" fillId="15" borderId="82" xfId="0" applyFont="1" applyFill="1" applyBorder="1"/>
    <xf numFmtId="0" fontId="3" fillId="11" borderId="113" xfId="0" applyFont="1" applyFill="1" applyBorder="1" applyAlignment="1">
      <alignment horizontal="center" vertical="center"/>
    </xf>
    <xf numFmtId="10" fontId="3" fillId="3" borderId="79" xfId="0" applyNumberFormat="1" applyFont="1" applyFill="1" applyBorder="1" applyAlignment="1">
      <alignment horizontal="center" vertical="center"/>
    </xf>
    <xf numFmtId="0" fontId="2" fillId="14" borderId="113" xfId="0" applyFont="1" applyFill="1" applyBorder="1" applyAlignment="1">
      <alignment horizontal="center" vertical="center" wrapText="1"/>
    </xf>
    <xf numFmtId="0" fontId="4" fillId="15" borderId="11" xfId="0" applyFont="1" applyFill="1" applyBorder="1"/>
    <xf numFmtId="0" fontId="4" fillId="15" borderId="77" xfId="0" applyFont="1" applyFill="1" applyBorder="1"/>
    <xf numFmtId="0" fontId="4" fillId="15" borderId="10" xfId="0" applyFont="1" applyFill="1" applyBorder="1"/>
    <xf numFmtId="0" fontId="0" fillId="15" borderId="0" xfId="0" applyFont="1" applyFill="1" applyAlignment="1"/>
    <xf numFmtId="0" fontId="3" fillId="11" borderId="113" xfId="0" applyFont="1" applyFill="1" applyBorder="1" applyAlignment="1">
      <alignment vertical="center"/>
    </xf>
    <xf numFmtId="0" fontId="2" fillId="14" borderId="113" xfId="0" applyFont="1" applyFill="1" applyBorder="1" applyAlignment="1">
      <alignment horizontal="center" vertical="center"/>
    </xf>
    <xf numFmtId="0" fontId="2" fillId="14" borderId="13" xfId="0" applyFont="1" applyFill="1" applyBorder="1" applyAlignment="1">
      <alignment horizontal="center" vertical="center" wrapText="1"/>
    </xf>
    <xf numFmtId="166" fontId="2" fillId="11" borderId="87" xfId="0" applyNumberFormat="1" applyFont="1" applyFill="1" applyBorder="1" applyAlignment="1">
      <alignment horizontal="center" vertical="center"/>
    </xf>
    <xf numFmtId="0" fontId="4" fillId="0" borderId="88" xfId="0" applyFont="1" applyBorder="1"/>
    <xf numFmtId="0" fontId="4" fillId="0" borderId="106" xfId="0" applyFont="1" applyBorder="1"/>
    <xf numFmtId="166" fontId="2" fillId="11" borderId="83" xfId="0" applyNumberFormat="1" applyFont="1" applyFill="1" applyBorder="1" applyAlignment="1">
      <alignment vertical="center"/>
    </xf>
    <xf numFmtId="164" fontId="2" fillId="11" borderId="107" xfId="0" applyNumberFormat="1" applyFont="1" applyFill="1" applyBorder="1" applyAlignment="1">
      <alignment horizontal="center" vertical="center"/>
    </xf>
    <xf numFmtId="0" fontId="3" fillId="3" borderId="108" xfId="0" applyFont="1" applyFill="1" applyBorder="1" applyAlignment="1">
      <alignment horizontal="center" vertical="center"/>
    </xf>
    <xf numFmtId="166" fontId="3" fillId="3" borderId="7" xfId="0" applyNumberFormat="1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3" fillId="3" borderId="109" xfId="0" applyFont="1" applyFill="1" applyBorder="1" applyAlignment="1">
      <alignment horizontal="center" vertical="center"/>
    </xf>
    <xf numFmtId="166" fontId="3" fillId="3" borderId="118" xfId="0" applyNumberFormat="1" applyFont="1" applyFill="1" applyBorder="1" applyAlignment="1">
      <alignment vertical="center"/>
    </xf>
    <xf numFmtId="164" fontId="3" fillId="2" borderId="93" xfId="0" applyNumberFormat="1" applyFont="1" applyFill="1" applyBorder="1" applyAlignment="1">
      <alignment horizontal="center" vertical="center"/>
    </xf>
    <xf numFmtId="0" fontId="2" fillId="16" borderId="109" xfId="0" applyFont="1" applyFill="1" applyBorder="1" applyAlignment="1">
      <alignment horizontal="center" vertical="center"/>
    </xf>
    <xf numFmtId="166" fontId="3" fillId="16" borderId="118" xfId="0" applyNumberFormat="1" applyFont="1" applyFill="1" applyBorder="1" applyAlignment="1">
      <alignment vertical="center"/>
    </xf>
    <xf numFmtId="164" fontId="3" fillId="16" borderId="9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0"/>
  <sheetViews>
    <sheetView showGridLines="0" tabSelected="1" topLeftCell="A139" zoomScale="85" zoomScaleNormal="85" workbookViewId="0">
      <selection activeCell="A205" sqref="A205:L493"/>
    </sheetView>
  </sheetViews>
  <sheetFormatPr defaultColWidth="14.42578125" defaultRowHeight="15" customHeight="1" x14ac:dyDescent="0.25"/>
  <cols>
    <col min="1" max="1" width="13.7109375" customWidth="1"/>
    <col min="2" max="2" width="22.1406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15" width="8.85546875" customWidth="1"/>
  </cols>
  <sheetData>
    <row r="1" spans="1:15" ht="18.75" customHeight="1" x14ac:dyDescent="0.25">
      <c r="A1" s="144" t="s">
        <v>281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"/>
      <c r="N1" s="1"/>
      <c r="O1" s="1"/>
    </row>
    <row r="2" spans="1:15" ht="18.75" customHeight="1" x14ac:dyDescent="0.25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"/>
      <c r="N2" s="1"/>
      <c r="O2" s="1"/>
    </row>
    <row r="3" spans="1:15" ht="18.75" customHeight="1" thickBot="1" x14ac:dyDescent="0.3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"/>
      <c r="N3" s="1"/>
      <c r="O3" s="1"/>
    </row>
    <row r="4" spans="1:15" ht="18.75" customHeight="1" x14ac:dyDescent="0.25">
      <c r="A4" s="147" t="s">
        <v>0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9"/>
      <c r="M4" s="1"/>
      <c r="N4" s="1"/>
      <c r="O4" s="1"/>
    </row>
    <row r="5" spans="1:15" ht="18.75" customHeight="1" thickBot="1" x14ac:dyDescent="0.3">
      <c r="A5" s="132" t="s">
        <v>1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1"/>
      <c r="M5" s="1"/>
      <c r="N5" s="1"/>
      <c r="O5" s="1"/>
    </row>
    <row r="6" spans="1:15" ht="18.75" customHeight="1" thickBot="1" x14ac:dyDescent="0.3">
      <c r="A6" s="152" t="s">
        <v>2</v>
      </c>
      <c r="B6" s="153"/>
      <c r="C6" s="153"/>
      <c r="D6" s="153"/>
      <c r="E6" s="153"/>
      <c r="F6" s="153"/>
      <c r="G6" s="154"/>
      <c r="H6" s="131" t="s">
        <v>3</v>
      </c>
      <c r="I6" s="142"/>
      <c r="J6" s="142"/>
      <c r="K6" s="142"/>
      <c r="L6" s="143"/>
      <c r="M6" s="1"/>
      <c r="N6" s="1"/>
      <c r="O6" s="1"/>
    </row>
    <row r="7" spans="1:15" ht="18.75" customHeight="1" x14ac:dyDescent="0.25">
      <c r="A7" s="155" t="s">
        <v>4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7"/>
      <c r="M7" s="1"/>
      <c r="N7" s="1"/>
      <c r="O7" s="1"/>
    </row>
    <row r="8" spans="1:15" ht="75" customHeight="1" x14ac:dyDescent="0.25">
      <c r="A8" s="158" t="s">
        <v>5</v>
      </c>
      <c r="B8" s="142"/>
      <c r="C8" s="140"/>
      <c r="D8" s="139" t="s">
        <v>6</v>
      </c>
      <c r="E8" s="140"/>
      <c r="F8" s="2" t="s">
        <v>7</v>
      </c>
      <c r="G8" s="2" t="s">
        <v>8</v>
      </c>
      <c r="H8" s="141" t="s">
        <v>8</v>
      </c>
      <c r="I8" s="142"/>
      <c r="J8" s="142"/>
      <c r="K8" s="142"/>
      <c r="L8" s="143"/>
      <c r="M8" s="1"/>
      <c r="N8" s="1"/>
      <c r="O8" s="1"/>
    </row>
    <row r="9" spans="1:15" ht="37.5" customHeight="1" thickBot="1" x14ac:dyDescent="0.3">
      <c r="A9" s="134" t="s">
        <v>9</v>
      </c>
      <c r="B9" s="135"/>
      <c r="C9" s="135"/>
      <c r="D9" s="135"/>
      <c r="E9" s="136"/>
      <c r="F9" s="20" t="s">
        <v>10</v>
      </c>
      <c r="G9" s="20" t="s">
        <v>11</v>
      </c>
      <c r="H9" s="137" t="s">
        <v>12</v>
      </c>
      <c r="I9" s="135"/>
      <c r="J9" s="135"/>
      <c r="K9" s="135"/>
      <c r="L9" s="138"/>
      <c r="M9" s="1"/>
      <c r="N9" s="1"/>
      <c r="O9" s="1"/>
    </row>
    <row r="10" spans="1:15" ht="18.75" customHeight="1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"/>
      <c r="N10" s="1"/>
      <c r="O10" s="1"/>
    </row>
    <row r="11" spans="1:15" ht="18.75" customHeight="1" x14ac:dyDescent="0.3">
      <c r="A11" s="24"/>
      <c r="B11" s="23"/>
      <c r="C11" s="23"/>
      <c r="D11" s="23"/>
      <c r="E11" s="23"/>
      <c r="F11" s="23"/>
      <c r="G11" s="23"/>
      <c r="H11" s="23"/>
      <c r="I11" s="23"/>
      <c r="J11" s="19"/>
      <c r="K11" s="18"/>
      <c r="L11" s="18"/>
      <c r="M11" s="1"/>
      <c r="N11" s="1"/>
      <c r="O11" s="1"/>
    </row>
    <row r="12" spans="1:15" ht="21.75" customHeight="1" x14ac:dyDescent="0.3">
      <c r="A12" s="25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"/>
      <c r="N12" s="1"/>
      <c r="O12" s="1"/>
    </row>
    <row r="13" spans="1:15" ht="36" customHeight="1" x14ac:dyDescent="0.3">
      <c r="A13" s="25"/>
      <c r="B13" s="23"/>
      <c r="C13" s="23"/>
      <c r="D13" s="23"/>
      <c r="E13" s="19"/>
      <c r="F13" s="19"/>
      <c r="G13" s="25"/>
      <c r="H13" s="23"/>
      <c r="I13" s="23"/>
      <c r="J13" s="23"/>
      <c r="K13" s="23"/>
      <c r="L13" s="23"/>
      <c r="M13" s="1"/>
      <c r="N13" s="1"/>
      <c r="O13" s="1"/>
    </row>
    <row r="14" spans="1:15" ht="32.25" customHeight="1" x14ac:dyDescent="0.3">
      <c r="A14" s="25"/>
      <c r="B14" s="23"/>
      <c r="C14" s="23"/>
      <c r="D14" s="23"/>
      <c r="E14" s="23"/>
      <c r="F14" s="25"/>
      <c r="G14" s="23"/>
      <c r="H14" s="23"/>
      <c r="I14" s="23"/>
      <c r="J14" s="23"/>
      <c r="K14" s="23"/>
      <c r="L14" s="23"/>
      <c r="M14" s="1"/>
      <c r="N14" s="1"/>
      <c r="O14" s="1"/>
    </row>
    <row r="15" spans="1:15" ht="18.75" customHeight="1" x14ac:dyDescent="0.25">
      <c r="A15" s="67" t="s">
        <v>13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  <c r="M15" s="1"/>
      <c r="N15" s="1"/>
      <c r="O15" s="1"/>
    </row>
    <row r="16" spans="1:15" ht="18.75" customHeight="1" thickBot="1" x14ac:dyDescent="0.3">
      <c r="A16" s="67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9"/>
      <c r="M16" s="1"/>
      <c r="N16" s="1"/>
      <c r="O16" s="1"/>
    </row>
    <row r="17" spans="1:15" ht="15" customHeight="1" x14ac:dyDescent="0.25">
      <c r="A17" s="119" t="s">
        <v>246</v>
      </c>
      <c r="B17" s="120"/>
      <c r="C17" s="121"/>
      <c r="D17" s="122"/>
      <c r="E17" s="122"/>
      <c r="F17" s="122"/>
      <c r="G17" s="122"/>
      <c r="H17" s="122"/>
      <c r="I17" s="122"/>
      <c r="J17" s="122"/>
      <c r="K17" s="122"/>
      <c r="L17" s="123"/>
      <c r="M17" s="1"/>
      <c r="N17" s="1"/>
      <c r="O17" s="1"/>
    </row>
    <row r="18" spans="1:15" ht="15" customHeight="1" x14ac:dyDescent="0.25">
      <c r="A18" s="130" t="s">
        <v>14</v>
      </c>
      <c r="B18" s="131"/>
      <c r="C18" s="124" t="s">
        <v>15</v>
      </c>
      <c r="D18" s="125"/>
      <c r="E18" s="125"/>
      <c r="F18" s="125"/>
      <c r="G18" s="125"/>
      <c r="H18" s="125"/>
      <c r="I18" s="125"/>
      <c r="J18" s="125"/>
      <c r="K18" s="125"/>
      <c r="L18" s="126"/>
      <c r="M18" s="1"/>
      <c r="N18" s="1"/>
      <c r="O18" s="1"/>
    </row>
    <row r="19" spans="1:15" ht="18.75" customHeight="1" x14ac:dyDescent="0.25">
      <c r="A19" s="132" t="s">
        <v>247</v>
      </c>
      <c r="B19" s="133"/>
      <c r="C19" s="127"/>
      <c r="D19" s="128"/>
      <c r="E19" s="128"/>
      <c r="F19" s="128"/>
      <c r="G19" s="128"/>
      <c r="H19" s="128"/>
      <c r="I19" s="128"/>
      <c r="J19" s="128"/>
      <c r="K19" s="128"/>
      <c r="L19" s="129"/>
      <c r="M19" s="1"/>
      <c r="N19" s="1"/>
      <c r="O19" s="1"/>
    </row>
    <row r="20" spans="1:15" ht="18.75" customHeight="1" x14ac:dyDescent="0.25">
      <c r="A20" s="115" t="s">
        <v>16</v>
      </c>
      <c r="B20" s="116"/>
      <c r="C20" s="91"/>
      <c r="D20" s="92"/>
      <c r="E20" s="92"/>
      <c r="F20" s="92"/>
      <c r="G20" s="92"/>
      <c r="H20" s="92"/>
      <c r="I20" s="92"/>
      <c r="J20" s="92"/>
      <c r="K20" s="92"/>
      <c r="L20" s="93"/>
      <c r="M20" s="1"/>
      <c r="N20" s="1"/>
      <c r="O20" s="1"/>
    </row>
    <row r="21" spans="1:15" ht="18.75" customHeight="1" x14ac:dyDescent="0.25">
      <c r="A21" s="115" t="s">
        <v>277</v>
      </c>
      <c r="B21" s="116"/>
      <c r="C21" s="92"/>
      <c r="D21" s="92"/>
      <c r="E21" s="92"/>
      <c r="F21" s="92"/>
      <c r="G21" s="92"/>
      <c r="H21" s="92"/>
      <c r="I21" s="92"/>
      <c r="J21" s="92"/>
      <c r="K21" s="92"/>
      <c r="L21" s="93"/>
      <c r="M21" s="1"/>
      <c r="N21" s="1"/>
      <c r="O21" s="1"/>
    </row>
    <row r="22" spans="1:15" ht="18.75" customHeight="1" x14ac:dyDescent="0.25">
      <c r="A22" s="115" t="s">
        <v>17</v>
      </c>
      <c r="B22" s="116"/>
      <c r="C22" s="91"/>
      <c r="D22" s="92"/>
      <c r="E22" s="92"/>
      <c r="F22" s="92"/>
      <c r="G22" s="92"/>
      <c r="H22" s="92"/>
      <c r="I22" s="92"/>
      <c r="J22" s="92"/>
      <c r="K22" s="92"/>
      <c r="L22" s="93"/>
      <c r="M22" s="1"/>
      <c r="N22" s="1"/>
      <c r="O22" s="1"/>
    </row>
    <row r="23" spans="1:15" ht="18.75" customHeight="1" x14ac:dyDescent="0.25">
      <c r="A23" s="115" t="s">
        <v>277</v>
      </c>
      <c r="B23" s="116"/>
      <c r="C23" s="91"/>
      <c r="D23" s="92"/>
      <c r="E23" s="92"/>
      <c r="F23" s="92"/>
      <c r="G23" s="92"/>
      <c r="H23" s="92"/>
      <c r="I23" s="92"/>
      <c r="J23" s="92"/>
      <c r="K23" s="92"/>
      <c r="L23" s="93"/>
      <c r="M23" s="1"/>
      <c r="N23" s="1"/>
      <c r="O23" s="1"/>
    </row>
    <row r="24" spans="1:15" ht="18.75" customHeight="1" x14ac:dyDescent="0.25">
      <c r="A24" s="117" t="s">
        <v>278</v>
      </c>
      <c r="B24" s="118"/>
      <c r="C24" s="91"/>
      <c r="D24" s="92"/>
      <c r="E24" s="92"/>
      <c r="F24" s="92"/>
      <c r="G24" s="92"/>
      <c r="H24" s="92"/>
      <c r="I24" s="92"/>
      <c r="J24" s="92"/>
      <c r="K24" s="92"/>
      <c r="L24" s="93"/>
      <c r="M24" s="1"/>
      <c r="N24" s="1"/>
      <c r="O24" s="1"/>
    </row>
    <row r="25" spans="1:15" ht="18.75" customHeight="1" x14ac:dyDescent="0.25">
      <c r="A25" s="117" t="s">
        <v>277</v>
      </c>
      <c r="B25" s="118"/>
      <c r="C25" s="91"/>
      <c r="D25" s="92"/>
      <c r="E25" s="92"/>
      <c r="F25" s="92"/>
      <c r="G25" s="92"/>
      <c r="H25" s="92"/>
      <c r="I25" s="92"/>
      <c r="J25" s="92"/>
      <c r="K25" s="92"/>
      <c r="L25" s="93"/>
      <c r="M25" s="1"/>
      <c r="N25" s="1"/>
      <c r="O25" s="1"/>
    </row>
    <row r="26" spans="1:15" ht="18.75" customHeight="1" x14ac:dyDescent="0.25">
      <c r="A26" s="111" t="s">
        <v>248</v>
      </c>
      <c r="B26" s="112"/>
      <c r="C26" s="91"/>
      <c r="D26" s="92"/>
      <c r="E26" s="92"/>
      <c r="F26" s="92"/>
      <c r="G26" s="92"/>
      <c r="H26" s="92"/>
      <c r="I26" s="92"/>
      <c r="J26" s="92"/>
      <c r="K26" s="92"/>
      <c r="L26" s="93"/>
      <c r="M26" s="1"/>
      <c r="N26" s="1"/>
      <c r="O26" s="1"/>
    </row>
    <row r="27" spans="1:15" ht="18.75" customHeight="1" x14ac:dyDescent="0.25">
      <c r="A27" s="113" t="s">
        <v>18</v>
      </c>
      <c r="B27" s="114"/>
      <c r="C27" s="91"/>
      <c r="D27" s="92"/>
      <c r="E27" s="92"/>
      <c r="F27" s="92"/>
      <c r="G27" s="92"/>
      <c r="H27" s="92"/>
      <c r="I27" s="92"/>
      <c r="J27" s="92"/>
      <c r="K27" s="92"/>
      <c r="L27" s="93"/>
      <c r="M27" s="1"/>
      <c r="N27" s="1"/>
      <c r="O27" s="1"/>
    </row>
    <row r="28" spans="1:15" ht="20.25" customHeight="1" thickBot="1" x14ac:dyDescent="0.3">
      <c r="A28" s="100" t="s">
        <v>253</v>
      </c>
      <c r="B28" s="101"/>
      <c r="C28" s="102"/>
      <c r="D28" s="103"/>
      <c r="E28" s="103"/>
      <c r="F28" s="103"/>
      <c r="G28" s="103"/>
      <c r="H28" s="103"/>
      <c r="I28" s="103"/>
      <c r="J28" s="103"/>
      <c r="K28" s="103"/>
      <c r="L28" s="104"/>
      <c r="M28" s="1"/>
      <c r="N28" s="1"/>
      <c r="O28" s="1"/>
    </row>
    <row r="29" spans="1:15" ht="15" customHeight="1" thickBot="1" x14ac:dyDescent="0.3">
      <c r="M29" s="1"/>
      <c r="N29" s="1"/>
      <c r="O29" s="1"/>
    </row>
    <row r="30" spans="1:15" ht="18.75" customHeight="1" x14ac:dyDescent="0.25">
      <c r="A30" s="94" t="s">
        <v>249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6"/>
      <c r="M30" s="1"/>
      <c r="N30" s="1"/>
      <c r="O30" s="1"/>
    </row>
    <row r="31" spans="1:15" ht="18.75" customHeight="1" thickBot="1" x14ac:dyDescent="0.3">
      <c r="A31" s="105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7"/>
      <c r="M31" s="1"/>
      <c r="N31" s="1"/>
      <c r="O31" s="1"/>
    </row>
    <row r="32" spans="1:15" ht="18.75" customHeight="1" thickBot="1" x14ac:dyDescent="0.3">
      <c r="A32" s="108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10"/>
      <c r="M32" s="1"/>
      <c r="N32" s="1"/>
      <c r="O32" s="1"/>
    </row>
    <row r="33" spans="1:15" ht="17.25" customHeight="1" thickBot="1" x14ac:dyDescent="0.3">
      <c r="M33" s="1"/>
      <c r="N33" s="1"/>
      <c r="O33" s="1"/>
    </row>
    <row r="34" spans="1:15" ht="18.75" customHeight="1" x14ac:dyDescent="0.25">
      <c r="A34" s="94" t="s">
        <v>250</v>
      </c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6"/>
      <c r="M34" s="1"/>
      <c r="N34" s="1"/>
      <c r="O34" s="1"/>
    </row>
    <row r="35" spans="1:15" ht="18.75" customHeight="1" thickBot="1" x14ac:dyDescent="0.3">
      <c r="A35" s="97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9"/>
      <c r="M35" s="1"/>
      <c r="N35" s="1"/>
      <c r="O35" s="1"/>
    </row>
    <row r="36" spans="1:15" ht="18.75" customHeight="1" thickBot="1" x14ac:dyDescent="0.3">
      <c r="A36" s="108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10"/>
      <c r="M36" s="1"/>
      <c r="N36" s="1"/>
      <c r="O36" s="1"/>
    </row>
    <row r="37" spans="1:15" ht="19.5" customHeight="1" thickBot="1" x14ac:dyDescent="0.3">
      <c r="M37" s="1"/>
      <c r="N37" s="1"/>
      <c r="O37" s="1"/>
    </row>
    <row r="38" spans="1:15" ht="18.75" customHeight="1" x14ac:dyDescent="0.25">
      <c r="A38" s="94" t="s">
        <v>251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6"/>
      <c r="M38" s="1"/>
      <c r="N38" s="1"/>
      <c r="O38" s="1"/>
    </row>
    <row r="39" spans="1:15" ht="18.75" customHeight="1" thickBot="1" x14ac:dyDescent="0.3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9"/>
      <c r="M39" s="1"/>
      <c r="N39" s="1"/>
      <c r="O39" s="1"/>
    </row>
    <row r="40" spans="1:15" ht="18.75" customHeight="1" thickBot="1" x14ac:dyDescent="0.3">
      <c r="A40" s="108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10"/>
      <c r="M40" s="1"/>
      <c r="N40" s="1"/>
      <c r="O40" s="1"/>
    </row>
    <row r="41" spans="1:15" ht="18.75" customHeight="1" thickBot="1" x14ac:dyDescent="0.3">
      <c r="M41" s="1"/>
      <c r="N41" s="1"/>
      <c r="O41" s="1"/>
    </row>
    <row r="42" spans="1:15" ht="18.75" customHeight="1" x14ac:dyDescent="0.25">
      <c r="A42" s="94" t="s">
        <v>252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6"/>
      <c r="M42" s="1"/>
      <c r="N42" s="1"/>
      <c r="O42" s="1"/>
    </row>
    <row r="43" spans="1:15" ht="29.25" customHeight="1" thickBot="1" x14ac:dyDescent="0.3">
      <c r="A43" s="97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9"/>
      <c r="M43" s="1"/>
      <c r="N43" s="1"/>
      <c r="O43" s="1"/>
    </row>
    <row r="44" spans="1:15" ht="19.5" customHeight="1" thickBot="1" x14ac:dyDescent="0.3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10"/>
      <c r="M44" s="1"/>
      <c r="N44" s="1"/>
      <c r="O44" s="1"/>
    </row>
    <row r="45" spans="1:15" ht="17.25" customHeight="1" thickBo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1"/>
      <c r="N45" s="1"/>
      <c r="O45" s="1"/>
    </row>
    <row r="46" spans="1:15" ht="17.25" customHeight="1" x14ac:dyDescent="0.25">
      <c r="A46" s="39" t="s">
        <v>254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6"/>
      <c r="M46" s="1"/>
      <c r="N46" s="1"/>
      <c r="O46" s="1"/>
    </row>
    <row r="47" spans="1:15" ht="20.25" customHeight="1" x14ac:dyDescent="0.25">
      <c r="A47" s="67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9"/>
      <c r="M47" s="1"/>
      <c r="N47" s="1"/>
      <c r="O47" s="1"/>
    </row>
    <row r="48" spans="1:15" ht="18" customHeight="1" x14ac:dyDescent="0.25">
      <c r="A48" s="45" t="s">
        <v>255</v>
      </c>
      <c r="B48" s="89"/>
      <c r="C48" s="89"/>
      <c r="D48" s="89"/>
      <c r="E48" s="89"/>
      <c r="F48" s="89"/>
      <c r="G48" s="45" t="s">
        <v>256</v>
      </c>
      <c r="H48" s="89"/>
      <c r="I48" s="89"/>
      <c r="J48" s="89"/>
      <c r="K48" s="89"/>
      <c r="L48" s="90"/>
      <c r="M48" s="1"/>
      <c r="N48" s="1"/>
      <c r="O48" s="1"/>
    </row>
    <row r="49" spans="1:15" ht="18.75" customHeight="1" x14ac:dyDescent="0.25">
      <c r="A49" s="82"/>
      <c r="B49" s="73"/>
      <c r="C49" s="73"/>
      <c r="D49" s="73"/>
      <c r="E49" s="73"/>
      <c r="F49" s="83"/>
      <c r="G49" s="84"/>
      <c r="H49" s="73"/>
      <c r="I49" s="73"/>
      <c r="J49" s="73"/>
      <c r="K49" s="73"/>
      <c r="L49" s="74"/>
      <c r="M49" s="1"/>
      <c r="N49" s="1"/>
      <c r="O49" s="1"/>
    </row>
    <row r="50" spans="1:15" ht="18.75" customHeight="1" x14ac:dyDescent="0.25">
      <c r="A50" s="82"/>
      <c r="B50" s="73"/>
      <c r="C50" s="73"/>
      <c r="D50" s="73"/>
      <c r="E50" s="73"/>
      <c r="F50" s="83"/>
      <c r="G50" s="84"/>
      <c r="H50" s="73"/>
      <c r="I50" s="73"/>
      <c r="J50" s="73"/>
      <c r="K50" s="73"/>
      <c r="L50" s="74"/>
      <c r="M50" s="1"/>
      <c r="N50" s="1"/>
      <c r="O50" s="1"/>
    </row>
    <row r="51" spans="1:15" ht="18.75" customHeight="1" x14ac:dyDescent="0.25">
      <c r="A51" s="82"/>
      <c r="B51" s="73"/>
      <c r="C51" s="73"/>
      <c r="D51" s="73"/>
      <c r="E51" s="73"/>
      <c r="F51" s="83"/>
      <c r="G51" s="84"/>
      <c r="H51" s="73"/>
      <c r="I51" s="73"/>
      <c r="J51" s="73"/>
      <c r="K51" s="73"/>
      <c r="L51" s="74"/>
      <c r="M51" s="1"/>
      <c r="N51" s="1"/>
      <c r="O51" s="1"/>
    </row>
    <row r="52" spans="1:15" ht="18.75" customHeight="1" x14ac:dyDescent="0.25">
      <c r="A52" s="82"/>
      <c r="B52" s="73"/>
      <c r="C52" s="73"/>
      <c r="D52" s="73"/>
      <c r="E52" s="73"/>
      <c r="F52" s="83"/>
      <c r="G52" s="84"/>
      <c r="H52" s="73"/>
      <c r="I52" s="73"/>
      <c r="J52" s="73"/>
      <c r="K52" s="73"/>
      <c r="L52" s="74"/>
      <c r="M52" s="1"/>
      <c r="N52" s="1"/>
      <c r="O52" s="1"/>
    </row>
    <row r="53" spans="1:15" ht="18.75" customHeight="1" x14ac:dyDescent="0.25">
      <c r="A53" s="82"/>
      <c r="B53" s="73"/>
      <c r="C53" s="73"/>
      <c r="D53" s="73"/>
      <c r="E53" s="73"/>
      <c r="F53" s="83"/>
      <c r="G53" s="84"/>
      <c r="H53" s="73"/>
      <c r="I53" s="73"/>
      <c r="J53" s="73"/>
      <c r="K53" s="73"/>
      <c r="L53" s="74"/>
      <c r="M53" s="1"/>
      <c r="N53" s="1"/>
      <c r="O53" s="1"/>
    </row>
    <row r="54" spans="1:15" ht="18" customHeight="1" x14ac:dyDescent="0.25">
      <c r="A54" s="82"/>
      <c r="B54" s="73"/>
      <c r="C54" s="73"/>
      <c r="D54" s="73"/>
      <c r="E54" s="73"/>
      <c r="F54" s="83"/>
      <c r="G54" s="84"/>
      <c r="H54" s="73"/>
      <c r="I54" s="73"/>
      <c r="J54" s="73"/>
      <c r="K54" s="73"/>
      <c r="L54" s="74"/>
      <c r="M54" s="1"/>
      <c r="N54" s="1"/>
      <c r="O54" s="1"/>
    </row>
    <row r="55" spans="1:15" ht="18.75" customHeight="1" x14ac:dyDescent="0.25">
      <c r="A55" s="82"/>
      <c r="B55" s="73"/>
      <c r="C55" s="73"/>
      <c r="D55" s="73"/>
      <c r="E55" s="73"/>
      <c r="F55" s="83"/>
      <c r="G55" s="84"/>
      <c r="H55" s="73"/>
      <c r="I55" s="73"/>
      <c r="J55" s="73"/>
      <c r="K55" s="73"/>
      <c r="L55" s="74"/>
      <c r="M55" s="1"/>
      <c r="N55" s="1"/>
      <c r="O55" s="1"/>
    </row>
    <row r="56" spans="1:15" ht="18.75" customHeight="1" x14ac:dyDescent="0.25">
      <c r="A56" s="82"/>
      <c r="B56" s="73"/>
      <c r="C56" s="73"/>
      <c r="D56" s="73"/>
      <c r="E56" s="73"/>
      <c r="F56" s="83"/>
      <c r="G56" s="84"/>
      <c r="H56" s="73"/>
      <c r="I56" s="73"/>
      <c r="J56" s="73"/>
      <c r="K56" s="73"/>
      <c r="L56" s="74"/>
      <c r="M56" s="1"/>
      <c r="N56" s="1"/>
      <c r="O56" s="1"/>
    </row>
    <row r="57" spans="1:15" ht="17.25" customHeight="1" x14ac:dyDescent="0.25">
      <c r="A57" s="82"/>
      <c r="B57" s="73"/>
      <c r="C57" s="73"/>
      <c r="D57" s="73"/>
      <c r="E57" s="73"/>
      <c r="F57" s="83"/>
      <c r="G57" s="84"/>
      <c r="H57" s="73"/>
      <c r="I57" s="73"/>
      <c r="J57" s="73"/>
      <c r="K57" s="73"/>
      <c r="L57" s="74"/>
      <c r="M57" s="1"/>
      <c r="N57" s="1"/>
      <c r="O57" s="1"/>
    </row>
    <row r="58" spans="1:15" ht="18.75" customHeight="1" x14ac:dyDescent="0.25">
      <c r="A58" s="82"/>
      <c r="B58" s="73"/>
      <c r="C58" s="73"/>
      <c r="D58" s="73"/>
      <c r="E58" s="73"/>
      <c r="F58" s="83"/>
      <c r="G58" s="84"/>
      <c r="H58" s="73"/>
      <c r="I58" s="73"/>
      <c r="J58" s="73"/>
      <c r="K58" s="73"/>
      <c r="L58" s="74"/>
      <c r="M58" s="1"/>
      <c r="N58" s="1"/>
      <c r="O58" s="1"/>
    </row>
    <row r="59" spans="1:15" ht="18.75" customHeight="1" x14ac:dyDescent="0.25">
      <c r="A59" s="82"/>
      <c r="B59" s="73"/>
      <c r="C59" s="73"/>
      <c r="D59" s="73"/>
      <c r="E59" s="73"/>
      <c r="F59" s="83"/>
      <c r="G59" s="84"/>
      <c r="H59" s="73"/>
      <c r="I59" s="73"/>
      <c r="J59" s="73"/>
      <c r="K59" s="73"/>
      <c r="L59" s="74"/>
      <c r="M59" s="1"/>
      <c r="N59" s="1"/>
      <c r="O59" s="1"/>
    </row>
    <row r="60" spans="1:15" ht="18.75" customHeight="1" x14ac:dyDescent="0.25">
      <c r="A60" s="82"/>
      <c r="B60" s="73"/>
      <c r="C60" s="73"/>
      <c r="D60" s="73"/>
      <c r="E60" s="73"/>
      <c r="F60" s="83"/>
      <c r="G60" s="84"/>
      <c r="H60" s="73"/>
      <c r="I60" s="73"/>
      <c r="J60" s="73"/>
      <c r="K60" s="73"/>
      <c r="L60" s="74"/>
      <c r="M60" s="1"/>
      <c r="N60" s="1"/>
      <c r="O60" s="1"/>
    </row>
    <row r="61" spans="1:15" ht="18.75" customHeight="1" x14ac:dyDescent="0.25">
      <c r="A61" s="82"/>
      <c r="B61" s="73"/>
      <c r="C61" s="73"/>
      <c r="D61" s="73"/>
      <c r="E61" s="73"/>
      <c r="F61" s="83"/>
      <c r="G61" s="84"/>
      <c r="H61" s="73"/>
      <c r="I61" s="73"/>
      <c r="J61" s="73"/>
      <c r="K61" s="73"/>
      <c r="L61" s="74"/>
      <c r="M61" s="1"/>
      <c r="N61" s="1"/>
      <c r="O61" s="1"/>
    </row>
    <row r="62" spans="1:15" ht="18.75" customHeight="1" x14ac:dyDescent="0.25">
      <c r="A62" s="82"/>
      <c r="B62" s="73"/>
      <c r="C62" s="73"/>
      <c r="D62" s="73"/>
      <c r="E62" s="73"/>
      <c r="F62" s="83"/>
      <c r="G62" s="84"/>
      <c r="H62" s="73"/>
      <c r="I62" s="73"/>
      <c r="J62" s="73"/>
      <c r="K62" s="73"/>
      <c r="L62" s="74"/>
      <c r="M62" s="1"/>
      <c r="N62" s="1"/>
      <c r="O62" s="1"/>
    </row>
    <row r="63" spans="1:15" ht="23.25" customHeight="1" x14ac:dyDescent="0.25">
      <c r="A63" s="82"/>
      <c r="B63" s="73"/>
      <c r="C63" s="73"/>
      <c r="D63" s="73"/>
      <c r="E63" s="73"/>
      <c r="F63" s="83"/>
      <c r="G63" s="84"/>
      <c r="H63" s="73"/>
      <c r="I63" s="73"/>
      <c r="J63" s="73"/>
      <c r="K63" s="73"/>
      <c r="L63" s="74"/>
      <c r="M63" s="1"/>
      <c r="N63" s="1"/>
      <c r="O63" s="1"/>
    </row>
    <row r="64" spans="1:15" ht="18.75" customHeight="1" x14ac:dyDescent="0.25">
      <c r="A64" s="85"/>
      <c r="B64" s="86"/>
      <c r="C64" s="73"/>
      <c r="D64" s="73"/>
      <c r="E64" s="73"/>
      <c r="F64" s="83"/>
      <c r="G64" s="84"/>
      <c r="H64" s="73"/>
      <c r="I64" s="73"/>
      <c r="J64" s="73"/>
      <c r="K64" s="73"/>
      <c r="L64" s="74"/>
      <c r="M64" s="1"/>
      <c r="N64" s="1"/>
      <c r="O64" s="1"/>
    </row>
    <row r="65" spans="1:15" ht="18.75" customHeight="1" x14ac:dyDescent="0.25">
      <c r="A65" s="87" t="s">
        <v>276</v>
      </c>
      <c r="B65" s="88"/>
      <c r="C65" s="84"/>
      <c r="D65" s="73"/>
      <c r="E65" s="73"/>
      <c r="F65" s="73"/>
      <c r="G65" s="73"/>
      <c r="H65" s="73"/>
      <c r="I65" s="73"/>
      <c r="J65" s="73"/>
      <c r="K65" s="73"/>
      <c r="L65" s="74"/>
      <c r="M65" s="1"/>
      <c r="N65" s="1"/>
      <c r="O65" s="1"/>
    </row>
    <row r="66" spans="1:15" ht="18.75" customHeight="1" thickBot="1" x14ac:dyDescent="0.3">
      <c r="A66" s="80" t="s">
        <v>275</v>
      </c>
      <c r="B66" s="81"/>
      <c r="C66" s="77"/>
      <c r="D66" s="78"/>
      <c r="E66" s="78"/>
      <c r="F66" s="78"/>
      <c r="G66" s="78"/>
      <c r="H66" s="78"/>
      <c r="I66" s="78"/>
      <c r="J66" s="78"/>
      <c r="K66" s="78"/>
      <c r="L66" s="79"/>
      <c r="M66" s="1"/>
      <c r="N66" s="1"/>
      <c r="O66" s="1"/>
    </row>
    <row r="67" spans="1:15" ht="18.75" customHeight="1" thickBo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1"/>
      <c r="N67" s="1"/>
      <c r="O67" s="1"/>
    </row>
    <row r="68" spans="1:15" ht="18.75" customHeight="1" x14ac:dyDescent="0.25">
      <c r="A68" s="39" t="s">
        <v>257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6"/>
      <c r="M68" s="1"/>
      <c r="N68" s="1"/>
      <c r="O68" s="1"/>
    </row>
    <row r="69" spans="1:15" ht="12" customHeight="1" x14ac:dyDescent="0.25">
      <c r="A69" s="67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9"/>
      <c r="M69" s="1"/>
      <c r="N69" s="1"/>
      <c r="O69" s="1"/>
    </row>
    <row r="70" spans="1:15" ht="21" customHeight="1" x14ac:dyDescent="0.25">
      <c r="A70" s="70" t="s">
        <v>274</v>
      </c>
      <c r="B70" s="71"/>
      <c r="C70" s="71"/>
      <c r="D70" s="71"/>
      <c r="E70" s="71"/>
      <c r="F70" s="72"/>
      <c r="G70" s="73"/>
      <c r="H70" s="73"/>
      <c r="I70" s="73"/>
      <c r="J70" s="73"/>
      <c r="K70" s="73"/>
      <c r="L70" s="74"/>
      <c r="M70" s="1"/>
      <c r="N70" s="1"/>
      <c r="O70" s="1"/>
    </row>
    <row r="71" spans="1:15" ht="18.75" customHeight="1" thickBot="1" x14ac:dyDescent="0.3">
      <c r="A71" s="75" t="s">
        <v>273</v>
      </c>
      <c r="B71" s="76"/>
      <c r="C71" s="76"/>
      <c r="D71" s="77"/>
      <c r="E71" s="78"/>
      <c r="F71" s="78"/>
      <c r="G71" s="78"/>
      <c r="H71" s="78"/>
      <c r="I71" s="78"/>
      <c r="J71" s="78"/>
      <c r="K71" s="78"/>
      <c r="L71" s="79"/>
      <c r="M71" s="1"/>
      <c r="N71" s="1"/>
      <c r="O71" s="1"/>
    </row>
    <row r="72" spans="1:15" ht="18.75" customHeight="1" thickBo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1"/>
      <c r="N72" s="1"/>
      <c r="O72" s="1"/>
    </row>
    <row r="73" spans="1:15" ht="18.75" customHeight="1" x14ac:dyDescent="0.25">
      <c r="A73" s="39" t="s">
        <v>258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1"/>
      <c r="M73" s="1"/>
      <c r="N73" s="1"/>
      <c r="O73" s="1"/>
    </row>
    <row r="74" spans="1:15" ht="12" customHeight="1" x14ac:dyDescent="0.25">
      <c r="A74" s="42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4"/>
      <c r="M74" s="1"/>
      <c r="N74" s="1"/>
      <c r="O74" s="1"/>
    </row>
    <row r="75" spans="1:15" ht="18.75" customHeight="1" x14ac:dyDescent="0.25">
      <c r="A75" s="45" t="s">
        <v>260</v>
      </c>
      <c r="B75" s="33"/>
      <c r="C75" s="33"/>
      <c r="D75" s="33"/>
      <c r="E75" s="34"/>
      <c r="F75" s="32" t="s">
        <v>261</v>
      </c>
      <c r="G75" s="33"/>
      <c r="H75" s="34"/>
      <c r="I75" s="32" t="s">
        <v>20</v>
      </c>
      <c r="J75" s="34"/>
      <c r="K75" s="9" t="s">
        <v>259</v>
      </c>
      <c r="L75" s="11" t="s">
        <v>22</v>
      </c>
      <c r="M75" s="1"/>
      <c r="N75" s="1"/>
      <c r="O75" s="1"/>
    </row>
    <row r="76" spans="1:15" ht="18.75" customHeight="1" x14ac:dyDescent="0.25">
      <c r="A76" s="38"/>
      <c r="B76" s="36"/>
      <c r="C76" s="36"/>
      <c r="D76" s="36"/>
      <c r="E76" s="37"/>
      <c r="F76" s="35"/>
      <c r="G76" s="36"/>
      <c r="H76" s="37"/>
      <c r="I76" s="35"/>
      <c r="J76" s="37"/>
      <c r="K76" s="10"/>
      <c r="L76" s="12"/>
      <c r="M76" s="1"/>
      <c r="N76" s="1"/>
      <c r="O76" s="1"/>
    </row>
    <row r="77" spans="1:15" ht="18.75" customHeight="1" x14ac:dyDescent="0.25">
      <c r="A77" s="38"/>
      <c r="B77" s="36"/>
      <c r="C77" s="36"/>
      <c r="D77" s="36"/>
      <c r="E77" s="37"/>
      <c r="F77" s="35"/>
      <c r="G77" s="36"/>
      <c r="H77" s="37"/>
      <c r="I77" s="35"/>
      <c r="J77" s="37"/>
      <c r="K77" s="10"/>
      <c r="L77" s="12"/>
      <c r="M77" s="1"/>
      <c r="N77" s="1"/>
      <c r="O77" s="1"/>
    </row>
    <row r="78" spans="1:15" ht="18.75" customHeight="1" x14ac:dyDescent="0.25">
      <c r="A78" s="38"/>
      <c r="B78" s="36"/>
      <c r="C78" s="36"/>
      <c r="D78" s="36"/>
      <c r="E78" s="37"/>
      <c r="F78" s="35"/>
      <c r="G78" s="36"/>
      <c r="H78" s="37"/>
      <c r="I78" s="35"/>
      <c r="J78" s="37"/>
      <c r="K78" s="10"/>
      <c r="L78" s="12"/>
      <c r="M78" s="1"/>
      <c r="N78" s="1"/>
      <c r="O78" s="1"/>
    </row>
    <row r="79" spans="1:15" ht="18.75" customHeight="1" x14ac:dyDescent="0.25">
      <c r="A79" s="38"/>
      <c r="B79" s="36"/>
      <c r="C79" s="36"/>
      <c r="D79" s="36"/>
      <c r="E79" s="37"/>
      <c r="F79" s="35"/>
      <c r="G79" s="36"/>
      <c r="H79" s="37"/>
      <c r="I79" s="35"/>
      <c r="J79" s="37"/>
      <c r="K79" s="10"/>
      <c r="L79" s="12"/>
      <c r="M79" s="1"/>
      <c r="N79" s="1"/>
      <c r="O79" s="1"/>
    </row>
    <row r="80" spans="1:15" ht="18.75" customHeight="1" x14ac:dyDescent="0.25">
      <c r="A80" s="38"/>
      <c r="B80" s="36"/>
      <c r="C80" s="36"/>
      <c r="D80" s="36"/>
      <c r="E80" s="37"/>
      <c r="F80" s="35"/>
      <c r="G80" s="36"/>
      <c r="H80" s="37"/>
      <c r="I80" s="35"/>
      <c r="J80" s="37"/>
      <c r="K80" s="10"/>
      <c r="L80" s="12"/>
      <c r="M80" s="1"/>
      <c r="N80" s="1"/>
      <c r="O80" s="1"/>
    </row>
    <row r="81" spans="1:15" ht="18.75" customHeight="1" x14ac:dyDescent="0.25">
      <c r="A81" s="38"/>
      <c r="B81" s="36"/>
      <c r="C81" s="36"/>
      <c r="D81" s="36"/>
      <c r="E81" s="37"/>
      <c r="F81" s="35"/>
      <c r="G81" s="36"/>
      <c r="H81" s="37"/>
      <c r="I81" s="35"/>
      <c r="J81" s="37"/>
      <c r="K81" s="10"/>
      <c r="L81" s="12"/>
      <c r="M81" s="1"/>
      <c r="N81" s="1"/>
      <c r="O81" s="1"/>
    </row>
    <row r="82" spans="1:15" ht="18.75" customHeight="1" x14ac:dyDescent="0.25">
      <c r="A82" s="38"/>
      <c r="B82" s="36"/>
      <c r="C82" s="36"/>
      <c r="D82" s="36"/>
      <c r="E82" s="37"/>
      <c r="F82" s="35"/>
      <c r="G82" s="36"/>
      <c r="H82" s="37"/>
      <c r="I82" s="35"/>
      <c r="J82" s="37"/>
      <c r="K82" s="10"/>
      <c r="L82" s="12"/>
      <c r="M82" s="1"/>
      <c r="N82" s="1"/>
      <c r="O82" s="1"/>
    </row>
    <row r="83" spans="1:15" ht="18.75" customHeight="1" x14ac:dyDescent="0.25">
      <c r="A83" s="38"/>
      <c r="B83" s="36"/>
      <c r="C83" s="36"/>
      <c r="D83" s="36"/>
      <c r="E83" s="37"/>
      <c r="F83" s="35"/>
      <c r="G83" s="36"/>
      <c r="H83" s="37"/>
      <c r="I83" s="35"/>
      <c r="J83" s="37"/>
      <c r="K83" s="10"/>
      <c r="L83" s="12"/>
      <c r="M83" s="1"/>
      <c r="N83" s="1"/>
      <c r="O83" s="1"/>
    </row>
    <row r="84" spans="1:15" ht="18.75" customHeight="1" x14ac:dyDescent="0.25">
      <c r="A84" s="38"/>
      <c r="B84" s="36"/>
      <c r="C84" s="36"/>
      <c r="D84" s="36"/>
      <c r="E84" s="37"/>
      <c r="F84" s="35"/>
      <c r="G84" s="36"/>
      <c r="H84" s="37"/>
      <c r="I84" s="35"/>
      <c r="J84" s="37"/>
      <c r="K84" s="10"/>
      <c r="L84" s="12"/>
      <c r="M84" s="1"/>
      <c r="N84" s="1"/>
      <c r="O84" s="1"/>
    </row>
    <row r="85" spans="1:15" ht="18.75" customHeight="1" x14ac:dyDescent="0.25">
      <c r="A85" s="38"/>
      <c r="B85" s="36"/>
      <c r="C85" s="36"/>
      <c r="D85" s="36"/>
      <c r="E85" s="37"/>
      <c r="F85" s="35"/>
      <c r="G85" s="36"/>
      <c r="H85" s="37"/>
      <c r="I85" s="35"/>
      <c r="J85" s="37"/>
      <c r="K85" s="10"/>
      <c r="L85" s="12"/>
      <c r="M85" s="1"/>
      <c r="N85" s="1"/>
      <c r="O85" s="1"/>
    </row>
    <row r="86" spans="1:15" ht="18.75" customHeight="1" x14ac:dyDescent="0.25">
      <c r="A86" s="38"/>
      <c r="B86" s="36"/>
      <c r="C86" s="36"/>
      <c r="D86" s="36"/>
      <c r="E86" s="37"/>
      <c r="F86" s="35"/>
      <c r="G86" s="36"/>
      <c r="H86" s="37"/>
      <c r="I86" s="35"/>
      <c r="J86" s="37"/>
      <c r="K86" s="10"/>
      <c r="L86" s="12"/>
      <c r="M86" s="1"/>
      <c r="N86" s="1"/>
      <c r="O86" s="1"/>
    </row>
    <row r="87" spans="1:15" ht="18.75" customHeight="1" x14ac:dyDescent="0.25">
      <c r="A87" s="38"/>
      <c r="B87" s="36"/>
      <c r="C87" s="36"/>
      <c r="D87" s="36"/>
      <c r="E87" s="37"/>
      <c r="F87" s="35"/>
      <c r="G87" s="36"/>
      <c r="H87" s="37"/>
      <c r="I87" s="35"/>
      <c r="J87" s="37"/>
      <c r="K87" s="10"/>
      <c r="L87" s="12"/>
      <c r="M87" s="1"/>
      <c r="N87" s="1"/>
      <c r="O87" s="1"/>
    </row>
    <row r="88" spans="1:15" ht="18.75" customHeight="1" x14ac:dyDescent="0.25">
      <c r="A88" s="38"/>
      <c r="B88" s="36"/>
      <c r="C88" s="36"/>
      <c r="D88" s="36"/>
      <c r="E88" s="37"/>
      <c r="F88" s="35"/>
      <c r="G88" s="36"/>
      <c r="H88" s="37"/>
      <c r="I88" s="35"/>
      <c r="J88" s="37"/>
      <c r="K88" s="10"/>
      <c r="L88" s="12"/>
      <c r="M88" s="1"/>
      <c r="N88" s="1"/>
      <c r="O88" s="1"/>
    </row>
    <row r="89" spans="1:15" ht="18.75" customHeight="1" x14ac:dyDescent="0.25">
      <c r="A89" s="38"/>
      <c r="B89" s="36"/>
      <c r="C89" s="36"/>
      <c r="D89" s="36"/>
      <c r="E89" s="37"/>
      <c r="F89" s="35"/>
      <c r="G89" s="36"/>
      <c r="H89" s="37"/>
      <c r="I89" s="35"/>
      <c r="J89" s="37"/>
      <c r="K89" s="10"/>
      <c r="L89" s="12"/>
      <c r="M89" s="1"/>
      <c r="N89" s="1"/>
      <c r="O89" s="1"/>
    </row>
    <row r="90" spans="1:15" ht="14.25" customHeight="1" thickBot="1" x14ac:dyDescent="0.3">
      <c r="A90" s="28"/>
      <c r="B90" s="29"/>
      <c r="C90" s="29"/>
      <c r="D90" s="29"/>
      <c r="E90" s="30"/>
      <c r="F90" s="31"/>
      <c r="G90" s="29"/>
      <c r="H90" s="30"/>
      <c r="I90" s="31"/>
      <c r="J90" s="30"/>
      <c r="K90" s="13"/>
      <c r="L90" s="14"/>
      <c r="M90" s="1"/>
      <c r="N90" s="1"/>
      <c r="O90" s="1"/>
    </row>
    <row r="91" spans="1:15" ht="15" customHeight="1" thickBot="1" x14ac:dyDescent="0.3">
      <c r="M91" s="1"/>
      <c r="N91" s="1"/>
      <c r="O91" s="1"/>
    </row>
    <row r="92" spans="1:15" ht="18.75" customHeight="1" x14ac:dyDescent="0.25">
      <c r="A92" s="159" t="s">
        <v>279</v>
      </c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6"/>
      <c r="M92" s="1"/>
      <c r="N92" s="1"/>
      <c r="O92" s="1"/>
    </row>
    <row r="93" spans="1:15" ht="18" customHeight="1" x14ac:dyDescent="0.25">
      <c r="A93" s="67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9"/>
      <c r="M93" s="1"/>
      <c r="N93" s="1"/>
      <c r="O93" s="1"/>
    </row>
    <row r="94" spans="1:15" ht="40.5" customHeight="1" x14ac:dyDescent="0.25">
      <c r="A94" s="160" t="s">
        <v>262</v>
      </c>
      <c r="B94" s="161"/>
      <c r="C94" s="162" t="s">
        <v>269</v>
      </c>
      <c r="D94" s="163" t="s">
        <v>263</v>
      </c>
      <c r="E94" s="163" t="s">
        <v>264</v>
      </c>
      <c r="F94" s="163" t="s">
        <v>261</v>
      </c>
      <c r="G94" s="163" t="s">
        <v>265</v>
      </c>
      <c r="H94" s="163" t="s">
        <v>20</v>
      </c>
      <c r="I94" s="163" t="s">
        <v>267</v>
      </c>
      <c r="J94" s="163" t="s">
        <v>268</v>
      </c>
      <c r="K94" s="163" t="s">
        <v>21</v>
      </c>
      <c r="L94" s="164" t="s">
        <v>22</v>
      </c>
      <c r="M94" s="1"/>
      <c r="N94" s="1"/>
      <c r="O94" s="1"/>
    </row>
    <row r="95" spans="1:15" ht="18.75" customHeight="1" x14ac:dyDescent="0.25">
      <c r="A95" s="53"/>
      <c r="B95" s="54"/>
      <c r="C95" s="165"/>
      <c r="D95" s="166"/>
      <c r="E95" s="26"/>
      <c r="F95" s="6"/>
      <c r="G95" s="6"/>
      <c r="H95" s="167">
        <f t="shared" ref="H95:H137" si="0">F95*G95</f>
        <v>0</v>
      </c>
      <c r="I95" s="168" t="s">
        <v>266</v>
      </c>
      <c r="J95" s="6"/>
      <c r="K95" s="6"/>
      <c r="L95" s="15"/>
      <c r="M95" s="1"/>
      <c r="N95" s="1"/>
      <c r="O95" s="1"/>
    </row>
    <row r="96" spans="1:15" ht="18.75" customHeight="1" x14ac:dyDescent="0.25">
      <c r="A96" s="53"/>
      <c r="B96" s="54"/>
      <c r="C96" s="165"/>
      <c r="D96" s="166"/>
      <c r="E96" s="26"/>
      <c r="F96" s="6"/>
      <c r="G96" s="6"/>
      <c r="H96" s="167">
        <f t="shared" si="0"/>
        <v>0</v>
      </c>
      <c r="I96" s="168" t="s">
        <v>266</v>
      </c>
      <c r="J96" s="6"/>
      <c r="K96" s="6"/>
      <c r="L96" s="15"/>
      <c r="M96" s="1"/>
      <c r="N96" s="1"/>
      <c r="O96" s="1"/>
    </row>
    <row r="97" spans="1:15" ht="18.75" customHeight="1" x14ac:dyDescent="0.25">
      <c r="A97" s="53"/>
      <c r="B97" s="54"/>
      <c r="C97" s="165"/>
      <c r="D97" s="166"/>
      <c r="E97" s="26"/>
      <c r="F97" s="6"/>
      <c r="G97" s="6"/>
      <c r="H97" s="167">
        <f t="shared" si="0"/>
        <v>0</v>
      </c>
      <c r="I97" s="168" t="s">
        <v>266</v>
      </c>
      <c r="J97" s="6"/>
      <c r="K97" s="6"/>
      <c r="L97" s="15"/>
      <c r="M97" s="1"/>
      <c r="N97" s="1"/>
      <c r="O97" s="1"/>
    </row>
    <row r="98" spans="1:15" ht="18.75" customHeight="1" x14ac:dyDescent="0.25">
      <c r="A98" s="53"/>
      <c r="B98" s="54"/>
      <c r="C98" s="165"/>
      <c r="D98" s="166"/>
      <c r="E98" s="26"/>
      <c r="F98" s="6"/>
      <c r="G98" s="6"/>
      <c r="H98" s="167">
        <f t="shared" si="0"/>
        <v>0</v>
      </c>
      <c r="I98" s="168" t="s">
        <v>266</v>
      </c>
      <c r="J98" s="6"/>
      <c r="K98" s="6"/>
      <c r="L98" s="15"/>
      <c r="M98" s="1"/>
      <c r="N98" s="1"/>
      <c r="O98" s="1"/>
    </row>
    <row r="99" spans="1:15" ht="18.75" customHeight="1" x14ac:dyDescent="0.25">
      <c r="A99" s="53"/>
      <c r="B99" s="54"/>
      <c r="C99" s="165"/>
      <c r="D99" s="166"/>
      <c r="E99" s="26"/>
      <c r="F99" s="6"/>
      <c r="G99" s="6"/>
      <c r="H99" s="167">
        <f t="shared" si="0"/>
        <v>0</v>
      </c>
      <c r="I99" s="168" t="s">
        <v>266</v>
      </c>
      <c r="J99" s="6"/>
      <c r="K99" s="6"/>
      <c r="L99" s="15"/>
      <c r="M99" s="1"/>
      <c r="N99" s="1"/>
      <c r="O99" s="1"/>
    </row>
    <row r="100" spans="1:15" ht="19.5" customHeight="1" x14ac:dyDescent="0.25">
      <c r="A100" s="53"/>
      <c r="B100" s="54"/>
      <c r="C100" s="165"/>
      <c r="D100" s="166"/>
      <c r="E100" s="26"/>
      <c r="F100" s="6"/>
      <c r="G100" s="6"/>
      <c r="H100" s="167">
        <f t="shared" si="0"/>
        <v>0</v>
      </c>
      <c r="I100" s="168" t="s">
        <v>266</v>
      </c>
      <c r="J100" s="6"/>
      <c r="K100" s="6"/>
      <c r="L100" s="15"/>
      <c r="M100" s="1"/>
      <c r="N100" s="1"/>
      <c r="O100" s="1"/>
    </row>
    <row r="101" spans="1:15" ht="18.75" customHeight="1" x14ac:dyDescent="0.25">
      <c r="A101" s="53"/>
      <c r="B101" s="54"/>
      <c r="C101" s="165"/>
      <c r="D101" s="166"/>
      <c r="E101" s="26"/>
      <c r="F101" s="6"/>
      <c r="G101" s="6"/>
      <c r="H101" s="167">
        <f t="shared" si="0"/>
        <v>0</v>
      </c>
      <c r="I101" s="168" t="s">
        <v>266</v>
      </c>
      <c r="J101" s="6"/>
      <c r="K101" s="6"/>
      <c r="L101" s="15"/>
      <c r="M101" s="1"/>
      <c r="N101" s="1"/>
      <c r="O101" s="1"/>
    </row>
    <row r="102" spans="1:15" ht="18.75" customHeight="1" x14ac:dyDescent="0.25">
      <c r="A102" s="53"/>
      <c r="B102" s="54"/>
      <c r="C102" s="165"/>
      <c r="D102" s="166"/>
      <c r="E102" s="26"/>
      <c r="F102" s="6"/>
      <c r="G102" s="6"/>
      <c r="H102" s="167">
        <f t="shared" si="0"/>
        <v>0</v>
      </c>
      <c r="I102" s="168" t="s">
        <v>266</v>
      </c>
      <c r="J102" s="6"/>
      <c r="K102" s="6"/>
      <c r="L102" s="15"/>
      <c r="M102" s="1"/>
      <c r="N102" s="1"/>
      <c r="O102" s="1"/>
    </row>
    <row r="103" spans="1:15" ht="15.75" customHeight="1" x14ac:dyDescent="0.25">
      <c r="A103" s="53"/>
      <c r="B103" s="54"/>
      <c r="C103" s="165"/>
      <c r="D103" s="166"/>
      <c r="E103" s="26"/>
      <c r="F103" s="6"/>
      <c r="G103" s="6"/>
      <c r="H103" s="167">
        <f t="shared" si="0"/>
        <v>0</v>
      </c>
      <c r="I103" s="168" t="s">
        <v>266</v>
      </c>
      <c r="J103" s="6"/>
      <c r="K103" s="6"/>
      <c r="L103" s="15"/>
      <c r="M103" s="1"/>
      <c r="N103" s="1"/>
      <c r="O103" s="1"/>
    </row>
    <row r="104" spans="1:15" ht="18.75" customHeight="1" x14ac:dyDescent="0.25">
      <c r="A104" s="53"/>
      <c r="B104" s="54"/>
      <c r="C104" s="165"/>
      <c r="D104" s="166"/>
      <c r="E104" s="26"/>
      <c r="F104" s="6"/>
      <c r="G104" s="6"/>
      <c r="H104" s="167">
        <f t="shared" si="0"/>
        <v>0</v>
      </c>
      <c r="I104" s="168" t="s">
        <v>266</v>
      </c>
      <c r="J104" s="6"/>
      <c r="K104" s="6"/>
      <c r="L104" s="15"/>
      <c r="M104" s="1"/>
      <c r="N104" s="1"/>
      <c r="O104" s="1"/>
    </row>
    <row r="105" spans="1:15" ht="18.75" customHeight="1" x14ac:dyDescent="0.25">
      <c r="A105" s="53"/>
      <c r="B105" s="54"/>
      <c r="C105" s="165"/>
      <c r="D105" s="166"/>
      <c r="E105" s="26"/>
      <c r="F105" s="6"/>
      <c r="G105" s="6"/>
      <c r="H105" s="167">
        <f t="shared" si="0"/>
        <v>0</v>
      </c>
      <c r="I105" s="168" t="s">
        <v>266</v>
      </c>
      <c r="J105" s="6"/>
      <c r="K105" s="6"/>
      <c r="L105" s="15"/>
      <c r="M105" s="3"/>
      <c r="N105" s="3"/>
      <c r="O105" s="3"/>
    </row>
    <row r="106" spans="1:15" ht="18.75" customHeight="1" x14ac:dyDescent="0.25">
      <c r="A106" s="53"/>
      <c r="B106" s="54"/>
      <c r="C106" s="165"/>
      <c r="D106" s="166"/>
      <c r="E106" s="26"/>
      <c r="F106" s="6"/>
      <c r="G106" s="6"/>
      <c r="H106" s="167">
        <f t="shared" si="0"/>
        <v>0</v>
      </c>
      <c r="I106" s="168" t="s">
        <v>266</v>
      </c>
      <c r="J106" s="6"/>
      <c r="K106" s="6"/>
      <c r="L106" s="15"/>
      <c r="M106" s="3"/>
      <c r="N106" s="3"/>
      <c r="O106" s="3"/>
    </row>
    <row r="107" spans="1:15" ht="18.75" customHeight="1" x14ac:dyDescent="0.25">
      <c r="A107" s="53"/>
      <c r="B107" s="54"/>
      <c r="C107" s="165"/>
      <c r="D107" s="166"/>
      <c r="E107" s="26"/>
      <c r="F107" s="6"/>
      <c r="G107" s="6"/>
      <c r="H107" s="167">
        <f t="shared" si="0"/>
        <v>0</v>
      </c>
      <c r="I107" s="168" t="s">
        <v>266</v>
      </c>
      <c r="J107" s="6"/>
      <c r="K107" s="6"/>
      <c r="L107" s="15"/>
      <c r="M107" s="3"/>
      <c r="N107" s="3"/>
      <c r="O107" s="3"/>
    </row>
    <row r="108" spans="1:15" ht="18.75" customHeight="1" x14ac:dyDescent="0.25">
      <c r="A108" s="53"/>
      <c r="B108" s="54"/>
      <c r="C108" s="165"/>
      <c r="D108" s="166"/>
      <c r="E108" s="26"/>
      <c r="F108" s="6"/>
      <c r="G108" s="6"/>
      <c r="H108" s="167">
        <f t="shared" si="0"/>
        <v>0</v>
      </c>
      <c r="I108" s="168" t="s">
        <v>266</v>
      </c>
      <c r="J108" s="6"/>
      <c r="K108" s="6"/>
      <c r="L108" s="15"/>
      <c r="M108" s="3"/>
      <c r="N108" s="3"/>
      <c r="O108" s="3"/>
    </row>
    <row r="109" spans="1:15" ht="18.75" customHeight="1" x14ac:dyDescent="0.25">
      <c r="A109" s="53"/>
      <c r="B109" s="54"/>
      <c r="C109" s="165"/>
      <c r="D109" s="166"/>
      <c r="E109" s="26"/>
      <c r="F109" s="6"/>
      <c r="G109" s="6"/>
      <c r="H109" s="167">
        <f t="shared" si="0"/>
        <v>0</v>
      </c>
      <c r="I109" s="168" t="s">
        <v>266</v>
      </c>
      <c r="J109" s="6"/>
      <c r="K109" s="6"/>
      <c r="L109" s="15"/>
      <c r="M109" s="3"/>
      <c r="N109" s="3"/>
      <c r="O109" s="3"/>
    </row>
    <row r="110" spans="1:15" ht="18.75" customHeight="1" x14ac:dyDescent="0.25">
      <c r="A110" s="53"/>
      <c r="B110" s="54"/>
      <c r="C110" s="165"/>
      <c r="D110" s="166"/>
      <c r="E110" s="26"/>
      <c r="F110" s="6"/>
      <c r="G110" s="6"/>
      <c r="H110" s="167">
        <f t="shared" si="0"/>
        <v>0</v>
      </c>
      <c r="I110" s="168" t="s">
        <v>266</v>
      </c>
      <c r="J110" s="6"/>
      <c r="K110" s="6"/>
      <c r="L110" s="15"/>
      <c r="M110" s="3"/>
      <c r="N110" s="3"/>
      <c r="O110" s="3"/>
    </row>
    <row r="111" spans="1:15" ht="18.75" customHeight="1" x14ac:dyDescent="0.25">
      <c r="A111" s="53"/>
      <c r="B111" s="54"/>
      <c r="C111" s="165"/>
      <c r="D111" s="166"/>
      <c r="E111" s="26"/>
      <c r="F111" s="6"/>
      <c r="G111" s="6"/>
      <c r="H111" s="167">
        <f t="shared" si="0"/>
        <v>0</v>
      </c>
      <c r="I111" s="168" t="s">
        <v>266</v>
      </c>
      <c r="J111" s="6"/>
      <c r="K111" s="6"/>
      <c r="L111" s="15"/>
      <c r="M111" s="3"/>
      <c r="N111" s="3"/>
      <c r="O111" s="3"/>
    </row>
    <row r="112" spans="1:15" ht="18.75" customHeight="1" x14ac:dyDescent="0.25">
      <c r="A112" s="53"/>
      <c r="B112" s="54"/>
      <c r="C112" s="165"/>
      <c r="D112" s="166"/>
      <c r="E112" s="26"/>
      <c r="F112" s="6"/>
      <c r="G112" s="6"/>
      <c r="H112" s="167">
        <f t="shared" si="0"/>
        <v>0</v>
      </c>
      <c r="I112" s="168" t="s">
        <v>266</v>
      </c>
      <c r="J112" s="6"/>
      <c r="K112" s="6"/>
      <c r="L112" s="15"/>
      <c r="M112" s="3"/>
      <c r="N112" s="3"/>
      <c r="O112" s="3"/>
    </row>
    <row r="113" spans="1:15" ht="18.75" customHeight="1" x14ac:dyDescent="0.25">
      <c r="A113" s="53"/>
      <c r="B113" s="54"/>
      <c r="C113" s="165"/>
      <c r="D113" s="166"/>
      <c r="E113" s="26"/>
      <c r="F113" s="6"/>
      <c r="G113" s="6"/>
      <c r="H113" s="167">
        <f t="shared" si="0"/>
        <v>0</v>
      </c>
      <c r="I113" s="168" t="s">
        <v>266</v>
      </c>
      <c r="J113" s="6"/>
      <c r="K113" s="6"/>
      <c r="L113" s="15"/>
      <c r="M113" s="3"/>
      <c r="N113" s="3"/>
      <c r="O113" s="3"/>
    </row>
    <row r="114" spans="1:15" ht="18.75" customHeight="1" x14ac:dyDescent="0.25">
      <c r="A114" s="53"/>
      <c r="B114" s="54"/>
      <c r="C114" s="165"/>
      <c r="D114" s="166"/>
      <c r="E114" s="26"/>
      <c r="F114" s="6"/>
      <c r="G114" s="6"/>
      <c r="H114" s="167">
        <f t="shared" si="0"/>
        <v>0</v>
      </c>
      <c r="I114" s="168" t="s">
        <v>266</v>
      </c>
      <c r="J114" s="6"/>
      <c r="K114" s="6"/>
      <c r="L114" s="15"/>
      <c r="M114" s="3"/>
      <c r="N114" s="3"/>
      <c r="O114" s="3"/>
    </row>
    <row r="115" spans="1:15" ht="18.75" customHeight="1" x14ac:dyDescent="0.25">
      <c r="A115" s="53"/>
      <c r="B115" s="54"/>
      <c r="C115" s="165"/>
      <c r="D115" s="166"/>
      <c r="E115" s="26"/>
      <c r="F115" s="6"/>
      <c r="G115" s="6"/>
      <c r="H115" s="167">
        <f t="shared" si="0"/>
        <v>0</v>
      </c>
      <c r="I115" s="168" t="s">
        <v>266</v>
      </c>
      <c r="J115" s="6"/>
      <c r="K115" s="6"/>
      <c r="L115" s="15"/>
      <c r="M115" s="3"/>
      <c r="N115" s="3"/>
      <c r="O115" s="3"/>
    </row>
    <row r="116" spans="1:15" ht="18.75" customHeight="1" x14ac:dyDescent="0.25">
      <c r="A116" s="53"/>
      <c r="B116" s="54"/>
      <c r="C116" s="165"/>
      <c r="D116" s="166"/>
      <c r="E116" s="26"/>
      <c r="F116" s="6"/>
      <c r="G116" s="6"/>
      <c r="H116" s="167">
        <f t="shared" si="0"/>
        <v>0</v>
      </c>
      <c r="I116" s="168" t="s">
        <v>266</v>
      </c>
      <c r="J116" s="6"/>
      <c r="K116" s="6"/>
      <c r="L116" s="15"/>
      <c r="M116" s="3"/>
      <c r="N116" s="3"/>
      <c r="O116" s="3"/>
    </row>
    <row r="117" spans="1:15" ht="18.75" customHeight="1" x14ac:dyDescent="0.25">
      <c r="A117" s="53"/>
      <c r="B117" s="54"/>
      <c r="C117" s="165"/>
      <c r="D117" s="166"/>
      <c r="E117" s="26"/>
      <c r="F117" s="6"/>
      <c r="G117" s="6"/>
      <c r="H117" s="167">
        <f t="shared" si="0"/>
        <v>0</v>
      </c>
      <c r="I117" s="168" t="s">
        <v>266</v>
      </c>
      <c r="J117" s="6"/>
      <c r="K117" s="6"/>
      <c r="L117" s="15"/>
      <c r="M117" s="3"/>
      <c r="N117" s="3"/>
      <c r="O117" s="3"/>
    </row>
    <row r="118" spans="1:15" ht="18.75" customHeight="1" x14ac:dyDescent="0.25">
      <c r="A118" s="53"/>
      <c r="B118" s="54"/>
      <c r="C118" s="165"/>
      <c r="D118" s="166"/>
      <c r="E118" s="26"/>
      <c r="F118" s="6"/>
      <c r="G118" s="6"/>
      <c r="H118" s="167">
        <f t="shared" si="0"/>
        <v>0</v>
      </c>
      <c r="I118" s="168" t="s">
        <v>266</v>
      </c>
      <c r="J118" s="6"/>
      <c r="K118" s="6"/>
      <c r="L118" s="15"/>
      <c r="M118" s="3"/>
      <c r="N118" s="3"/>
      <c r="O118" s="3"/>
    </row>
    <row r="119" spans="1:15" ht="18.75" customHeight="1" x14ac:dyDescent="0.25">
      <c r="A119" s="53"/>
      <c r="B119" s="54"/>
      <c r="C119" s="165"/>
      <c r="D119" s="166"/>
      <c r="E119" s="26"/>
      <c r="F119" s="6"/>
      <c r="G119" s="6"/>
      <c r="H119" s="167">
        <f t="shared" si="0"/>
        <v>0</v>
      </c>
      <c r="I119" s="168" t="s">
        <v>266</v>
      </c>
      <c r="J119" s="6"/>
      <c r="K119" s="6"/>
      <c r="L119" s="15"/>
      <c r="M119" s="3"/>
      <c r="N119" s="3"/>
      <c r="O119" s="3"/>
    </row>
    <row r="120" spans="1:15" ht="18.75" customHeight="1" x14ac:dyDescent="0.25">
      <c r="A120" s="53"/>
      <c r="B120" s="54"/>
      <c r="C120" s="165"/>
      <c r="D120" s="166"/>
      <c r="E120" s="26"/>
      <c r="F120" s="6"/>
      <c r="G120" s="6"/>
      <c r="H120" s="167">
        <f t="shared" si="0"/>
        <v>0</v>
      </c>
      <c r="I120" s="168" t="s">
        <v>266</v>
      </c>
      <c r="J120" s="6"/>
      <c r="K120" s="6"/>
      <c r="L120" s="15"/>
      <c r="M120" s="3"/>
      <c r="N120" s="3"/>
      <c r="O120" s="3"/>
    </row>
    <row r="121" spans="1:15" ht="18.75" customHeight="1" x14ac:dyDescent="0.25">
      <c r="A121" s="53"/>
      <c r="B121" s="54"/>
      <c r="C121" s="165"/>
      <c r="D121" s="166"/>
      <c r="E121" s="26"/>
      <c r="F121" s="6"/>
      <c r="G121" s="6"/>
      <c r="H121" s="167">
        <f t="shared" si="0"/>
        <v>0</v>
      </c>
      <c r="I121" s="168" t="s">
        <v>266</v>
      </c>
      <c r="J121" s="6"/>
      <c r="K121" s="6"/>
      <c r="L121" s="15"/>
      <c r="M121" s="3"/>
      <c r="N121" s="3"/>
      <c r="O121" s="3"/>
    </row>
    <row r="122" spans="1:15" ht="18.75" customHeight="1" x14ac:dyDescent="0.25">
      <c r="A122" s="53"/>
      <c r="B122" s="54"/>
      <c r="C122" s="165"/>
      <c r="D122" s="166"/>
      <c r="E122" s="26"/>
      <c r="F122" s="6"/>
      <c r="G122" s="6"/>
      <c r="H122" s="167">
        <f t="shared" si="0"/>
        <v>0</v>
      </c>
      <c r="I122" s="168" t="s">
        <v>266</v>
      </c>
      <c r="J122" s="6"/>
      <c r="K122" s="6"/>
      <c r="L122" s="15"/>
      <c r="M122" s="3"/>
      <c r="N122" s="3"/>
      <c r="O122" s="3"/>
    </row>
    <row r="123" spans="1:15" ht="18.75" customHeight="1" x14ac:dyDescent="0.25">
      <c r="A123" s="53"/>
      <c r="B123" s="54"/>
      <c r="C123" s="165"/>
      <c r="D123" s="166"/>
      <c r="E123" s="26"/>
      <c r="F123" s="6"/>
      <c r="G123" s="6"/>
      <c r="H123" s="167">
        <f t="shared" si="0"/>
        <v>0</v>
      </c>
      <c r="I123" s="168" t="s">
        <v>266</v>
      </c>
      <c r="J123" s="6"/>
      <c r="K123" s="6"/>
      <c r="L123" s="15"/>
      <c r="M123" s="3"/>
      <c r="N123" s="3"/>
      <c r="O123" s="3"/>
    </row>
    <row r="124" spans="1:15" ht="18.75" customHeight="1" x14ac:dyDescent="0.25">
      <c r="A124" s="53"/>
      <c r="B124" s="54"/>
      <c r="C124" s="165"/>
      <c r="D124" s="166"/>
      <c r="E124" s="26"/>
      <c r="F124" s="6"/>
      <c r="G124" s="6"/>
      <c r="H124" s="167">
        <f t="shared" si="0"/>
        <v>0</v>
      </c>
      <c r="I124" s="168" t="s">
        <v>266</v>
      </c>
      <c r="J124" s="6"/>
      <c r="K124" s="6"/>
      <c r="L124" s="15"/>
      <c r="M124" s="3"/>
      <c r="N124" s="3"/>
      <c r="O124" s="3"/>
    </row>
    <row r="125" spans="1:15" ht="18.75" customHeight="1" x14ac:dyDescent="0.25">
      <c r="A125" s="53"/>
      <c r="B125" s="54"/>
      <c r="C125" s="165"/>
      <c r="D125" s="166"/>
      <c r="E125" s="26"/>
      <c r="F125" s="6"/>
      <c r="G125" s="6"/>
      <c r="H125" s="167">
        <f t="shared" si="0"/>
        <v>0</v>
      </c>
      <c r="I125" s="168" t="s">
        <v>266</v>
      </c>
      <c r="J125" s="6"/>
      <c r="K125" s="6"/>
      <c r="L125" s="15"/>
      <c r="M125" s="3"/>
      <c r="N125" s="3"/>
      <c r="O125" s="3"/>
    </row>
    <row r="126" spans="1:15" ht="18.75" customHeight="1" x14ac:dyDescent="0.25">
      <c r="A126" s="53"/>
      <c r="B126" s="54"/>
      <c r="C126" s="165"/>
      <c r="D126" s="166"/>
      <c r="E126" s="26"/>
      <c r="F126" s="6"/>
      <c r="G126" s="6"/>
      <c r="H126" s="167">
        <f t="shared" si="0"/>
        <v>0</v>
      </c>
      <c r="I126" s="168" t="s">
        <v>266</v>
      </c>
      <c r="J126" s="6"/>
      <c r="K126" s="6"/>
      <c r="L126" s="15"/>
      <c r="M126" s="3"/>
      <c r="N126" s="3"/>
      <c r="O126" s="3"/>
    </row>
    <row r="127" spans="1:15" ht="18.75" customHeight="1" x14ac:dyDescent="0.25">
      <c r="A127" s="53"/>
      <c r="B127" s="54"/>
      <c r="C127" s="165"/>
      <c r="D127" s="166"/>
      <c r="E127" s="26"/>
      <c r="F127" s="6"/>
      <c r="G127" s="6"/>
      <c r="H127" s="167">
        <f t="shared" si="0"/>
        <v>0</v>
      </c>
      <c r="I127" s="168" t="s">
        <v>266</v>
      </c>
      <c r="J127" s="6"/>
      <c r="K127" s="6"/>
      <c r="L127" s="15"/>
      <c r="M127" s="3"/>
      <c r="N127" s="3"/>
      <c r="O127" s="3"/>
    </row>
    <row r="128" spans="1:15" ht="18.75" customHeight="1" x14ac:dyDescent="0.25">
      <c r="A128" s="53"/>
      <c r="B128" s="54"/>
      <c r="C128" s="165"/>
      <c r="D128" s="166"/>
      <c r="E128" s="26"/>
      <c r="F128" s="6"/>
      <c r="G128" s="6"/>
      <c r="H128" s="167">
        <f t="shared" si="0"/>
        <v>0</v>
      </c>
      <c r="I128" s="168" t="s">
        <v>266</v>
      </c>
      <c r="J128" s="6"/>
      <c r="K128" s="6"/>
      <c r="L128" s="15"/>
      <c r="M128" s="3"/>
      <c r="N128" s="3"/>
      <c r="O128" s="3"/>
    </row>
    <row r="129" spans="1:15" ht="18.75" customHeight="1" x14ac:dyDescent="0.25">
      <c r="A129" s="53"/>
      <c r="B129" s="54"/>
      <c r="C129" s="165"/>
      <c r="D129" s="166"/>
      <c r="E129" s="26"/>
      <c r="F129" s="6"/>
      <c r="G129" s="6"/>
      <c r="H129" s="167">
        <f t="shared" si="0"/>
        <v>0</v>
      </c>
      <c r="I129" s="168" t="s">
        <v>266</v>
      </c>
      <c r="J129" s="6"/>
      <c r="K129" s="6"/>
      <c r="L129" s="15"/>
      <c r="M129" s="3"/>
      <c r="N129" s="3"/>
      <c r="O129" s="3"/>
    </row>
    <row r="130" spans="1:15" ht="18.75" customHeight="1" x14ac:dyDescent="0.25">
      <c r="A130" s="53"/>
      <c r="B130" s="54"/>
      <c r="C130" s="165"/>
      <c r="D130" s="166"/>
      <c r="E130" s="26"/>
      <c r="F130" s="6"/>
      <c r="G130" s="6"/>
      <c r="H130" s="167">
        <f t="shared" si="0"/>
        <v>0</v>
      </c>
      <c r="I130" s="168" t="s">
        <v>266</v>
      </c>
      <c r="J130" s="6"/>
      <c r="K130" s="6"/>
      <c r="L130" s="15"/>
      <c r="M130" s="3"/>
      <c r="N130" s="3"/>
      <c r="O130" s="3"/>
    </row>
    <row r="131" spans="1:15" ht="18.75" customHeight="1" x14ac:dyDescent="0.25">
      <c r="A131" s="53"/>
      <c r="B131" s="54"/>
      <c r="C131" s="165"/>
      <c r="D131" s="166"/>
      <c r="E131" s="26"/>
      <c r="F131" s="6"/>
      <c r="G131" s="6"/>
      <c r="H131" s="167">
        <f t="shared" si="0"/>
        <v>0</v>
      </c>
      <c r="I131" s="168" t="s">
        <v>266</v>
      </c>
      <c r="J131" s="6"/>
      <c r="K131" s="6"/>
      <c r="L131" s="15"/>
      <c r="M131" s="3"/>
      <c r="N131" s="3"/>
      <c r="O131" s="3"/>
    </row>
    <row r="132" spans="1:15" ht="18.75" customHeight="1" x14ac:dyDescent="0.25">
      <c r="A132" s="53"/>
      <c r="B132" s="54"/>
      <c r="C132" s="165"/>
      <c r="D132" s="166"/>
      <c r="E132" s="26"/>
      <c r="F132" s="6"/>
      <c r="G132" s="6"/>
      <c r="H132" s="167">
        <f t="shared" si="0"/>
        <v>0</v>
      </c>
      <c r="I132" s="168" t="s">
        <v>266</v>
      </c>
      <c r="J132" s="6"/>
      <c r="K132" s="6"/>
      <c r="L132" s="15"/>
      <c r="M132" s="3"/>
      <c r="N132" s="3"/>
      <c r="O132" s="3"/>
    </row>
    <row r="133" spans="1:15" ht="18.75" customHeight="1" x14ac:dyDescent="0.25">
      <c r="A133" s="53"/>
      <c r="B133" s="54"/>
      <c r="C133" s="165"/>
      <c r="D133" s="166"/>
      <c r="E133" s="26"/>
      <c r="F133" s="6"/>
      <c r="G133" s="6"/>
      <c r="H133" s="167">
        <f t="shared" si="0"/>
        <v>0</v>
      </c>
      <c r="I133" s="168" t="s">
        <v>266</v>
      </c>
      <c r="J133" s="6"/>
      <c r="K133" s="6"/>
      <c r="L133" s="15"/>
      <c r="M133" s="3"/>
      <c r="N133" s="3"/>
      <c r="O133" s="3"/>
    </row>
    <row r="134" spans="1:15" ht="18.75" customHeight="1" x14ac:dyDescent="0.25">
      <c r="A134" s="53"/>
      <c r="B134" s="54"/>
      <c r="C134" s="165"/>
      <c r="D134" s="166"/>
      <c r="E134" s="26"/>
      <c r="F134" s="6"/>
      <c r="G134" s="6"/>
      <c r="H134" s="167">
        <f t="shared" si="0"/>
        <v>0</v>
      </c>
      <c r="I134" s="168" t="s">
        <v>266</v>
      </c>
      <c r="J134" s="6"/>
      <c r="K134" s="6"/>
      <c r="L134" s="15"/>
      <c r="M134" s="3"/>
      <c r="N134" s="3"/>
      <c r="O134" s="3"/>
    </row>
    <row r="135" spans="1:15" ht="24.75" customHeight="1" x14ac:dyDescent="0.25">
      <c r="A135" s="53"/>
      <c r="B135" s="54"/>
      <c r="C135" s="165"/>
      <c r="D135" s="166"/>
      <c r="E135" s="26"/>
      <c r="F135" s="6"/>
      <c r="G135" s="6"/>
      <c r="H135" s="167">
        <f t="shared" si="0"/>
        <v>0</v>
      </c>
      <c r="I135" s="168" t="s">
        <v>266</v>
      </c>
      <c r="J135" s="6"/>
      <c r="K135" s="6"/>
      <c r="L135" s="15"/>
      <c r="M135" s="3"/>
      <c r="N135" s="3"/>
      <c r="O135" s="3"/>
    </row>
    <row r="136" spans="1:15" ht="18" customHeight="1" x14ac:dyDescent="0.25">
      <c r="A136" s="53"/>
      <c r="B136" s="54"/>
      <c r="C136" s="165"/>
      <c r="D136" s="166"/>
      <c r="E136" s="26"/>
      <c r="F136" s="6"/>
      <c r="G136" s="6"/>
      <c r="H136" s="167">
        <f t="shared" si="0"/>
        <v>0</v>
      </c>
      <c r="I136" s="168" t="s">
        <v>266</v>
      </c>
      <c r="J136" s="6"/>
      <c r="K136" s="6"/>
      <c r="L136" s="15"/>
      <c r="M136" s="1"/>
      <c r="N136" s="1"/>
      <c r="O136" s="1"/>
    </row>
    <row r="137" spans="1:15" ht="17.25" customHeight="1" thickBot="1" x14ac:dyDescent="0.3">
      <c r="A137" s="55"/>
      <c r="B137" s="56"/>
      <c r="C137" s="169"/>
      <c r="D137" s="170"/>
      <c r="E137" s="27"/>
      <c r="F137" s="16"/>
      <c r="G137" s="16"/>
      <c r="H137" s="171">
        <f t="shared" si="0"/>
        <v>0</v>
      </c>
      <c r="I137" s="172" t="s">
        <v>266</v>
      </c>
      <c r="J137" s="16"/>
      <c r="K137" s="16"/>
      <c r="L137" s="17"/>
      <c r="M137" s="1"/>
      <c r="N137" s="1"/>
      <c r="O137" s="1"/>
    </row>
    <row r="138" spans="1:15" ht="21.75" customHeight="1" thickBot="1" x14ac:dyDescent="0.35">
      <c r="A138" s="173" t="s">
        <v>287</v>
      </c>
      <c r="B138" s="174"/>
      <c r="C138" s="175"/>
      <c r="D138" s="175"/>
      <c r="E138" s="175"/>
      <c r="F138" s="175"/>
      <c r="G138" s="176">
        <f>SUM(H95:H137)</f>
        <v>0</v>
      </c>
      <c r="H138" s="177"/>
      <c r="I138" s="178"/>
      <c r="J138" s="175"/>
      <c r="K138" s="175"/>
      <c r="L138" s="179"/>
      <c r="M138" s="1"/>
      <c r="N138" s="1"/>
      <c r="O138" s="1"/>
    </row>
    <row r="139" spans="1:15" ht="18.75" customHeight="1" x14ac:dyDescent="0.25">
      <c r="A139" s="57" t="s">
        <v>280</v>
      </c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9"/>
      <c r="M139" s="1"/>
      <c r="N139" s="1"/>
      <c r="O139" s="1"/>
    </row>
    <row r="140" spans="1:15" ht="18.75" customHeight="1" x14ac:dyDescent="0.25">
      <c r="A140" s="60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2"/>
      <c r="M140" s="1"/>
      <c r="N140" s="1"/>
      <c r="O140" s="1"/>
    </row>
    <row r="141" spans="1:15" ht="18.75" customHeight="1" x14ac:dyDescent="0.25">
      <c r="A141" s="64" t="s">
        <v>272</v>
      </c>
      <c r="B141" s="50"/>
      <c r="C141" s="50"/>
      <c r="D141" s="50"/>
      <c r="E141" s="50" t="s">
        <v>271</v>
      </c>
      <c r="F141" s="50"/>
      <c r="G141" s="50" t="s">
        <v>270</v>
      </c>
      <c r="H141" s="50"/>
      <c r="I141" s="50" t="s">
        <v>21</v>
      </c>
      <c r="J141" s="50"/>
      <c r="K141" s="50" t="s">
        <v>22</v>
      </c>
      <c r="L141" s="63"/>
      <c r="M141" s="1"/>
      <c r="N141" s="1"/>
      <c r="O141" s="1"/>
    </row>
    <row r="142" spans="1:15" ht="18.75" customHeight="1" x14ac:dyDescent="0.25">
      <c r="A142" s="46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51"/>
      <c r="M142" s="1"/>
      <c r="N142" s="1"/>
      <c r="O142" s="1"/>
    </row>
    <row r="143" spans="1:15" ht="18.75" customHeight="1" x14ac:dyDescent="0.25">
      <c r="A143" s="46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51"/>
      <c r="M143" s="1"/>
      <c r="N143" s="1"/>
      <c r="O143" s="1"/>
    </row>
    <row r="144" spans="1:15" ht="18.75" customHeight="1" x14ac:dyDescent="0.25">
      <c r="A144" s="46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51"/>
      <c r="M144" s="1"/>
      <c r="N144" s="1"/>
      <c r="O144" s="1"/>
    </row>
    <row r="145" spans="1:15" ht="18.75" customHeight="1" x14ac:dyDescent="0.25">
      <c r="A145" s="46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51"/>
      <c r="M145" s="1"/>
      <c r="N145" s="1"/>
      <c r="O145" s="1"/>
    </row>
    <row r="146" spans="1:15" ht="18.75" customHeight="1" x14ac:dyDescent="0.25">
      <c r="A146" s="46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51"/>
      <c r="M146" s="1"/>
      <c r="N146" s="1"/>
      <c r="O146" s="1"/>
    </row>
    <row r="147" spans="1:15" ht="18.75" customHeight="1" x14ac:dyDescent="0.25">
      <c r="A147" s="46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51"/>
      <c r="M147" s="1"/>
      <c r="N147" s="1"/>
      <c r="O147" s="1"/>
    </row>
    <row r="148" spans="1:15" ht="18.75" customHeight="1" x14ac:dyDescent="0.25">
      <c r="A148" s="46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51"/>
      <c r="M148" s="1"/>
      <c r="N148" s="1"/>
      <c r="O148" s="1"/>
    </row>
    <row r="149" spans="1:15" ht="18.75" customHeight="1" x14ac:dyDescent="0.25">
      <c r="A149" s="46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51"/>
      <c r="M149" s="1"/>
      <c r="N149" s="1"/>
      <c r="O149" s="1"/>
    </row>
    <row r="150" spans="1:15" ht="18.75" customHeight="1" x14ac:dyDescent="0.25">
      <c r="A150" s="46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51"/>
      <c r="M150" s="1"/>
      <c r="N150" s="1"/>
      <c r="O150" s="1"/>
    </row>
    <row r="151" spans="1:15" ht="18.75" customHeight="1" x14ac:dyDescent="0.25">
      <c r="A151" s="46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51"/>
      <c r="M151" s="1"/>
      <c r="N151" s="1"/>
      <c r="O151" s="1"/>
    </row>
    <row r="152" spans="1:15" ht="18.75" customHeight="1" x14ac:dyDescent="0.25">
      <c r="A152" s="46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51"/>
      <c r="M152" s="1"/>
      <c r="N152" s="1"/>
      <c r="O152" s="1"/>
    </row>
    <row r="153" spans="1:15" ht="18.75" customHeight="1" x14ac:dyDescent="0.25">
      <c r="A153" s="46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51"/>
      <c r="M153" s="1"/>
      <c r="N153" s="1"/>
      <c r="O153" s="1"/>
    </row>
    <row r="154" spans="1:15" ht="18.75" customHeight="1" x14ac:dyDescent="0.25">
      <c r="A154" s="46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51"/>
      <c r="M154" s="1"/>
      <c r="N154" s="1"/>
      <c r="O154" s="1"/>
    </row>
    <row r="155" spans="1:15" ht="18.75" customHeight="1" x14ac:dyDescent="0.25">
      <c r="A155" s="46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51"/>
      <c r="M155" s="1"/>
      <c r="N155" s="1"/>
      <c r="O155" s="1"/>
    </row>
    <row r="156" spans="1:15" ht="18.75" customHeight="1" x14ac:dyDescent="0.25">
      <c r="A156" s="46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51"/>
      <c r="M156" s="1"/>
      <c r="N156" s="1"/>
      <c r="O156" s="1"/>
    </row>
    <row r="157" spans="1:15" ht="18.75" customHeight="1" x14ac:dyDescent="0.25">
      <c r="A157" s="46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51"/>
      <c r="M157" s="1"/>
      <c r="N157" s="1"/>
      <c r="O157" s="1"/>
    </row>
    <row r="158" spans="1:15" ht="18.75" customHeight="1" x14ac:dyDescent="0.25">
      <c r="A158" s="46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51"/>
      <c r="M158" s="1"/>
      <c r="N158" s="1"/>
      <c r="O158" s="1"/>
    </row>
    <row r="159" spans="1:15" ht="18.75" customHeight="1" x14ac:dyDescent="0.25">
      <c r="A159" s="46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51"/>
      <c r="M159" s="1"/>
      <c r="N159" s="1"/>
      <c r="O159" s="1"/>
    </row>
    <row r="160" spans="1:15" ht="18.75" customHeight="1" x14ac:dyDescent="0.25">
      <c r="A160" s="46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51"/>
      <c r="M160" s="1"/>
      <c r="N160" s="1"/>
      <c r="O160" s="1"/>
    </row>
    <row r="161" spans="1:15" ht="18.75" customHeight="1" x14ac:dyDescent="0.25">
      <c r="A161" s="46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51"/>
      <c r="M161" s="1"/>
      <c r="N161" s="1"/>
      <c r="O161" s="1"/>
    </row>
    <row r="162" spans="1:15" ht="18.75" customHeight="1" x14ac:dyDescent="0.25">
      <c r="A162" s="46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51"/>
      <c r="M162" s="1"/>
      <c r="N162" s="1"/>
      <c r="O162" s="1"/>
    </row>
    <row r="163" spans="1:15" ht="18.75" customHeight="1" x14ac:dyDescent="0.25">
      <c r="A163" s="46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51"/>
      <c r="M163" s="1"/>
      <c r="N163" s="1"/>
      <c r="O163" s="1"/>
    </row>
    <row r="164" spans="1:15" ht="18.75" customHeight="1" x14ac:dyDescent="0.25">
      <c r="A164" s="46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51"/>
      <c r="M164" s="1"/>
      <c r="N164" s="1"/>
      <c r="O164" s="1"/>
    </row>
    <row r="165" spans="1:15" ht="18.75" customHeight="1" x14ac:dyDescent="0.25">
      <c r="A165" s="46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51"/>
      <c r="M165" s="1"/>
      <c r="N165" s="1"/>
      <c r="O165" s="1"/>
    </row>
    <row r="166" spans="1:15" ht="18.75" customHeight="1" x14ac:dyDescent="0.25">
      <c r="A166" s="46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51"/>
      <c r="M166" s="1"/>
      <c r="N166" s="1"/>
      <c r="O166" s="1"/>
    </row>
    <row r="167" spans="1:15" ht="18.75" customHeight="1" x14ac:dyDescent="0.25">
      <c r="A167" s="46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51"/>
      <c r="M167" s="1"/>
      <c r="N167" s="1"/>
      <c r="O167" s="1"/>
    </row>
    <row r="168" spans="1:15" ht="18.75" customHeight="1" x14ac:dyDescent="0.25">
      <c r="A168" s="46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51"/>
      <c r="M168" s="1"/>
      <c r="N168" s="1"/>
      <c r="O168" s="1"/>
    </row>
    <row r="169" spans="1:15" ht="18.75" customHeight="1" x14ac:dyDescent="0.25">
      <c r="A169" s="46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51"/>
      <c r="M169" s="1"/>
      <c r="N169" s="1"/>
      <c r="O169" s="1"/>
    </row>
    <row r="170" spans="1:15" ht="18.75" customHeight="1" x14ac:dyDescent="0.25">
      <c r="A170" s="46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51"/>
      <c r="M170" s="1"/>
      <c r="N170" s="1"/>
      <c r="O170" s="1"/>
    </row>
    <row r="171" spans="1:15" ht="18.75" customHeight="1" x14ac:dyDescent="0.25">
      <c r="A171" s="46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51"/>
      <c r="M171" s="1"/>
      <c r="N171" s="1"/>
      <c r="O171" s="1"/>
    </row>
    <row r="172" spans="1:15" ht="18.75" customHeight="1" x14ac:dyDescent="0.25">
      <c r="A172" s="46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51"/>
      <c r="M172" s="1"/>
      <c r="N172" s="1"/>
      <c r="O172" s="1"/>
    </row>
    <row r="173" spans="1:15" ht="18.75" customHeight="1" x14ac:dyDescent="0.25">
      <c r="A173" s="46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51"/>
      <c r="M173" s="1"/>
      <c r="N173" s="1"/>
      <c r="O173" s="1"/>
    </row>
    <row r="174" spans="1:15" ht="18.75" customHeight="1" x14ac:dyDescent="0.25">
      <c r="A174" s="46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51"/>
      <c r="M174" s="1"/>
      <c r="N174" s="1"/>
      <c r="O174" s="1"/>
    </row>
    <row r="175" spans="1:15" ht="18.75" customHeight="1" x14ac:dyDescent="0.25">
      <c r="A175" s="46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51"/>
      <c r="M175" s="1"/>
      <c r="N175" s="1"/>
      <c r="O175" s="1"/>
    </row>
    <row r="176" spans="1:15" ht="18.75" customHeight="1" x14ac:dyDescent="0.25">
      <c r="A176" s="46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51"/>
      <c r="M176" s="1"/>
      <c r="N176" s="1"/>
      <c r="O176" s="1"/>
    </row>
    <row r="177" spans="1:15" ht="18.75" customHeight="1" x14ac:dyDescent="0.25">
      <c r="A177" s="46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51"/>
      <c r="M177" s="1"/>
      <c r="N177" s="1"/>
      <c r="O177" s="1"/>
    </row>
    <row r="178" spans="1:15" ht="18.75" customHeight="1" x14ac:dyDescent="0.25">
      <c r="A178" s="46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51"/>
      <c r="M178" s="1"/>
      <c r="N178" s="1"/>
      <c r="O178" s="1"/>
    </row>
    <row r="179" spans="1:15" ht="18.75" customHeight="1" x14ac:dyDescent="0.25">
      <c r="A179" s="46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51"/>
      <c r="M179" s="1"/>
      <c r="N179" s="1"/>
      <c r="O179" s="1"/>
    </row>
    <row r="180" spans="1:15" ht="18.75" customHeight="1" x14ac:dyDescent="0.25">
      <c r="A180" s="46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51"/>
      <c r="M180" s="1"/>
      <c r="N180" s="1"/>
      <c r="O180" s="1"/>
    </row>
    <row r="181" spans="1:15" ht="18.75" customHeight="1" x14ac:dyDescent="0.25">
      <c r="A181" s="46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51"/>
      <c r="M181" s="1"/>
      <c r="N181" s="1"/>
      <c r="O181" s="1"/>
    </row>
    <row r="182" spans="1:15" ht="18.75" customHeight="1" x14ac:dyDescent="0.25">
      <c r="A182" s="46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51"/>
      <c r="M182" s="1"/>
      <c r="N182" s="1"/>
      <c r="O182" s="1"/>
    </row>
    <row r="183" spans="1:15" ht="18.75" customHeight="1" x14ac:dyDescent="0.25">
      <c r="A183" s="46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51"/>
      <c r="M183" s="1"/>
      <c r="N183" s="1"/>
      <c r="O183" s="1"/>
    </row>
    <row r="184" spans="1:15" ht="18.75" customHeight="1" thickBot="1" x14ac:dyDescent="0.3">
      <c r="A184" s="48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52"/>
      <c r="M184" s="1"/>
      <c r="N184" s="1"/>
      <c r="O184" s="1"/>
    </row>
    <row r="185" spans="1:15" ht="18.75" customHeight="1" thickBot="1" x14ac:dyDescent="0.3">
      <c r="M185" s="1"/>
      <c r="N185" s="1"/>
      <c r="O185" s="1"/>
    </row>
    <row r="186" spans="1:15" ht="18.75" customHeight="1" x14ac:dyDescent="0.25">
      <c r="A186" s="39" t="s">
        <v>284</v>
      </c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1"/>
      <c r="M186" s="1"/>
      <c r="N186" s="1"/>
      <c r="O186" s="1"/>
    </row>
    <row r="187" spans="1:15" ht="18.75" customHeight="1" x14ac:dyDescent="0.25">
      <c r="A187" s="42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4"/>
      <c r="M187" s="1"/>
      <c r="N187" s="1"/>
      <c r="O187" s="1"/>
    </row>
    <row r="188" spans="1:15" ht="18.75" customHeight="1" x14ac:dyDescent="0.25">
      <c r="A188" s="45" t="s">
        <v>282</v>
      </c>
      <c r="B188" s="33"/>
      <c r="C188" s="33"/>
      <c r="D188" s="33"/>
      <c r="E188" s="34"/>
      <c r="F188" s="32" t="s">
        <v>283</v>
      </c>
      <c r="G188" s="33"/>
      <c r="H188" s="34"/>
      <c r="I188" s="32" t="s">
        <v>286</v>
      </c>
      <c r="J188" s="33"/>
      <c r="K188" s="34"/>
      <c r="L188" s="11" t="s">
        <v>285</v>
      </c>
      <c r="M188" s="1"/>
      <c r="N188" s="1"/>
      <c r="O188" s="1"/>
    </row>
    <row r="189" spans="1:15" ht="18.75" customHeight="1" x14ac:dyDescent="0.25">
      <c r="A189" s="38"/>
      <c r="B189" s="36"/>
      <c r="C189" s="36"/>
      <c r="D189" s="36"/>
      <c r="E189" s="37"/>
      <c r="F189" s="35"/>
      <c r="G189" s="36"/>
      <c r="H189" s="37"/>
      <c r="I189" s="35"/>
      <c r="J189" s="36"/>
      <c r="K189" s="37"/>
      <c r="L189" s="12"/>
      <c r="M189" s="1"/>
      <c r="N189" s="1"/>
      <c r="O189" s="1"/>
    </row>
    <row r="190" spans="1:15" ht="18.75" customHeight="1" x14ac:dyDescent="0.25">
      <c r="A190" s="38"/>
      <c r="B190" s="36"/>
      <c r="C190" s="36"/>
      <c r="D190" s="36"/>
      <c r="E190" s="37"/>
      <c r="F190" s="35"/>
      <c r="G190" s="36"/>
      <c r="H190" s="37"/>
      <c r="I190" s="35"/>
      <c r="J190" s="36"/>
      <c r="K190" s="37"/>
      <c r="L190" s="12"/>
      <c r="M190" s="1"/>
      <c r="N190" s="1"/>
      <c r="O190" s="1"/>
    </row>
    <row r="191" spans="1:15" ht="18.75" customHeight="1" x14ac:dyDescent="0.25">
      <c r="A191" s="38"/>
      <c r="B191" s="36"/>
      <c r="C191" s="36"/>
      <c r="D191" s="36"/>
      <c r="E191" s="37"/>
      <c r="F191" s="35"/>
      <c r="G191" s="36"/>
      <c r="H191" s="37"/>
      <c r="I191" s="35"/>
      <c r="J191" s="36"/>
      <c r="K191" s="37"/>
      <c r="L191" s="12"/>
      <c r="M191" s="1"/>
      <c r="N191" s="1"/>
      <c r="O191" s="1"/>
    </row>
    <row r="192" spans="1:15" ht="18.75" customHeight="1" x14ac:dyDescent="0.25">
      <c r="A192" s="38"/>
      <c r="B192" s="36"/>
      <c r="C192" s="36"/>
      <c r="D192" s="36"/>
      <c r="E192" s="37"/>
      <c r="F192" s="35"/>
      <c r="G192" s="36"/>
      <c r="H192" s="37"/>
      <c r="I192" s="35"/>
      <c r="J192" s="36"/>
      <c r="K192" s="37"/>
      <c r="L192" s="12"/>
      <c r="M192" s="1"/>
      <c r="N192" s="1"/>
      <c r="O192" s="1"/>
    </row>
    <row r="193" spans="1:15" ht="18.75" customHeight="1" x14ac:dyDescent="0.25">
      <c r="A193" s="38"/>
      <c r="B193" s="36"/>
      <c r="C193" s="36"/>
      <c r="D193" s="36"/>
      <c r="E193" s="37"/>
      <c r="F193" s="35"/>
      <c r="G193" s="36"/>
      <c r="H193" s="37"/>
      <c r="I193" s="35"/>
      <c r="J193" s="36"/>
      <c r="K193" s="37"/>
      <c r="L193" s="12"/>
      <c r="M193" s="1"/>
      <c r="N193" s="1"/>
      <c r="O193" s="1"/>
    </row>
    <row r="194" spans="1:15" ht="18.75" customHeight="1" x14ac:dyDescent="0.25">
      <c r="A194" s="38"/>
      <c r="B194" s="36"/>
      <c r="C194" s="36"/>
      <c r="D194" s="36"/>
      <c r="E194" s="37"/>
      <c r="F194" s="35"/>
      <c r="G194" s="36"/>
      <c r="H194" s="37"/>
      <c r="I194" s="35"/>
      <c r="J194" s="36"/>
      <c r="K194" s="37"/>
      <c r="L194" s="12"/>
      <c r="M194" s="1"/>
      <c r="N194" s="1"/>
      <c r="O194" s="1"/>
    </row>
    <row r="195" spans="1:15" ht="18.75" customHeight="1" x14ac:dyDescent="0.25">
      <c r="A195" s="38"/>
      <c r="B195" s="36"/>
      <c r="C195" s="36"/>
      <c r="D195" s="36"/>
      <c r="E195" s="37"/>
      <c r="F195" s="35"/>
      <c r="G195" s="36"/>
      <c r="H195" s="37"/>
      <c r="I195" s="35"/>
      <c r="J195" s="36"/>
      <c r="K195" s="37"/>
      <c r="L195" s="12"/>
      <c r="M195" s="1"/>
      <c r="N195" s="1"/>
      <c r="O195" s="1"/>
    </row>
    <row r="196" spans="1:15" ht="18.75" customHeight="1" x14ac:dyDescent="0.25">
      <c r="A196" s="38"/>
      <c r="B196" s="36"/>
      <c r="C196" s="36"/>
      <c r="D196" s="36"/>
      <c r="E196" s="37"/>
      <c r="F196" s="35"/>
      <c r="G196" s="36"/>
      <c r="H196" s="37"/>
      <c r="I196" s="35"/>
      <c r="J196" s="36"/>
      <c r="K196" s="37"/>
      <c r="L196" s="12"/>
      <c r="M196" s="1"/>
      <c r="N196" s="1"/>
      <c r="O196" s="1"/>
    </row>
    <row r="197" spans="1:15" ht="18.75" customHeight="1" x14ac:dyDescent="0.25">
      <c r="A197" s="38"/>
      <c r="B197" s="36"/>
      <c r="C197" s="36"/>
      <c r="D197" s="36"/>
      <c r="E197" s="37"/>
      <c r="F197" s="35"/>
      <c r="G197" s="36"/>
      <c r="H197" s="37"/>
      <c r="I197" s="35"/>
      <c r="J197" s="36"/>
      <c r="K197" s="37"/>
      <c r="L197" s="12"/>
      <c r="M197" s="1"/>
      <c r="N197" s="1"/>
      <c r="O197" s="1"/>
    </row>
    <row r="198" spans="1:15" ht="18.75" customHeight="1" x14ac:dyDescent="0.25">
      <c r="A198" s="38"/>
      <c r="B198" s="36"/>
      <c r="C198" s="36"/>
      <c r="D198" s="36"/>
      <c r="E198" s="37"/>
      <c r="F198" s="35"/>
      <c r="G198" s="36"/>
      <c r="H198" s="37"/>
      <c r="I198" s="35"/>
      <c r="J198" s="36"/>
      <c r="K198" s="37"/>
      <c r="L198" s="12"/>
      <c r="M198" s="1"/>
      <c r="N198" s="1"/>
      <c r="O198" s="1"/>
    </row>
    <row r="199" spans="1:15" ht="18.75" customHeight="1" x14ac:dyDescent="0.25">
      <c r="A199" s="38"/>
      <c r="B199" s="36"/>
      <c r="C199" s="36"/>
      <c r="D199" s="36"/>
      <c r="E199" s="37"/>
      <c r="F199" s="35"/>
      <c r="G199" s="36"/>
      <c r="H199" s="37"/>
      <c r="I199" s="35"/>
      <c r="J199" s="36"/>
      <c r="K199" s="37"/>
      <c r="L199" s="12"/>
      <c r="M199" s="1"/>
      <c r="N199" s="1"/>
      <c r="O199" s="1"/>
    </row>
    <row r="200" spans="1:15" ht="18.75" customHeight="1" x14ac:dyDescent="0.25">
      <c r="A200" s="38"/>
      <c r="B200" s="36"/>
      <c r="C200" s="36"/>
      <c r="D200" s="36"/>
      <c r="E200" s="37"/>
      <c r="F200" s="35"/>
      <c r="G200" s="36"/>
      <c r="H200" s="37"/>
      <c r="I200" s="35"/>
      <c r="J200" s="36"/>
      <c r="K200" s="37"/>
      <c r="L200" s="12"/>
      <c r="M200" s="1"/>
      <c r="N200" s="1"/>
      <c r="O200" s="1"/>
    </row>
    <row r="201" spans="1:15" ht="18.75" customHeight="1" x14ac:dyDescent="0.25">
      <c r="A201" s="38"/>
      <c r="B201" s="36"/>
      <c r="C201" s="36"/>
      <c r="D201" s="36"/>
      <c r="E201" s="37"/>
      <c r="F201" s="35"/>
      <c r="G201" s="36"/>
      <c r="H201" s="37"/>
      <c r="I201" s="35"/>
      <c r="J201" s="36"/>
      <c r="K201" s="37"/>
      <c r="L201" s="12"/>
      <c r="M201" s="1"/>
      <c r="N201" s="1"/>
      <c r="O201" s="1"/>
    </row>
    <row r="202" spans="1:15" ht="18.75" customHeight="1" x14ac:dyDescent="0.25">
      <c r="A202" s="38"/>
      <c r="B202" s="36"/>
      <c r="C202" s="36"/>
      <c r="D202" s="36"/>
      <c r="E202" s="37"/>
      <c r="F202" s="35"/>
      <c r="G202" s="36"/>
      <c r="H202" s="37"/>
      <c r="I202" s="35"/>
      <c r="J202" s="36"/>
      <c r="K202" s="37"/>
      <c r="L202" s="12"/>
      <c r="M202" s="1"/>
      <c r="N202" s="1"/>
      <c r="O202" s="1"/>
    </row>
    <row r="203" spans="1:15" ht="18.75" customHeight="1" thickBot="1" x14ac:dyDescent="0.3">
      <c r="A203" s="28"/>
      <c r="B203" s="29"/>
      <c r="C203" s="29"/>
      <c r="D203" s="29"/>
      <c r="E203" s="30"/>
      <c r="F203" s="31"/>
      <c r="G203" s="29"/>
      <c r="H203" s="30"/>
      <c r="I203" s="31"/>
      <c r="J203" s="29"/>
      <c r="K203" s="30"/>
      <c r="L203" s="14"/>
      <c r="M203" s="1"/>
      <c r="N203" s="1"/>
      <c r="O203" s="1"/>
    </row>
    <row r="204" spans="1:15" ht="18.75" customHeight="1" thickBot="1" x14ac:dyDescent="0.3">
      <c r="M204" s="1"/>
      <c r="N204" s="1"/>
      <c r="O204" s="1"/>
    </row>
    <row r="205" spans="1:15" ht="18.75" customHeight="1" x14ac:dyDescent="0.25">
      <c r="A205" s="159" t="s">
        <v>288</v>
      </c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6"/>
      <c r="M205" s="1"/>
      <c r="N205" s="1"/>
      <c r="O205" s="1"/>
    </row>
    <row r="206" spans="1:15" ht="18.75" customHeight="1" x14ac:dyDescent="0.25">
      <c r="A206" s="67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9"/>
      <c r="M206" s="1"/>
      <c r="N206" s="1"/>
      <c r="O206" s="1"/>
    </row>
    <row r="207" spans="1:15" ht="18.75" customHeight="1" x14ac:dyDescent="0.25">
      <c r="A207" s="180" t="s">
        <v>289</v>
      </c>
      <c r="B207" s="181"/>
      <c r="C207" s="182" t="s">
        <v>290</v>
      </c>
      <c r="D207" s="183" t="s">
        <v>291</v>
      </c>
      <c r="E207" s="150"/>
      <c r="F207" s="150"/>
      <c r="G207" s="150"/>
      <c r="H207" s="150"/>
      <c r="I207" s="150"/>
      <c r="J207" s="181"/>
      <c r="K207" s="139" t="s">
        <v>292</v>
      </c>
      <c r="L207" s="143"/>
      <c r="M207" s="1"/>
      <c r="N207" s="1"/>
      <c r="O207" s="1"/>
    </row>
    <row r="208" spans="1:15" ht="18.75" customHeight="1" x14ac:dyDescent="0.25">
      <c r="A208" s="184"/>
      <c r="B208" s="185"/>
      <c r="C208" s="186"/>
      <c r="D208" s="187"/>
      <c r="E208" s="188"/>
      <c r="F208" s="188"/>
      <c r="G208" s="188"/>
      <c r="H208" s="188"/>
      <c r="I208" s="188"/>
      <c r="J208" s="185"/>
      <c r="K208" s="189" t="s">
        <v>293</v>
      </c>
      <c r="L208" s="143"/>
      <c r="M208" s="1"/>
      <c r="N208" s="1"/>
      <c r="O208" s="1"/>
    </row>
    <row r="209" spans="1:15" ht="18.75" customHeight="1" x14ac:dyDescent="0.25">
      <c r="A209" s="190"/>
      <c r="B209" s="191"/>
      <c r="C209" s="192"/>
      <c r="D209" s="193"/>
      <c r="E209" s="156"/>
      <c r="F209" s="156"/>
      <c r="G209" s="156"/>
      <c r="H209" s="156"/>
      <c r="I209" s="156"/>
      <c r="J209" s="191"/>
      <c r="K209" s="194" t="s">
        <v>21</v>
      </c>
      <c r="L209" s="195" t="s">
        <v>22</v>
      </c>
      <c r="M209" s="1"/>
      <c r="N209" s="1"/>
      <c r="O209" s="1"/>
    </row>
    <row r="210" spans="1:15" ht="18.75" customHeight="1" x14ac:dyDescent="0.25">
      <c r="A210" s="196"/>
      <c r="B210" s="140"/>
      <c r="C210" s="197"/>
      <c r="D210" s="198" t="s">
        <v>294</v>
      </c>
      <c r="E210" s="142"/>
      <c r="F210" s="142"/>
      <c r="G210" s="142"/>
      <c r="H210" s="142"/>
      <c r="I210" s="142"/>
      <c r="J210" s="140"/>
      <c r="K210" s="199"/>
      <c r="L210" s="200"/>
      <c r="M210" s="1"/>
      <c r="N210" s="1"/>
      <c r="O210" s="1"/>
    </row>
    <row r="211" spans="1:15" ht="18.75" customHeight="1" x14ac:dyDescent="0.25">
      <c r="A211" s="196"/>
      <c r="B211" s="140"/>
      <c r="C211" s="197"/>
      <c r="D211" s="198" t="s">
        <v>294</v>
      </c>
      <c r="E211" s="142"/>
      <c r="F211" s="142"/>
      <c r="G211" s="142"/>
      <c r="H211" s="142"/>
      <c r="I211" s="142"/>
      <c r="J211" s="140"/>
      <c r="K211" s="199"/>
      <c r="L211" s="200"/>
      <c r="M211" s="1"/>
      <c r="N211" s="1"/>
      <c r="O211" s="1"/>
    </row>
    <row r="212" spans="1:15" ht="18.75" customHeight="1" x14ac:dyDescent="0.25">
      <c r="A212" s="196"/>
      <c r="B212" s="140"/>
      <c r="C212" s="197"/>
      <c r="D212" s="198" t="s">
        <v>294</v>
      </c>
      <c r="E212" s="142"/>
      <c r="F212" s="142"/>
      <c r="G212" s="142"/>
      <c r="H212" s="142"/>
      <c r="I212" s="142"/>
      <c r="J212" s="140"/>
      <c r="K212" s="199"/>
      <c r="L212" s="200"/>
      <c r="M212" s="1"/>
      <c r="N212" s="1"/>
      <c r="O212" s="1"/>
    </row>
    <row r="213" spans="1:15" ht="18.75" customHeight="1" x14ac:dyDescent="0.25">
      <c r="A213" s="196"/>
      <c r="B213" s="140"/>
      <c r="C213" s="197"/>
      <c r="D213" s="198" t="s">
        <v>294</v>
      </c>
      <c r="E213" s="142"/>
      <c r="F213" s="142"/>
      <c r="G213" s="142"/>
      <c r="H213" s="142"/>
      <c r="I213" s="142"/>
      <c r="J213" s="140"/>
      <c r="K213" s="199"/>
      <c r="L213" s="200"/>
      <c r="M213" s="1"/>
      <c r="N213" s="1"/>
      <c r="O213" s="1"/>
    </row>
    <row r="214" spans="1:15" ht="18.75" customHeight="1" x14ac:dyDescent="0.25">
      <c r="A214" s="196"/>
      <c r="B214" s="140"/>
      <c r="C214" s="197"/>
      <c r="D214" s="198" t="s">
        <v>294</v>
      </c>
      <c r="E214" s="142"/>
      <c r="F214" s="142"/>
      <c r="G214" s="142"/>
      <c r="H214" s="142"/>
      <c r="I214" s="142"/>
      <c r="J214" s="140"/>
      <c r="K214" s="199"/>
      <c r="L214" s="200"/>
      <c r="M214" s="1"/>
      <c r="N214" s="1"/>
      <c r="O214" s="1"/>
    </row>
    <row r="215" spans="1:15" ht="18.75" customHeight="1" x14ac:dyDescent="0.25">
      <c r="A215" s="196"/>
      <c r="B215" s="140"/>
      <c r="C215" s="197"/>
      <c r="D215" s="198" t="s">
        <v>294</v>
      </c>
      <c r="E215" s="142"/>
      <c r="F215" s="142"/>
      <c r="G215" s="142"/>
      <c r="H215" s="142"/>
      <c r="I215" s="142"/>
      <c r="J215" s="140"/>
      <c r="K215" s="199"/>
      <c r="L215" s="200"/>
      <c r="M215" s="1"/>
      <c r="N215" s="1"/>
      <c r="O215" s="1"/>
    </row>
    <row r="216" spans="1:15" ht="18.75" customHeight="1" x14ac:dyDescent="0.25">
      <c r="A216" s="196"/>
      <c r="B216" s="140"/>
      <c r="C216" s="197"/>
      <c r="D216" s="198" t="s">
        <v>294</v>
      </c>
      <c r="E216" s="142"/>
      <c r="F216" s="142"/>
      <c r="G216" s="142"/>
      <c r="H216" s="142"/>
      <c r="I216" s="142"/>
      <c r="J216" s="140"/>
      <c r="K216" s="199"/>
      <c r="L216" s="200"/>
      <c r="M216" s="1"/>
      <c r="N216" s="1"/>
      <c r="O216" s="1"/>
    </row>
    <row r="217" spans="1:15" ht="18.75" customHeight="1" x14ac:dyDescent="0.25">
      <c r="A217" s="196"/>
      <c r="B217" s="140"/>
      <c r="C217" s="197"/>
      <c r="D217" s="198" t="s">
        <v>294</v>
      </c>
      <c r="E217" s="142"/>
      <c r="F217" s="142"/>
      <c r="G217" s="142"/>
      <c r="H217" s="142"/>
      <c r="I217" s="142"/>
      <c r="J217" s="140"/>
      <c r="K217" s="199"/>
      <c r="L217" s="200"/>
      <c r="M217" s="1"/>
      <c r="N217" s="1"/>
      <c r="O217" s="1"/>
    </row>
    <row r="218" spans="1:15" ht="18.75" customHeight="1" x14ac:dyDescent="0.25">
      <c r="A218" s="196"/>
      <c r="B218" s="140"/>
      <c r="C218" s="197"/>
      <c r="D218" s="198" t="s">
        <v>294</v>
      </c>
      <c r="E218" s="142"/>
      <c r="F218" s="142"/>
      <c r="G218" s="142"/>
      <c r="H218" s="142"/>
      <c r="I218" s="142"/>
      <c r="J218" s="140"/>
      <c r="K218" s="199"/>
      <c r="L218" s="200"/>
      <c r="M218" s="1"/>
      <c r="N218" s="1"/>
      <c r="O218" s="1"/>
    </row>
    <row r="219" spans="1:15" ht="18.75" customHeight="1" x14ac:dyDescent="0.25">
      <c r="A219" s="196"/>
      <c r="B219" s="140"/>
      <c r="C219" s="197"/>
      <c r="D219" s="198" t="s">
        <v>294</v>
      </c>
      <c r="E219" s="142"/>
      <c r="F219" s="142"/>
      <c r="G219" s="142"/>
      <c r="H219" s="142"/>
      <c r="I219" s="142"/>
      <c r="J219" s="140"/>
      <c r="K219" s="199"/>
      <c r="L219" s="200"/>
      <c r="M219" s="1"/>
      <c r="N219" s="1"/>
      <c r="O219" s="1"/>
    </row>
    <row r="220" spans="1:15" ht="18.75" customHeight="1" x14ac:dyDescent="0.25">
      <c r="A220" s="196"/>
      <c r="B220" s="140"/>
      <c r="C220" s="197"/>
      <c r="D220" s="198" t="s">
        <v>294</v>
      </c>
      <c r="E220" s="142"/>
      <c r="F220" s="142"/>
      <c r="G220" s="142"/>
      <c r="H220" s="142"/>
      <c r="I220" s="142"/>
      <c r="J220" s="140"/>
      <c r="K220" s="199"/>
      <c r="L220" s="200"/>
      <c r="M220" s="1"/>
      <c r="N220" s="1"/>
      <c r="O220" s="1"/>
    </row>
    <row r="221" spans="1:15" ht="18.75" customHeight="1" x14ac:dyDescent="0.25">
      <c r="A221" s="196"/>
      <c r="B221" s="140"/>
      <c r="C221" s="197"/>
      <c r="D221" s="198" t="s">
        <v>294</v>
      </c>
      <c r="E221" s="142"/>
      <c r="F221" s="142"/>
      <c r="G221" s="142"/>
      <c r="H221" s="142"/>
      <c r="I221" s="142"/>
      <c r="J221" s="140"/>
      <c r="K221" s="199"/>
      <c r="L221" s="200"/>
      <c r="M221" s="1"/>
      <c r="N221" s="1"/>
      <c r="O221" s="1"/>
    </row>
    <row r="222" spans="1:15" ht="18.75" customHeight="1" thickBot="1" x14ac:dyDescent="0.3">
      <c r="A222" s="201"/>
      <c r="B222" s="136"/>
      <c r="C222" s="202"/>
      <c r="D222" s="203" t="s">
        <v>294</v>
      </c>
      <c r="E222" s="135"/>
      <c r="F222" s="135"/>
      <c r="G222" s="135"/>
      <c r="H222" s="135"/>
      <c r="I222" s="135"/>
      <c r="J222" s="136"/>
      <c r="K222" s="204"/>
      <c r="L222" s="205"/>
      <c r="M222" s="1"/>
      <c r="N222" s="1"/>
      <c r="O222" s="1"/>
    </row>
    <row r="223" spans="1:15" ht="18.75" customHeight="1" thickBot="1" x14ac:dyDescent="0.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1"/>
      <c r="N223" s="1"/>
      <c r="O223" s="1"/>
    </row>
    <row r="224" spans="1:15" ht="18.75" customHeight="1" x14ac:dyDescent="0.25">
      <c r="A224" s="206" t="s">
        <v>295</v>
      </c>
      <c r="B224" s="207"/>
      <c r="C224" s="207"/>
      <c r="D224" s="207"/>
      <c r="E224" s="207"/>
      <c r="F224" s="207"/>
      <c r="G224" s="207"/>
      <c r="H224" s="207"/>
      <c r="I224" s="207"/>
      <c r="J224" s="207"/>
      <c r="K224" s="207"/>
      <c r="L224" s="208"/>
      <c r="M224" s="1"/>
      <c r="N224" s="1"/>
      <c r="O224" s="1"/>
    </row>
    <row r="225" spans="1:15" ht="18.75" customHeight="1" x14ac:dyDescent="0.25">
      <c r="A225" s="209"/>
      <c r="B225" s="210"/>
      <c r="C225" s="210"/>
      <c r="D225" s="210"/>
      <c r="E225" s="210"/>
      <c r="F225" s="210"/>
      <c r="G225" s="210"/>
      <c r="H225" s="210"/>
      <c r="I225" s="210"/>
      <c r="J225" s="210"/>
      <c r="K225" s="210"/>
      <c r="L225" s="211"/>
      <c r="M225" s="1"/>
      <c r="N225" s="1"/>
      <c r="O225" s="1"/>
    </row>
    <row r="226" spans="1:15" ht="18.75" customHeight="1" x14ac:dyDescent="0.25">
      <c r="A226" s="212" t="s">
        <v>296</v>
      </c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3"/>
      <c r="M226" s="1"/>
      <c r="N226" s="1"/>
      <c r="O226" s="1"/>
    </row>
    <row r="227" spans="1:15" ht="18.75" customHeight="1" x14ac:dyDescent="0.25">
      <c r="A227" s="213" t="s">
        <v>297</v>
      </c>
      <c r="B227" s="198" t="s">
        <v>298</v>
      </c>
      <c r="C227" s="142"/>
      <c r="D227" s="142"/>
      <c r="E227" s="142"/>
      <c r="F227" s="142"/>
      <c r="G227" s="142"/>
      <c r="H227" s="142"/>
      <c r="I227" s="142"/>
      <c r="J227" s="142"/>
      <c r="K227" s="142"/>
      <c r="L227" s="143"/>
      <c r="M227" s="1"/>
      <c r="N227" s="1"/>
      <c r="O227" s="1"/>
    </row>
    <row r="228" spans="1:15" ht="18.75" customHeight="1" x14ac:dyDescent="0.25">
      <c r="A228" s="213" t="s">
        <v>297</v>
      </c>
      <c r="B228" s="198" t="s">
        <v>298</v>
      </c>
      <c r="C228" s="142"/>
      <c r="D228" s="142"/>
      <c r="E228" s="142"/>
      <c r="F228" s="142"/>
      <c r="G228" s="142"/>
      <c r="H228" s="142"/>
      <c r="I228" s="142"/>
      <c r="J228" s="142"/>
      <c r="K228" s="142"/>
      <c r="L228" s="143"/>
      <c r="M228" s="1"/>
      <c r="N228" s="1"/>
      <c r="O228" s="1"/>
    </row>
    <row r="229" spans="1:15" ht="18.75" customHeight="1" x14ac:dyDescent="0.25">
      <c r="A229" s="213" t="s">
        <v>297</v>
      </c>
      <c r="B229" s="198" t="s">
        <v>298</v>
      </c>
      <c r="C229" s="142"/>
      <c r="D229" s="142"/>
      <c r="E229" s="142"/>
      <c r="F229" s="142"/>
      <c r="G229" s="142"/>
      <c r="H229" s="142"/>
      <c r="I229" s="142"/>
      <c r="J229" s="142"/>
      <c r="K229" s="142"/>
      <c r="L229" s="143"/>
      <c r="M229" s="1"/>
      <c r="N229" s="1"/>
      <c r="O229" s="1"/>
    </row>
    <row r="230" spans="1:15" ht="18.75" customHeight="1" x14ac:dyDescent="0.25">
      <c r="A230" s="213" t="s">
        <v>297</v>
      </c>
      <c r="B230" s="198" t="s">
        <v>298</v>
      </c>
      <c r="C230" s="142"/>
      <c r="D230" s="142"/>
      <c r="E230" s="142"/>
      <c r="F230" s="142"/>
      <c r="G230" s="142"/>
      <c r="H230" s="142"/>
      <c r="I230" s="142"/>
      <c r="J230" s="142"/>
      <c r="K230" s="142"/>
      <c r="L230" s="143"/>
      <c r="M230" s="1"/>
      <c r="N230" s="1"/>
      <c r="O230" s="1"/>
    </row>
    <row r="231" spans="1:15" ht="18.75" customHeight="1" x14ac:dyDescent="0.25">
      <c r="A231" s="213" t="s">
        <v>297</v>
      </c>
      <c r="B231" s="198" t="s">
        <v>298</v>
      </c>
      <c r="C231" s="142"/>
      <c r="D231" s="142"/>
      <c r="E231" s="142"/>
      <c r="F231" s="142"/>
      <c r="G231" s="142"/>
      <c r="H231" s="142"/>
      <c r="I231" s="142"/>
      <c r="J231" s="142"/>
      <c r="K231" s="142"/>
      <c r="L231" s="143"/>
      <c r="M231" s="1"/>
      <c r="N231" s="1"/>
      <c r="O231" s="1"/>
    </row>
    <row r="232" spans="1:15" ht="18.75" customHeight="1" x14ac:dyDescent="0.25">
      <c r="A232" s="213" t="s">
        <v>297</v>
      </c>
      <c r="B232" s="198" t="s">
        <v>298</v>
      </c>
      <c r="C232" s="142"/>
      <c r="D232" s="142"/>
      <c r="E232" s="142"/>
      <c r="F232" s="142"/>
      <c r="G232" s="142"/>
      <c r="H232" s="142"/>
      <c r="I232" s="142"/>
      <c r="J232" s="142"/>
      <c r="K232" s="142"/>
      <c r="L232" s="143"/>
      <c r="M232" s="1"/>
      <c r="N232" s="1"/>
      <c r="O232" s="1"/>
    </row>
    <row r="233" spans="1:15" ht="18.75" customHeight="1" x14ac:dyDescent="0.25">
      <c r="A233" s="213" t="s">
        <v>297</v>
      </c>
      <c r="B233" s="198" t="s">
        <v>298</v>
      </c>
      <c r="C233" s="142"/>
      <c r="D233" s="142"/>
      <c r="E233" s="142"/>
      <c r="F233" s="142"/>
      <c r="G233" s="142"/>
      <c r="H233" s="142"/>
      <c r="I233" s="142"/>
      <c r="J233" s="142"/>
      <c r="K233" s="142"/>
      <c r="L233" s="143"/>
      <c r="M233" s="1"/>
      <c r="N233" s="1"/>
      <c r="O233" s="1"/>
    </row>
    <row r="234" spans="1:15" ht="18.75" customHeight="1" x14ac:dyDescent="0.25">
      <c r="A234" s="213" t="s">
        <v>297</v>
      </c>
      <c r="B234" s="198" t="s">
        <v>298</v>
      </c>
      <c r="C234" s="142"/>
      <c r="D234" s="142"/>
      <c r="E234" s="142"/>
      <c r="F234" s="142"/>
      <c r="G234" s="142"/>
      <c r="H234" s="142"/>
      <c r="I234" s="142"/>
      <c r="J234" s="142"/>
      <c r="K234" s="142"/>
      <c r="L234" s="143"/>
      <c r="M234" s="1"/>
      <c r="N234" s="1"/>
      <c r="O234" s="1"/>
    </row>
    <row r="235" spans="1:15" ht="18.75" customHeight="1" x14ac:dyDescent="0.25">
      <c r="A235" s="213" t="s">
        <v>297</v>
      </c>
      <c r="B235" s="198" t="s">
        <v>298</v>
      </c>
      <c r="C235" s="142"/>
      <c r="D235" s="142"/>
      <c r="E235" s="142"/>
      <c r="F235" s="142"/>
      <c r="G235" s="142"/>
      <c r="H235" s="142"/>
      <c r="I235" s="142"/>
      <c r="J235" s="142"/>
      <c r="K235" s="142"/>
      <c r="L235" s="143"/>
      <c r="M235" s="1"/>
      <c r="N235" s="1"/>
      <c r="O235" s="1"/>
    </row>
    <row r="236" spans="1:15" ht="18.75" customHeight="1" x14ac:dyDescent="0.25">
      <c r="A236" s="213" t="s">
        <v>297</v>
      </c>
      <c r="B236" s="198" t="s">
        <v>298</v>
      </c>
      <c r="C236" s="142"/>
      <c r="D236" s="142"/>
      <c r="E236" s="142"/>
      <c r="F236" s="142"/>
      <c r="G236" s="142"/>
      <c r="H236" s="142"/>
      <c r="I236" s="142"/>
      <c r="J236" s="142"/>
      <c r="K236" s="142"/>
      <c r="L236" s="143"/>
      <c r="M236" s="1"/>
      <c r="N236" s="1"/>
      <c r="O236" s="1"/>
    </row>
    <row r="237" spans="1:15" ht="18.75" customHeight="1" x14ac:dyDescent="0.25">
      <c r="A237" s="213" t="s">
        <v>297</v>
      </c>
      <c r="B237" s="198" t="s">
        <v>298</v>
      </c>
      <c r="C237" s="142"/>
      <c r="D237" s="142"/>
      <c r="E237" s="142"/>
      <c r="F237" s="142"/>
      <c r="G237" s="142"/>
      <c r="H237" s="142"/>
      <c r="I237" s="142"/>
      <c r="J237" s="142"/>
      <c r="K237" s="142"/>
      <c r="L237" s="143"/>
      <c r="M237" s="1"/>
      <c r="N237" s="1"/>
      <c r="O237" s="1"/>
    </row>
    <row r="238" spans="1:15" ht="18.75" customHeight="1" x14ac:dyDescent="0.25">
      <c r="A238" s="213" t="s">
        <v>297</v>
      </c>
      <c r="B238" s="198" t="s">
        <v>298</v>
      </c>
      <c r="C238" s="142"/>
      <c r="D238" s="142"/>
      <c r="E238" s="142"/>
      <c r="F238" s="142"/>
      <c r="G238" s="142"/>
      <c r="H238" s="142"/>
      <c r="I238" s="142"/>
      <c r="J238" s="142"/>
      <c r="K238" s="142"/>
      <c r="L238" s="143"/>
      <c r="M238" s="1"/>
      <c r="N238" s="1"/>
      <c r="O238" s="1"/>
    </row>
    <row r="239" spans="1:15" ht="18.75" customHeight="1" x14ac:dyDescent="0.25">
      <c r="A239" s="213" t="s">
        <v>297</v>
      </c>
      <c r="B239" s="198" t="s">
        <v>298</v>
      </c>
      <c r="C239" s="142"/>
      <c r="D239" s="142"/>
      <c r="E239" s="142"/>
      <c r="F239" s="142"/>
      <c r="G239" s="142"/>
      <c r="H239" s="142"/>
      <c r="I239" s="142"/>
      <c r="J239" s="142"/>
      <c r="K239" s="142"/>
      <c r="L239" s="143"/>
      <c r="M239" s="1"/>
      <c r="N239" s="1"/>
      <c r="O239" s="1"/>
    </row>
    <row r="240" spans="1:15" ht="18.75" customHeight="1" thickBot="1" x14ac:dyDescent="0.3">
      <c r="A240" s="214" t="s">
        <v>297</v>
      </c>
      <c r="B240" s="203" t="s">
        <v>298</v>
      </c>
      <c r="C240" s="135"/>
      <c r="D240" s="135"/>
      <c r="E240" s="135"/>
      <c r="F240" s="135"/>
      <c r="G240" s="135"/>
      <c r="H240" s="135"/>
      <c r="I240" s="135"/>
      <c r="J240" s="135"/>
      <c r="K240" s="135"/>
      <c r="L240" s="138"/>
      <c r="M240" s="1"/>
      <c r="N240" s="1"/>
      <c r="O240" s="1"/>
    </row>
    <row r="241" spans="1:15" ht="18.75" customHeight="1" thickBot="1" x14ac:dyDescent="0.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1"/>
      <c r="N241" s="1"/>
      <c r="O241" s="1"/>
    </row>
    <row r="242" spans="1:15" ht="18.75" customHeight="1" thickBot="1" x14ac:dyDescent="0.3">
      <c r="A242" s="215" t="s">
        <v>299</v>
      </c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7"/>
      <c r="M242" s="1"/>
      <c r="N242" s="1"/>
      <c r="O242" s="1"/>
    </row>
    <row r="243" spans="1:15" ht="18.75" customHeight="1" thickBot="1" x14ac:dyDescent="0.3">
      <c r="A243" s="218" t="s">
        <v>300</v>
      </c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20"/>
      <c r="M243" s="1"/>
      <c r="N243" s="1"/>
      <c r="O243" s="1"/>
    </row>
    <row r="244" spans="1:15" ht="18.75" customHeight="1" x14ac:dyDescent="0.25">
      <c r="A244" s="221" t="s">
        <v>301</v>
      </c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3"/>
      <c r="M244" s="1"/>
      <c r="N244" s="1"/>
      <c r="O244" s="1"/>
    </row>
    <row r="245" spans="1:15" ht="18.75" customHeight="1" thickBot="1" x14ac:dyDescent="0.3">
      <c r="A245" s="224"/>
      <c r="B245" s="225"/>
      <c r="C245" s="225"/>
      <c r="D245" s="225"/>
      <c r="E245" s="225"/>
      <c r="F245" s="225"/>
      <c r="G245" s="225"/>
      <c r="H245" s="225"/>
      <c r="I245" s="225"/>
      <c r="J245" s="225"/>
      <c r="K245" s="225"/>
      <c r="L245" s="226"/>
      <c r="M245" s="1"/>
      <c r="N245" s="1"/>
      <c r="O245" s="1"/>
    </row>
    <row r="246" spans="1:15" ht="18" customHeight="1" thickBot="1" x14ac:dyDescent="0.3">
      <c r="A246" s="227"/>
      <c r="B246" s="228" t="s">
        <v>302</v>
      </c>
      <c r="C246" s="229"/>
      <c r="D246" s="229"/>
      <c r="E246" s="230"/>
      <c r="F246" s="231"/>
      <c r="G246" s="232" t="s">
        <v>303</v>
      </c>
      <c r="H246" s="233"/>
      <c r="I246" s="233"/>
      <c r="J246" s="233"/>
      <c r="K246" s="234"/>
      <c r="L246" s="235"/>
      <c r="M246" s="1"/>
      <c r="N246" s="1"/>
      <c r="O246" s="1"/>
    </row>
    <row r="247" spans="1:15" ht="18.75" customHeight="1" thickBot="1" x14ac:dyDescent="0.3">
      <c r="A247" s="236"/>
      <c r="B247" s="237" t="s">
        <v>304</v>
      </c>
      <c r="C247" s="238" t="s">
        <v>20</v>
      </c>
      <c r="D247" s="238" t="s">
        <v>304</v>
      </c>
      <c r="E247" s="239" t="s">
        <v>20</v>
      </c>
      <c r="F247" s="1"/>
      <c r="G247" s="240" t="s">
        <v>305</v>
      </c>
      <c r="H247" s="241" t="s">
        <v>306</v>
      </c>
      <c r="I247" s="242"/>
      <c r="J247" s="241" t="s">
        <v>20</v>
      </c>
      <c r="K247" s="243"/>
      <c r="L247" s="244"/>
      <c r="M247" s="1"/>
      <c r="N247" s="1"/>
      <c r="O247" s="1"/>
    </row>
    <row r="248" spans="1:15" ht="18.75" customHeight="1" x14ac:dyDescent="0.25">
      <c r="A248" s="236"/>
      <c r="B248" s="245">
        <v>1</v>
      </c>
      <c r="C248" s="246"/>
      <c r="D248" s="247">
        <v>31</v>
      </c>
      <c r="E248" s="248"/>
      <c r="F248" s="1"/>
      <c r="G248" s="249"/>
      <c r="H248" s="250"/>
      <c r="I248" s="250"/>
      <c r="J248" s="250"/>
      <c r="K248" s="251"/>
      <c r="L248" s="244"/>
      <c r="M248" s="1"/>
      <c r="N248" s="1"/>
      <c r="O248" s="1"/>
    </row>
    <row r="249" spans="1:15" ht="18.75" customHeight="1" x14ac:dyDescent="0.25">
      <c r="A249" s="236"/>
      <c r="B249" s="245">
        <v>2</v>
      </c>
      <c r="C249" s="246"/>
      <c r="D249" s="247">
        <v>32</v>
      </c>
      <c r="E249" s="248"/>
      <c r="F249" s="1"/>
      <c r="G249" s="252"/>
      <c r="H249" s="253"/>
      <c r="I249" s="253"/>
      <c r="J249" s="253"/>
      <c r="K249" s="254"/>
      <c r="L249" s="244"/>
      <c r="M249" s="1"/>
      <c r="N249" s="1"/>
      <c r="O249" s="1"/>
    </row>
    <row r="250" spans="1:15" ht="18.75" customHeight="1" x14ac:dyDescent="0.25">
      <c r="A250" s="236"/>
      <c r="B250" s="245">
        <v>3</v>
      </c>
      <c r="C250" s="246"/>
      <c r="D250" s="247">
        <v>33</v>
      </c>
      <c r="E250" s="248"/>
      <c r="F250" s="1"/>
      <c r="G250" s="255" t="s">
        <v>307</v>
      </c>
      <c r="H250" s="256" t="s">
        <v>308</v>
      </c>
      <c r="I250" s="257"/>
      <c r="J250" s="258"/>
      <c r="K250" s="259"/>
      <c r="L250" s="244"/>
      <c r="M250" s="1"/>
      <c r="N250" s="1"/>
      <c r="O250" s="1"/>
    </row>
    <row r="251" spans="1:15" ht="18.75" customHeight="1" thickBot="1" x14ac:dyDescent="0.3">
      <c r="A251" s="236"/>
      <c r="B251" s="245">
        <v>4</v>
      </c>
      <c r="C251" s="246"/>
      <c r="D251" s="247">
        <v>34</v>
      </c>
      <c r="E251" s="248"/>
      <c r="F251" s="1"/>
      <c r="G251" s="260"/>
      <c r="H251" s="261" t="s">
        <v>309</v>
      </c>
      <c r="I251" s="262"/>
      <c r="J251" s="263"/>
      <c r="K251" s="264"/>
      <c r="L251" s="244"/>
      <c r="M251" s="1"/>
      <c r="N251" s="1"/>
      <c r="O251" s="1"/>
    </row>
    <row r="252" spans="1:15" ht="18.75" customHeight="1" x14ac:dyDescent="0.25">
      <c r="A252" s="236"/>
      <c r="B252" s="245">
        <v>5</v>
      </c>
      <c r="C252" s="246"/>
      <c r="D252" s="247">
        <v>35</v>
      </c>
      <c r="E252" s="248"/>
      <c r="F252" s="1"/>
      <c r="G252" s="249"/>
      <c r="H252" s="250"/>
      <c r="I252" s="250"/>
      <c r="J252" s="250"/>
      <c r="K252" s="251"/>
      <c r="L252" s="244"/>
      <c r="M252" s="1"/>
      <c r="N252" s="1"/>
      <c r="O252" s="1"/>
    </row>
    <row r="253" spans="1:15" ht="18.75" customHeight="1" x14ac:dyDescent="0.25">
      <c r="A253" s="236"/>
      <c r="B253" s="245">
        <v>6</v>
      </c>
      <c r="C253" s="246"/>
      <c r="D253" s="247">
        <v>36</v>
      </c>
      <c r="E253" s="248"/>
      <c r="F253" s="1"/>
      <c r="G253" s="252"/>
      <c r="H253" s="253"/>
      <c r="I253" s="253"/>
      <c r="J253" s="253"/>
      <c r="K253" s="254"/>
      <c r="L253" s="244"/>
      <c r="M253" s="1"/>
      <c r="N253" s="1"/>
      <c r="O253" s="1"/>
    </row>
    <row r="254" spans="1:15" ht="18.75" customHeight="1" x14ac:dyDescent="0.25">
      <c r="A254" s="236"/>
      <c r="B254" s="245">
        <v>7</v>
      </c>
      <c r="C254" s="246"/>
      <c r="D254" s="247">
        <v>37</v>
      </c>
      <c r="E254" s="248"/>
      <c r="F254" s="1"/>
      <c r="G254" s="255" t="s">
        <v>310</v>
      </c>
      <c r="H254" s="256" t="s">
        <v>308</v>
      </c>
      <c r="I254" s="257"/>
      <c r="J254" s="258"/>
      <c r="K254" s="259"/>
      <c r="L254" s="244"/>
      <c r="M254" s="1"/>
      <c r="N254" s="1"/>
      <c r="O254" s="1"/>
    </row>
    <row r="255" spans="1:15" ht="18.75" customHeight="1" thickBot="1" x14ac:dyDescent="0.3">
      <c r="A255" s="236"/>
      <c r="B255" s="245">
        <v>8</v>
      </c>
      <c r="C255" s="246"/>
      <c r="D255" s="247">
        <v>38</v>
      </c>
      <c r="E255" s="248"/>
      <c r="F255" s="1"/>
      <c r="G255" s="260"/>
      <c r="H255" s="261" t="s">
        <v>309</v>
      </c>
      <c r="I255" s="262"/>
      <c r="J255" s="263"/>
      <c r="K255" s="264"/>
      <c r="L255" s="244"/>
      <c r="M255" s="1"/>
      <c r="N255" s="1"/>
      <c r="O255" s="1"/>
    </row>
    <row r="256" spans="1:15" ht="18.75" customHeight="1" x14ac:dyDescent="0.25">
      <c r="A256" s="236"/>
      <c r="B256" s="245">
        <v>9</v>
      </c>
      <c r="C256" s="246"/>
      <c r="D256" s="247">
        <v>39</v>
      </c>
      <c r="E256" s="248"/>
      <c r="F256" s="1"/>
      <c r="G256" s="249"/>
      <c r="H256" s="250"/>
      <c r="I256" s="250"/>
      <c r="J256" s="250"/>
      <c r="K256" s="251"/>
      <c r="L256" s="244"/>
      <c r="M256" s="1"/>
      <c r="N256" s="1"/>
      <c r="O256" s="1"/>
    </row>
    <row r="257" spans="1:15" ht="18.75" customHeight="1" x14ac:dyDescent="0.25">
      <c r="A257" s="236"/>
      <c r="B257" s="245">
        <v>10</v>
      </c>
      <c r="C257" s="246"/>
      <c r="D257" s="247">
        <v>40</v>
      </c>
      <c r="E257" s="248"/>
      <c r="F257" s="1"/>
      <c r="G257" s="252"/>
      <c r="H257" s="253"/>
      <c r="I257" s="253"/>
      <c r="J257" s="253"/>
      <c r="K257" s="254"/>
      <c r="L257" s="244"/>
      <c r="M257" s="1"/>
      <c r="N257" s="1"/>
      <c r="O257" s="1"/>
    </row>
    <row r="258" spans="1:15" ht="18.75" customHeight="1" x14ac:dyDescent="0.25">
      <c r="A258" s="236"/>
      <c r="B258" s="245">
        <v>11</v>
      </c>
      <c r="C258" s="246"/>
      <c r="D258" s="247">
        <v>41</v>
      </c>
      <c r="E258" s="248"/>
      <c r="F258" s="1"/>
      <c r="G258" s="255" t="s">
        <v>311</v>
      </c>
      <c r="H258" s="256" t="s">
        <v>308</v>
      </c>
      <c r="I258" s="257"/>
      <c r="J258" s="258"/>
      <c r="K258" s="259"/>
      <c r="L258" s="244"/>
      <c r="M258" s="1"/>
      <c r="N258" s="1"/>
      <c r="O258" s="1"/>
    </row>
    <row r="259" spans="1:15" ht="18.75" customHeight="1" thickBot="1" x14ac:dyDescent="0.3">
      <c r="A259" s="236"/>
      <c r="B259" s="245">
        <v>12</v>
      </c>
      <c r="C259" s="246"/>
      <c r="D259" s="247">
        <v>42</v>
      </c>
      <c r="E259" s="248"/>
      <c r="F259" s="1"/>
      <c r="G259" s="260"/>
      <c r="H259" s="261" t="s">
        <v>309</v>
      </c>
      <c r="I259" s="262"/>
      <c r="J259" s="263"/>
      <c r="K259" s="264"/>
      <c r="L259" s="244"/>
      <c r="M259" s="1"/>
      <c r="N259" s="1"/>
      <c r="O259" s="1"/>
    </row>
    <row r="260" spans="1:15" ht="18.75" customHeight="1" x14ac:dyDescent="0.25">
      <c r="A260" s="236"/>
      <c r="B260" s="245">
        <v>13</v>
      </c>
      <c r="C260" s="246"/>
      <c r="D260" s="247">
        <v>43</v>
      </c>
      <c r="E260" s="248"/>
      <c r="F260" s="1"/>
      <c r="G260" s="249"/>
      <c r="H260" s="250"/>
      <c r="I260" s="250"/>
      <c r="J260" s="250"/>
      <c r="K260" s="251"/>
      <c r="L260" s="244"/>
      <c r="M260" s="1"/>
      <c r="N260" s="1"/>
      <c r="O260" s="1"/>
    </row>
    <row r="261" spans="1:15" ht="18.75" customHeight="1" x14ac:dyDescent="0.25">
      <c r="A261" s="236"/>
      <c r="B261" s="245">
        <v>14</v>
      </c>
      <c r="C261" s="246"/>
      <c r="D261" s="247">
        <v>44</v>
      </c>
      <c r="E261" s="248"/>
      <c r="F261" s="1"/>
      <c r="G261" s="252"/>
      <c r="H261" s="253"/>
      <c r="I261" s="253"/>
      <c r="J261" s="253"/>
      <c r="K261" s="254"/>
      <c r="L261" s="244"/>
      <c r="M261" s="1"/>
      <c r="N261" s="1"/>
      <c r="O261" s="1"/>
    </row>
    <row r="262" spans="1:15" ht="18.75" customHeight="1" x14ac:dyDescent="0.25">
      <c r="A262" s="236"/>
      <c r="B262" s="245">
        <v>15</v>
      </c>
      <c r="C262" s="246"/>
      <c r="D262" s="247">
        <v>45</v>
      </c>
      <c r="E262" s="248"/>
      <c r="F262" s="1"/>
      <c r="G262" s="255" t="s">
        <v>312</v>
      </c>
      <c r="H262" s="256" t="s">
        <v>308</v>
      </c>
      <c r="I262" s="257"/>
      <c r="J262" s="258"/>
      <c r="K262" s="259"/>
      <c r="L262" s="244"/>
      <c r="M262" s="1"/>
      <c r="N262" s="1"/>
      <c r="O262" s="1"/>
    </row>
    <row r="263" spans="1:15" ht="18.75" customHeight="1" thickBot="1" x14ac:dyDescent="0.3">
      <c r="A263" s="236"/>
      <c r="B263" s="245">
        <v>16</v>
      </c>
      <c r="C263" s="246"/>
      <c r="D263" s="247">
        <v>46</v>
      </c>
      <c r="E263" s="248"/>
      <c r="F263" s="1"/>
      <c r="G263" s="260"/>
      <c r="H263" s="261" t="s">
        <v>309</v>
      </c>
      <c r="I263" s="262"/>
      <c r="J263" s="263"/>
      <c r="K263" s="264"/>
      <c r="L263" s="244"/>
      <c r="M263" s="1"/>
      <c r="N263" s="1"/>
      <c r="O263" s="1"/>
    </row>
    <row r="264" spans="1:15" ht="18.75" customHeight="1" x14ac:dyDescent="0.25">
      <c r="A264" s="236"/>
      <c r="B264" s="245">
        <v>17</v>
      </c>
      <c r="C264" s="246"/>
      <c r="D264" s="247">
        <v>47</v>
      </c>
      <c r="E264" s="248"/>
      <c r="F264" s="1"/>
      <c r="G264" s="265"/>
      <c r="H264" s="250"/>
      <c r="I264" s="250"/>
      <c r="J264" s="250"/>
      <c r="K264" s="266"/>
      <c r="L264" s="244"/>
      <c r="M264" s="1"/>
      <c r="N264" s="1"/>
      <c r="O264" s="1"/>
    </row>
    <row r="265" spans="1:15" ht="18.75" customHeight="1" x14ac:dyDescent="0.25">
      <c r="A265" s="236"/>
      <c r="B265" s="245">
        <v>18</v>
      </c>
      <c r="C265" s="246"/>
      <c r="D265" s="247">
        <v>48</v>
      </c>
      <c r="E265" s="248"/>
      <c r="F265" s="1"/>
      <c r="G265" s="267"/>
      <c r="H265" s="253"/>
      <c r="I265" s="253"/>
      <c r="J265" s="253"/>
      <c r="K265" s="268"/>
      <c r="L265" s="244"/>
      <c r="M265" s="1"/>
      <c r="N265" s="1"/>
      <c r="O265" s="1"/>
    </row>
    <row r="266" spans="1:15" ht="18.75" customHeight="1" x14ac:dyDescent="0.25">
      <c r="A266" s="236"/>
      <c r="B266" s="245">
        <v>19</v>
      </c>
      <c r="C266" s="246"/>
      <c r="D266" s="247">
        <v>49</v>
      </c>
      <c r="E266" s="248"/>
      <c r="F266" s="1"/>
      <c r="G266" s="255" t="s">
        <v>313</v>
      </c>
      <c r="H266" s="256" t="s">
        <v>308</v>
      </c>
      <c r="I266" s="257"/>
      <c r="J266" s="258"/>
      <c r="K266" s="259"/>
      <c r="L266" s="244"/>
      <c r="M266" s="1"/>
      <c r="N266" s="1"/>
      <c r="O266" s="1"/>
    </row>
    <row r="267" spans="1:15" ht="18.75" customHeight="1" thickBot="1" x14ac:dyDescent="0.3">
      <c r="A267" s="236"/>
      <c r="B267" s="245">
        <v>20</v>
      </c>
      <c r="C267" s="246"/>
      <c r="D267" s="247">
        <v>50</v>
      </c>
      <c r="E267" s="248"/>
      <c r="F267" s="1"/>
      <c r="G267" s="260"/>
      <c r="H267" s="261" t="s">
        <v>309</v>
      </c>
      <c r="I267" s="262"/>
      <c r="J267" s="263"/>
      <c r="K267" s="264"/>
      <c r="L267" s="244"/>
      <c r="M267" s="1"/>
      <c r="N267" s="1"/>
      <c r="O267" s="1"/>
    </row>
    <row r="268" spans="1:15" ht="18.75" customHeight="1" thickBot="1" x14ac:dyDescent="0.3">
      <c r="A268" s="236"/>
      <c r="B268" s="245">
        <v>21</v>
      </c>
      <c r="C268" s="246"/>
      <c r="D268" s="247">
        <v>51</v>
      </c>
      <c r="E268" s="248"/>
      <c r="F268" s="1"/>
      <c r="G268" s="269" t="s">
        <v>287</v>
      </c>
      <c r="H268" s="270"/>
      <c r="I268" s="271"/>
      <c r="J268" s="272">
        <f>SUM(J250,J251,J254,J255,J258,J259,J262,J263,J266,J267)</f>
        <v>0</v>
      </c>
      <c r="K268" s="273"/>
      <c r="L268" s="244"/>
      <c r="M268" s="1"/>
      <c r="N268" s="1"/>
      <c r="O268" s="1"/>
    </row>
    <row r="269" spans="1:15" ht="18.75" customHeight="1" thickBot="1" x14ac:dyDescent="0.3">
      <c r="A269" s="236"/>
      <c r="B269" s="245">
        <v>22</v>
      </c>
      <c r="C269" s="246"/>
      <c r="D269" s="247">
        <v>52</v>
      </c>
      <c r="E269" s="248"/>
      <c r="F269" s="1"/>
      <c r="G269" s="274"/>
      <c r="H269" s="274"/>
      <c r="I269" s="274"/>
      <c r="J269" s="274"/>
      <c r="K269" s="274"/>
      <c r="L269" s="275"/>
      <c r="M269" s="1"/>
      <c r="N269" s="1"/>
      <c r="O269" s="1"/>
    </row>
    <row r="270" spans="1:15" ht="18.75" customHeight="1" thickBot="1" x14ac:dyDescent="0.3">
      <c r="A270" s="236"/>
      <c r="B270" s="245">
        <v>23</v>
      </c>
      <c r="C270" s="246"/>
      <c r="D270" s="247">
        <v>53</v>
      </c>
      <c r="E270" s="248"/>
      <c r="F270" s="1"/>
      <c r="G270" s="276" t="s">
        <v>314</v>
      </c>
      <c r="H270" s="277"/>
      <c r="I270" s="277"/>
      <c r="J270" s="278"/>
      <c r="K270" s="1"/>
      <c r="L270" s="275"/>
      <c r="M270" s="1"/>
      <c r="N270" s="1"/>
      <c r="O270" s="1"/>
    </row>
    <row r="271" spans="1:15" ht="18.75" customHeight="1" x14ac:dyDescent="0.25">
      <c r="A271" s="236"/>
      <c r="B271" s="245">
        <v>24</v>
      </c>
      <c r="C271" s="246"/>
      <c r="D271" s="247">
        <v>54</v>
      </c>
      <c r="E271" s="248"/>
      <c r="F271" s="1"/>
      <c r="G271" s="279" t="s">
        <v>305</v>
      </c>
      <c r="H271" s="280"/>
      <c r="I271" s="281" t="s">
        <v>20</v>
      </c>
      <c r="J271" s="282"/>
      <c r="K271" s="1"/>
      <c r="L271" s="275"/>
      <c r="M271" s="1"/>
      <c r="N271" s="1"/>
      <c r="O271" s="1"/>
    </row>
    <row r="272" spans="1:15" ht="18.75" customHeight="1" x14ac:dyDescent="0.25">
      <c r="A272" s="236"/>
      <c r="B272" s="245">
        <v>25</v>
      </c>
      <c r="C272" s="246"/>
      <c r="D272" s="247">
        <v>55</v>
      </c>
      <c r="E272" s="248"/>
      <c r="F272" s="1"/>
      <c r="G272" s="283" t="s">
        <v>315</v>
      </c>
      <c r="H272" s="284"/>
      <c r="I272" s="285"/>
      <c r="J272" s="286"/>
      <c r="K272" s="1"/>
      <c r="L272" s="275"/>
      <c r="M272" s="1"/>
      <c r="N272" s="1"/>
      <c r="O272" s="1"/>
    </row>
    <row r="273" spans="1:15" ht="18.75" customHeight="1" x14ac:dyDescent="0.25">
      <c r="A273" s="236"/>
      <c r="B273" s="245">
        <v>26</v>
      </c>
      <c r="C273" s="246"/>
      <c r="D273" s="247">
        <v>56</v>
      </c>
      <c r="E273" s="248"/>
      <c r="F273" s="1"/>
      <c r="G273" s="283" t="s">
        <v>316</v>
      </c>
      <c r="H273" s="284"/>
      <c r="I273" s="285"/>
      <c r="J273" s="286"/>
      <c r="K273" s="1"/>
      <c r="L273" s="275"/>
      <c r="M273" s="1"/>
      <c r="N273" s="1"/>
      <c r="O273" s="1"/>
    </row>
    <row r="274" spans="1:15" ht="18.75" customHeight="1" x14ac:dyDescent="0.25">
      <c r="A274" s="236"/>
      <c r="B274" s="245">
        <v>27</v>
      </c>
      <c r="C274" s="246"/>
      <c r="D274" s="247">
        <v>57</v>
      </c>
      <c r="E274" s="248"/>
      <c r="F274" s="1"/>
      <c r="G274" s="283" t="s">
        <v>317</v>
      </c>
      <c r="H274" s="284"/>
      <c r="I274" s="285"/>
      <c r="J274" s="286"/>
      <c r="K274" s="1"/>
      <c r="L274" s="275"/>
      <c r="M274" s="1"/>
      <c r="N274" s="1"/>
      <c r="O274" s="1"/>
    </row>
    <row r="275" spans="1:15" ht="18.75" customHeight="1" x14ac:dyDescent="0.25">
      <c r="A275" s="236"/>
      <c r="B275" s="245">
        <v>28</v>
      </c>
      <c r="C275" s="246"/>
      <c r="D275" s="247">
        <v>58</v>
      </c>
      <c r="E275" s="248"/>
      <c r="F275" s="1"/>
      <c r="G275" s="283" t="s">
        <v>318</v>
      </c>
      <c r="H275" s="284"/>
      <c r="I275" s="285"/>
      <c r="J275" s="286"/>
      <c r="K275" s="1"/>
      <c r="L275" s="275"/>
      <c r="M275" s="1"/>
      <c r="N275" s="1"/>
      <c r="O275" s="1"/>
    </row>
    <row r="276" spans="1:15" ht="18.75" customHeight="1" x14ac:dyDescent="0.25">
      <c r="A276" s="236"/>
      <c r="B276" s="245">
        <v>29</v>
      </c>
      <c r="C276" s="246"/>
      <c r="D276" s="247">
        <v>59</v>
      </c>
      <c r="E276" s="248"/>
      <c r="F276" s="1"/>
      <c r="G276" s="283" t="s">
        <v>319</v>
      </c>
      <c r="H276" s="284"/>
      <c r="I276" s="285"/>
      <c r="J276" s="286"/>
      <c r="K276" s="1"/>
      <c r="L276" s="275"/>
      <c r="M276" s="1"/>
      <c r="N276" s="1"/>
      <c r="O276" s="1"/>
    </row>
    <row r="277" spans="1:15" ht="18.75" customHeight="1" thickBot="1" x14ac:dyDescent="0.3">
      <c r="A277" s="236"/>
      <c r="B277" s="245">
        <v>30</v>
      </c>
      <c r="C277" s="246"/>
      <c r="D277" s="247">
        <v>60</v>
      </c>
      <c r="E277" s="248"/>
      <c r="F277" s="1"/>
      <c r="G277" s="287" t="s">
        <v>287</v>
      </c>
      <c r="H277" s="288"/>
      <c r="I277" s="289">
        <f>SUM(I272:J276)</f>
        <v>0</v>
      </c>
      <c r="J277" s="290"/>
      <c r="K277" s="1"/>
      <c r="L277" s="275"/>
      <c r="M277" s="1"/>
      <c r="N277" s="1"/>
      <c r="O277" s="1"/>
    </row>
    <row r="278" spans="1:15" ht="18.75" customHeight="1" thickBot="1" x14ac:dyDescent="0.3">
      <c r="A278" s="291"/>
      <c r="B278" s="292" t="s">
        <v>287</v>
      </c>
      <c r="C278" s="293"/>
      <c r="D278" s="294"/>
      <c r="E278" s="295">
        <f>SUM(C248:C277,E248:E277)</f>
        <v>0</v>
      </c>
      <c r="F278" s="296"/>
      <c r="G278" s="296"/>
      <c r="H278" s="296"/>
      <c r="I278" s="296"/>
      <c r="J278" s="296"/>
      <c r="K278" s="296"/>
      <c r="L278" s="297"/>
      <c r="M278" s="1"/>
      <c r="N278" s="1"/>
      <c r="O278" s="1"/>
    </row>
    <row r="279" spans="1:15" ht="18.75" customHeight="1" thickBot="1" x14ac:dyDescent="0.3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1"/>
      <c r="N279" s="1"/>
      <c r="O279" s="1"/>
    </row>
    <row r="280" spans="1:15" ht="18.75" customHeight="1" thickBot="1" x14ac:dyDescent="0.3">
      <c r="A280" s="298" t="s">
        <v>320</v>
      </c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300"/>
      <c r="M280" s="1"/>
      <c r="N280" s="1"/>
      <c r="O280" s="1"/>
    </row>
    <row r="281" spans="1:15" ht="18.75" customHeight="1" x14ac:dyDescent="0.25">
      <c r="A281" s="301" t="s">
        <v>321</v>
      </c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302"/>
      <c r="M281" s="1"/>
      <c r="N281" s="1"/>
      <c r="O281" s="1"/>
    </row>
    <row r="282" spans="1:15" ht="18.75" customHeight="1" x14ac:dyDescent="0.25">
      <c r="A282" s="303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304"/>
      <c r="M282" s="1"/>
      <c r="N282" s="1"/>
      <c r="O282" s="1"/>
    </row>
    <row r="283" spans="1:15" ht="18.75" customHeight="1" x14ac:dyDescent="0.25">
      <c r="A283" s="305" t="s">
        <v>322</v>
      </c>
      <c r="B283" s="150"/>
      <c r="C283" s="150"/>
      <c r="D283" s="150"/>
      <c r="E283" s="150"/>
      <c r="F283" s="150"/>
      <c r="G283" s="150"/>
      <c r="H283" s="150"/>
      <c r="I283" s="150"/>
      <c r="J283" s="181"/>
      <c r="K283" s="139" t="s">
        <v>287</v>
      </c>
      <c r="L283" s="306"/>
      <c r="M283" s="1"/>
      <c r="N283" s="1"/>
      <c r="O283" s="1"/>
    </row>
    <row r="284" spans="1:15" ht="18.75" customHeight="1" x14ac:dyDescent="0.25">
      <c r="A284" s="307"/>
      <c r="B284" s="133" t="s">
        <v>323</v>
      </c>
      <c r="C284" s="150"/>
      <c r="D284" s="150"/>
      <c r="E284" s="150"/>
      <c r="F284" s="150"/>
      <c r="G284" s="150"/>
      <c r="H284" s="150"/>
      <c r="I284" s="150"/>
      <c r="J284" s="181"/>
      <c r="K284" s="308" t="e">
        <f>K315</f>
        <v>#REF!</v>
      </c>
      <c r="L284" s="309"/>
      <c r="M284" s="1"/>
      <c r="N284" s="1"/>
      <c r="O284" s="1"/>
    </row>
    <row r="285" spans="1:15" ht="18.75" customHeight="1" x14ac:dyDescent="0.25">
      <c r="A285" s="186"/>
      <c r="B285" s="156"/>
      <c r="C285" s="156"/>
      <c r="D285" s="156"/>
      <c r="E285" s="156"/>
      <c r="F285" s="156"/>
      <c r="G285" s="156"/>
      <c r="H285" s="156"/>
      <c r="I285" s="156"/>
      <c r="J285" s="191"/>
      <c r="K285" s="187"/>
      <c r="L285" s="302"/>
      <c r="M285" s="1"/>
      <c r="N285" s="1"/>
      <c r="O285" s="1"/>
    </row>
    <row r="286" spans="1:15" ht="18.75" customHeight="1" x14ac:dyDescent="0.25">
      <c r="A286" s="186"/>
      <c r="B286" s="310" t="s">
        <v>324</v>
      </c>
      <c r="C286" s="150"/>
      <c r="D286" s="150"/>
      <c r="E286" s="150"/>
      <c r="F286" s="150"/>
      <c r="G286" s="150"/>
      <c r="H286" s="150"/>
      <c r="I286" s="150"/>
      <c r="J286" s="181"/>
      <c r="K286" s="187"/>
      <c r="L286" s="302"/>
      <c r="M286" s="1"/>
      <c r="N286" s="1"/>
      <c r="O286" s="1"/>
    </row>
    <row r="287" spans="1:15" ht="18.75" customHeight="1" x14ac:dyDescent="0.25">
      <c r="A287" s="192"/>
      <c r="B287" s="156"/>
      <c r="C287" s="156"/>
      <c r="D287" s="156"/>
      <c r="E287" s="156"/>
      <c r="F287" s="156"/>
      <c r="G287" s="156"/>
      <c r="H287" s="156"/>
      <c r="I287" s="156"/>
      <c r="J287" s="191"/>
      <c r="K287" s="187"/>
      <c r="L287" s="302"/>
      <c r="M287" s="1"/>
      <c r="N287" s="1"/>
      <c r="O287" s="1"/>
    </row>
    <row r="288" spans="1:15" ht="18.75" customHeight="1" x14ac:dyDescent="0.25">
      <c r="A288" s="311"/>
      <c r="B288" s="312" t="s">
        <v>325</v>
      </c>
      <c r="C288" s="150"/>
      <c r="D288" s="150"/>
      <c r="E288" s="150"/>
      <c r="F288" s="150"/>
      <c r="G288" s="150"/>
      <c r="H288" s="150"/>
      <c r="I288" s="150"/>
      <c r="J288" s="181"/>
      <c r="K288" s="187"/>
      <c r="L288" s="302"/>
      <c r="M288" s="1"/>
      <c r="N288" s="1"/>
      <c r="O288" s="1"/>
    </row>
    <row r="289" spans="1:15" ht="18.75" customHeight="1" x14ac:dyDescent="0.25">
      <c r="A289" s="313"/>
      <c r="B289" s="193"/>
      <c r="C289" s="156"/>
      <c r="D289" s="156"/>
      <c r="E289" s="156"/>
      <c r="F289" s="156"/>
      <c r="G289" s="156"/>
      <c r="H289" s="156"/>
      <c r="I289" s="156"/>
      <c r="J289" s="191"/>
      <c r="K289" s="187"/>
      <c r="L289" s="302"/>
      <c r="M289" s="1"/>
      <c r="N289" s="1"/>
      <c r="O289" s="1"/>
    </row>
    <row r="290" spans="1:15" ht="18.75" customHeight="1" x14ac:dyDescent="0.25">
      <c r="A290" s="314"/>
      <c r="B290" s="312" t="s">
        <v>326</v>
      </c>
      <c r="C290" s="150"/>
      <c r="D290" s="150"/>
      <c r="E290" s="150"/>
      <c r="F290" s="150"/>
      <c r="G290" s="150"/>
      <c r="H290" s="150"/>
      <c r="I290" s="150"/>
      <c r="J290" s="181"/>
      <c r="K290" s="187"/>
      <c r="L290" s="302"/>
      <c r="M290" s="1"/>
      <c r="N290" s="1"/>
      <c r="O290" s="1"/>
    </row>
    <row r="291" spans="1:15" ht="18.75" customHeight="1" x14ac:dyDescent="0.25">
      <c r="A291" s="313"/>
      <c r="B291" s="193"/>
      <c r="C291" s="156"/>
      <c r="D291" s="156"/>
      <c r="E291" s="156"/>
      <c r="F291" s="156"/>
      <c r="G291" s="156"/>
      <c r="H291" s="156"/>
      <c r="I291" s="156"/>
      <c r="J291" s="191"/>
      <c r="K291" s="187"/>
      <c r="L291" s="302"/>
      <c r="M291" s="1"/>
      <c r="N291" s="1"/>
      <c r="O291" s="1"/>
    </row>
    <row r="292" spans="1:15" ht="18.75" customHeight="1" x14ac:dyDescent="0.25">
      <c r="A292" s="314"/>
      <c r="B292" s="315" t="s">
        <v>327</v>
      </c>
      <c r="C292" s="150"/>
      <c r="D292" s="150"/>
      <c r="E292" s="150"/>
      <c r="F292" s="150"/>
      <c r="G292" s="150"/>
      <c r="H292" s="150"/>
      <c r="I292" s="150"/>
      <c r="J292" s="181"/>
      <c r="K292" s="187"/>
      <c r="L292" s="302"/>
      <c r="M292" s="1"/>
      <c r="N292" s="1"/>
      <c r="O292" s="1"/>
    </row>
    <row r="293" spans="1:15" ht="18.75" customHeight="1" x14ac:dyDescent="0.25">
      <c r="A293" s="313"/>
      <c r="B293" s="193"/>
      <c r="C293" s="156"/>
      <c r="D293" s="156"/>
      <c r="E293" s="156"/>
      <c r="F293" s="156"/>
      <c r="G293" s="156"/>
      <c r="H293" s="156"/>
      <c r="I293" s="156"/>
      <c r="J293" s="191"/>
      <c r="K293" s="187"/>
      <c r="L293" s="302"/>
      <c r="M293" s="1"/>
      <c r="N293" s="1"/>
      <c r="O293" s="1"/>
    </row>
    <row r="294" spans="1:15" ht="18" customHeight="1" x14ac:dyDescent="0.25">
      <c r="A294" s="314"/>
      <c r="B294" s="312" t="s">
        <v>328</v>
      </c>
      <c r="C294" s="150"/>
      <c r="D294" s="150"/>
      <c r="E294" s="150"/>
      <c r="F294" s="150"/>
      <c r="G294" s="150"/>
      <c r="H294" s="150"/>
      <c r="I294" s="150"/>
      <c r="J294" s="181"/>
      <c r="K294" s="187"/>
      <c r="L294" s="302"/>
      <c r="M294" s="1"/>
      <c r="N294" s="1"/>
      <c r="O294" s="1"/>
    </row>
    <row r="295" spans="1:15" ht="18.75" customHeight="1" x14ac:dyDescent="0.25">
      <c r="A295" s="313"/>
      <c r="B295" s="193"/>
      <c r="C295" s="156"/>
      <c r="D295" s="156"/>
      <c r="E295" s="156"/>
      <c r="F295" s="156"/>
      <c r="G295" s="156"/>
      <c r="H295" s="156"/>
      <c r="I295" s="156"/>
      <c r="J295" s="191"/>
      <c r="K295" s="187"/>
      <c r="L295" s="302"/>
      <c r="M295" s="1"/>
      <c r="N295" s="1"/>
      <c r="O295" s="1"/>
    </row>
    <row r="296" spans="1:15" ht="18.75" customHeight="1" x14ac:dyDescent="0.25">
      <c r="A296" s="314"/>
      <c r="B296" s="312" t="s">
        <v>329</v>
      </c>
      <c r="C296" s="150"/>
      <c r="D296" s="150"/>
      <c r="E296" s="150"/>
      <c r="F296" s="150"/>
      <c r="G296" s="150"/>
      <c r="H296" s="150"/>
      <c r="I296" s="150"/>
      <c r="J296" s="181"/>
      <c r="K296" s="187"/>
      <c r="L296" s="302"/>
      <c r="M296" s="1"/>
      <c r="N296" s="1"/>
      <c r="O296" s="1"/>
    </row>
    <row r="297" spans="1:15" ht="9" customHeight="1" x14ac:dyDescent="0.25">
      <c r="A297" s="313"/>
      <c r="B297" s="193"/>
      <c r="C297" s="156"/>
      <c r="D297" s="156"/>
      <c r="E297" s="156"/>
      <c r="F297" s="156"/>
      <c r="G297" s="156"/>
      <c r="H297" s="156"/>
      <c r="I297" s="156"/>
      <c r="J297" s="191"/>
      <c r="K297" s="187"/>
      <c r="L297" s="302"/>
      <c r="M297" s="1"/>
      <c r="N297" s="1"/>
      <c r="O297" s="1"/>
    </row>
    <row r="298" spans="1:15" ht="18.75" customHeight="1" x14ac:dyDescent="0.25">
      <c r="A298" s="314"/>
      <c r="B298" s="312" t="s">
        <v>330</v>
      </c>
      <c r="C298" s="150"/>
      <c r="D298" s="150"/>
      <c r="E298" s="150"/>
      <c r="F298" s="150"/>
      <c r="G298" s="150"/>
      <c r="H298" s="150"/>
      <c r="I298" s="150"/>
      <c r="J298" s="181"/>
      <c r="K298" s="187"/>
      <c r="L298" s="302"/>
      <c r="M298" s="1"/>
      <c r="N298" s="1"/>
      <c r="O298" s="1"/>
    </row>
    <row r="299" spans="1:15" ht="18.75" customHeight="1" x14ac:dyDescent="0.25">
      <c r="A299" s="313"/>
      <c r="B299" s="193"/>
      <c r="C299" s="156"/>
      <c r="D299" s="156"/>
      <c r="E299" s="156"/>
      <c r="F299" s="156"/>
      <c r="G299" s="156"/>
      <c r="H299" s="156"/>
      <c r="I299" s="156"/>
      <c r="J299" s="191"/>
      <c r="K299" s="187"/>
      <c r="L299" s="302"/>
      <c r="M299" s="1"/>
      <c r="N299" s="1"/>
      <c r="O299" s="1"/>
    </row>
    <row r="300" spans="1:15" ht="18" customHeight="1" x14ac:dyDescent="0.25">
      <c r="A300" s="314"/>
      <c r="B300" s="312" t="s">
        <v>331</v>
      </c>
      <c r="C300" s="150"/>
      <c r="D300" s="150"/>
      <c r="E300" s="150"/>
      <c r="F300" s="150"/>
      <c r="G300" s="150"/>
      <c r="H300" s="150"/>
      <c r="I300" s="150"/>
      <c r="J300" s="181"/>
      <c r="K300" s="187"/>
      <c r="L300" s="302"/>
      <c r="M300" s="1"/>
      <c r="N300" s="1"/>
      <c r="O300" s="1"/>
    </row>
    <row r="301" spans="1:15" ht="18" customHeight="1" thickBot="1" x14ac:dyDescent="0.3">
      <c r="A301" s="316"/>
      <c r="B301" s="317"/>
      <c r="C301" s="318"/>
      <c r="D301" s="318"/>
      <c r="E301" s="318"/>
      <c r="F301" s="318"/>
      <c r="G301" s="318"/>
      <c r="H301" s="318"/>
      <c r="I301" s="318"/>
      <c r="J301" s="319"/>
      <c r="K301" s="317"/>
      <c r="L301" s="320"/>
      <c r="M301" s="1"/>
      <c r="N301" s="1"/>
      <c r="O301" s="1"/>
    </row>
    <row r="302" spans="1:15" ht="18.75" customHeight="1" thickBot="1" x14ac:dyDescent="0.3">
      <c r="A302" s="321"/>
      <c r="B302" s="321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1"/>
      <c r="N302" s="1"/>
      <c r="O302" s="1"/>
    </row>
    <row r="303" spans="1:15" ht="18.75" customHeight="1" x14ac:dyDescent="0.25">
      <c r="A303" s="322" t="s">
        <v>332</v>
      </c>
      <c r="B303" s="323"/>
      <c r="C303" s="323"/>
      <c r="D303" s="323"/>
      <c r="E303" s="323"/>
      <c r="F303" s="323"/>
      <c r="G303" s="323"/>
      <c r="H303" s="323"/>
      <c r="I303" s="323"/>
      <c r="J303" s="323"/>
      <c r="K303" s="323"/>
      <c r="L303" s="324"/>
      <c r="M303" s="1"/>
      <c r="N303" s="1"/>
      <c r="O303" s="1"/>
    </row>
    <row r="304" spans="1:15" ht="24" customHeight="1" thickBot="1" x14ac:dyDescent="0.3">
      <c r="A304" s="325"/>
      <c r="B304" s="326"/>
      <c r="C304" s="326"/>
      <c r="D304" s="326"/>
      <c r="E304" s="326"/>
      <c r="F304" s="326"/>
      <c r="G304" s="326"/>
      <c r="H304" s="326"/>
      <c r="I304" s="326"/>
      <c r="J304" s="326"/>
      <c r="K304" s="326"/>
      <c r="L304" s="327"/>
      <c r="M304" s="1"/>
      <c r="N304" s="1"/>
      <c r="O304" s="1"/>
    </row>
    <row r="305" spans="1:15" ht="18.75" customHeight="1" x14ac:dyDescent="0.25">
      <c r="A305" s="328" t="s">
        <v>333</v>
      </c>
      <c r="B305" s="146"/>
      <c r="C305" s="146"/>
      <c r="D305" s="146"/>
      <c r="E305" s="146"/>
      <c r="F305" s="146"/>
      <c r="G305" s="146"/>
      <c r="H305" s="146"/>
      <c r="I305" s="146"/>
      <c r="J305" s="185"/>
      <c r="K305" s="329" t="s">
        <v>20</v>
      </c>
      <c r="L305" s="302"/>
      <c r="M305" s="1"/>
      <c r="N305" s="1"/>
      <c r="O305" s="1"/>
    </row>
    <row r="306" spans="1:15" ht="18.75" customHeight="1" x14ac:dyDescent="0.25">
      <c r="A306" s="303"/>
      <c r="B306" s="156"/>
      <c r="C306" s="156"/>
      <c r="D306" s="156"/>
      <c r="E306" s="156"/>
      <c r="F306" s="156"/>
      <c r="G306" s="156"/>
      <c r="H306" s="156"/>
      <c r="I306" s="156"/>
      <c r="J306" s="191"/>
      <c r="K306" s="193"/>
      <c r="L306" s="304"/>
      <c r="M306" s="1"/>
      <c r="N306" s="1"/>
      <c r="O306" s="1"/>
    </row>
    <row r="307" spans="1:15" ht="60.75" customHeight="1" x14ac:dyDescent="0.25">
      <c r="A307" s="330" t="s">
        <v>334</v>
      </c>
      <c r="B307" s="150"/>
      <c r="C307" s="150"/>
      <c r="D307" s="150"/>
      <c r="E307" s="150"/>
      <c r="F307" s="150"/>
      <c r="G307" s="150"/>
      <c r="H307" s="150"/>
      <c r="I307" s="150"/>
      <c r="J307" s="181"/>
      <c r="K307" s="308" t="e">
        <f>SUM(#REF!,#REF!,#REF!,#REF!,#REF!,#REF!,#REF!)</f>
        <v>#REF!</v>
      </c>
      <c r="L307" s="309"/>
      <c r="M307" s="1"/>
      <c r="N307" s="1"/>
      <c r="O307" s="1"/>
    </row>
    <row r="308" spans="1:15" ht="18.75" customHeight="1" x14ac:dyDescent="0.25">
      <c r="A308" s="303"/>
      <c r="B308" s="156"/>
      <c r="C308" s="156"/>
      <c r="D308" s="156"/>
      <c r="E308" s="156"/>
      <c r="F308" s="156"/>
      <c r="G308" s="156"/>
      <c r="H308" s="156"/>
      <c r="I308" s="156"/>
      <c r="J308" s="191"/>
      <c r="K308" s="193"/>
      <c r="L308" s="304"/>
      <c r="M308" s="1"/>
      <c r="N308" s="1"/>
      <c r="O308" s="1"/>
    </row>
    <row r="309" spans="1:15" ht="18.75" customHeight="1" x14ac:dyDescent="0.25">
      <c r="A309" s="330" t="s">
        <v>335</v>
      </c>
      <c r="B309" s="150"/>
      <c r="C309" s="150"/>
      <c r="D309" s="150"/>
      <c r="E309" s="150"/>
      <c r="F309" s="150"/>
      <c r="G309" s="150"/>
      <c r="H309" s="150"/>
      <c r="I309" s="150"/>
      <c r="J309" s="181"/>
      <c r="K309" s="308">
        <f>SUM(K508,K512)</f>
        <v>0</v>
      </c>
      <c r="L309" s="309"/>
      <c r="M309" s="1"/>
      <c r="N309" s="1"/>
      <c r="O309" s="1"/>
    </row>
    <row r="310" spans="1:15" ht="18.75" customHeight="1" x14ac:dyDescent="0.25">
      <c r="A310" s="303"/>
      <c r="B310" s="156"/>
      <c r="C310" s="156"/>
      <c r="D310" s="156"/>
      <c r="E310" s="156"/>
      <c r="F310" s="156"/>
      <c r="G310" s="156"/>
      <c r="H310" s="156"/>
      <c r="I310" s="156"/>
      <c r="J310" s="191"/>
      <c r="K310" s="193"/>
      <c r="L310" s="304"/>
      <c r="M310" s="1"/>
      <c r="N310" s="1"/>
      <c r="O310" s="1"/>
    </row>
    <row r="311" spans="1:15" ht="18.75" customHeight="1" x14ac:dyDescent="0.25">
      <c r="A311" s="330" t="s">
        <v>336</v>
      </c>
      <c r="B311" s="150"/>
      <c r="C311" s="150"/>
      <c r="D311" s="150"/>
      <c r="E311" s="150"/>
      <c r="F311" s="150"/>
      <c r="G311" s="150"/>
      <c r="H311" s="150"/>
      <c r="I311" s="150"/>
      <c r="J311" s="181"/>
      <c r="K311" s="308">
        <f>K520</f>
        <v>0</v>
      </c>
      <c r="L311" s="309"/>
      <c r="M311" s="1"/>
      <c r="N311" s="1"/>
      <c r="O311" s="1"/>
    </row>
    <row r="312" spans="1:15" ht="18.75" customHeight="1" x14ac:dyDescent="0.25">
      <c r="A312" s="303"/>
      <c r="B312" s="156"/>
      <c r="C312" s="156"/>
      <c r="D312" s="156"/>
      <c r="E312" s="156"/>
      <c r="F312" s="156"/>
      <c r="G312" s="156"/>
      <c r="H312" s="156"/>
      <c r="I312" s="156"/>
      <c r="J312" s="191"/>
      <c r="K312" s="193"/>
      <c r="L312" s="304"/>
      <c r="M312" s="1"/>
      <c r="N312" s="1"/>
      <c r="O312" s="1"/>
    </row>
    <row r="313" spans="1:15" ht="18.75" customHeight="1" x14ac:dyDescent="0.25">
      <c r="A313" s="330" t="s">
        <v>337</v>
      </c>
      <c r="B313" s="150"/>
      <c r="C313" s="150"/>
      <c r="D313" s="150"/>
      <c r="E313" s="150"/>
      <c r="F313" s="150"/>
      <c r="G313" s="150"/>
      <c r="H313" s="150"/>
      <c r="I313" s="150"/>
      <c r="J313" s="181"/>
      <c r="K313" s="308">
        <f>K524</f>
        <v>0</v>
      </c>
      <c r="L313" s="309"/>
      <c r="M313" s="1"/>
      <c r="N313" s="1"/>
      <c r="O313" s="1"/>
    </row>
    <row r="314" spans="1:15" ht="18.75" customHeight="1" x14ac:dyDescent="0.25">
      <c r="A314" s="303"/>
      <c r="B314" s="156"/>
      <c r="C314" s="156"/>
      <c r="D314" s="156"/>
      <c r="E314" s="156"/>
      <c r="F314" s="156"/>
      <c r="G314" s="156"/>
      <c r="H314" s="156"/>
      <c r="I314" s="156"/>
      <c r="J314" s="191"/>
      <c r="K314" s="193"/>
      <c r="L314" s="304"/>
      <c r="M314" s="1"/>
      <c r="N314" s="1"/>
      <c r="O314" s="1"/>
    </row>
    <row r="315" spans="1:15" ht="18.75" customHeight="1" x14ac:dyDescent="0.25">
      <c r="A315" s="331" t="s">
        <v>287</v>
      </c>
      <c r="B315" s="150"/>
      <c r="C315" s="150"/>
      <c r="D315" s="150"/>
      <c r="E315" s="150"/>
      <c r="F315" s="150"/>
      <c r="G315" s="150"/>
      <c r="H315" s="150"/>
      <c r="I315" s="150"/>
      <c r="J315" s="181"/>
      <c r="K315" s="332" t="e">
        <f>SUM(K307:L314)</f>
        <v>#REF!</v>
      </c>
      <c r="L315" s="309"/>
      <c r="M315" s="1"/>
      <c r="N315" s="1"/>
      <c r="O315" s="1"/>
    </row>
    <row r="316" spans="1:15" ht="18.75" customHeight="1" thickBot="1" x14ac:dyDescent="0.3">
      <c r="A316" s="333"/>
      <c r="B316" s="318"/>
      <c r="C316" s="318"/>
      <c r="D316" s="318"/>
      <c r="E316" s="318"/>
      <c r="F316" s="318"/>
      <c r="G316" s="318"/>
      <c r="H316" s="318"/>
      <c r="I316" s="318"/>
      <c r="J316" s="319"/>
      <c r="K316" s="317"/>
      <c r="L316" s="320"/>
      <c r="M316" s="1"/>
      <c r="N316" s="1"/>
      <c r="O316" s="1"/>
    </row>
    <row r="317" spans="1:15" ht="18.75" customHeight="1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8.75" customHeight="1" x14ac:dyDescent="0.25">
      <c r="A318" s="334" t="s">
        <v>338</v>
      </c>
      <c r="B318" s="323"/>
      <c r="C318" s="323"/>
      <c r="D318" s="323"/>
      <c r="E318" s="323"/>
      <c r="F318" s="323"/>
      <c r="G318" s="323"/>
      <c r="H318" s="323"/>
      <c r="I318" s="323"/>
      <c r="J318" s="323"/>
      <c r="K318" s="323"/>
      <c r="L318" s="324"/>
      <c r="M318" s="1"/>
      <c r="N318" s="1"/>
      <c r="O318" s="1"/>
    </row>
    <row r="319" spans="1:15" ht="18.75" customHeight="1" thickBot="1" x14ac:dyDescent="0.3">
      <c r="A319" s="325"/>
      <c r="B319" s="326"/>
      <c r="C319" s="326"/>
      <c r="D319" s="326"/>
      <c r="E319" s="326"/>
      <c r="F319" s="326"/>
      <c r="G319" s="326"/>
      <c r="H319" s="326"/>
      <c r="I319" s="326"/>
      <c r="J319" s="326"/>
      <c r="K319" s="326"/>
      <c r="L319" s="327"/>
      <c r="M319" s="1"/>
      <c r="N319" s="1"/>
      <c r="O319" s="1"/>
    </row>
    <row r="320" spans="1:15" ht="18.75" customHeight="1" thickBot="1" x14ac:dyDescent="0.3">
      <c r="A320" s="321"/>
      <c r="B320" s="321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1"/>
      <c r="N320" s="1"/>
      <c r="O320" s="1"/>
    </row>
    <row r="321" spans="1:15" ht="18.75" customHeight="1" x14ac:dyDescent="0.25">
      <c r="A321" s="335" t="s">
        <v>339</v>
      </c>
      <c r="B321" s="336"/>
      <c r="C321" s="336"/>
      <c r="D321" s="336"/>
      <c r="E321" s="336"/>
      <c r="F321" s="336"/>
      <c r="G321" s="336"/>
      <c r="H321" s="336"/>
      <c r="I321" s="336"/>
      <c r="J321" s="337"/>
      <c r="K321" s="338"/>
      <c r="L321" s="339"/>
      <c r="M321" s="1"/>
      <c r="N321" s="1"/>
      <c r="O321" s="1"/>
    </row>
    <row r="322" spans="1:15" ht="18.75" customHeight="1" x14ac:dyDescent="0.25">
      <c r="A322" s="303"/>
      <c r="B322" s="156"/>
      <c r="C322" s="156"/>
      <c r="D322" s="156"/>
      <c r="E322" s="156"/>
      <c r="F322" s="156"/>
      <c r="G322" s="156"/>
      <c r="H322" s="156"/>
      <c r="I322" s="156"/>
      <c r="J322" s="191"/>
      <c r="K322" s="193"/>
      <c r="L322" s="304"/>
      <c r="M322" s="1"/>
      <c r="N322" s="1"/>
      <c r="O322" s="1"/>
    </row>
    <row r="323" spans="1:15" ht="18.75" customHeight="1" x14ac:dyDescent="0.25">
      <c r="A323" s="340" t="s">
        <v>340</v>
      </c>
      <c r="B323" s="150"/>
      <c r="C323" s="150"/>
      <c r="D323" s="150"/>
      <c r="E323" s="150"/>
      <c r="F323" s="150"/>
      <c r="G323" s="150"/>
      <c r="H323" s="150"/>
      <c r="I323" s="150"/>
      <c r="J323" s="181"/>
      <c r="K323" s="341"/>
      <c r="L323" s="309"/>
      <c r="M323" s="1"/>
      <c r="N323" s="1"/>
      <c r="O323" s="1"/>
    </row>
    <row r="324" spans="1:15" ht="19.5" customHeight="1" thickBot="1" x14ac:dyDescent="0.3">
      <c r="A324" s="333"/>
      <c r="B324" s="318"/>
      <c r="C324" s="318"/>
      <c r="D324" s="318"/>
      <c r="E324" s="318"/>
      <c r="F324" s="318"/>
      <c r="G324" s="318"/>
      <c r="H324" s="318"/>
      <c r="I324" s="318"/>
      <c r="J324" s="319"/>
      <c r="K324" s="317"/>
      <c r="L324" s="320"/>
      <c r="M324" s="1"/>
      <c r="N324" s="1"/>
      <c r="O324" s="1"/>
    </row>
    <row r="325" spans="1:15" ht="18.75" customHeight="1" thickBot="1" x14ac:dyDescent="0.3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1"/>
      <c r="N325" s="1"/>
      <c r="O325" s="1"/>
    </row>
    <row r="326" spans="1:15" ht="18.75" customHeight="1" x14ac:dyDescent="0.25">
      <c r="A326" s="342" t="s">
        <v>341</v>
      </c>
      <c r="B326" s="343"/>
      <c r="C326" s="343"/>
      <c r="D326" s="343"/>
      <c r="E326" s="343"/>
      <c r="F326" s="343"/>
      <c r="G326" s="343"/>
      <c r="H326" s="343"/>
      <c r="I326" s="343"/>
      <c r="J326" s="344"/>
      <c r="K326" s="345">
        <f>SUM(K327,K328,K329,K330)</f>
        <v>0</v>
      </c>
      <c r="L326" s="346"/>
      <c r="M326" s="1"/>
      <c r="N326" s="1"/>
      <c r="O326" s="1"/>
    </row>
    <row r="327" spans="1:15" ht="18.75" customHeight="1" x14ac:dyDescent="0.25">
      <c r="A327" s="347" t="s">
        <v>342</v>
      </c>
      <c r="B327" s="142"/>
      <c r="C327" s="142"/>
      <c r="D327" s="142"/>
      <c r="E327" s="142"/>
      <c r="F327" s="142"/>
      <c r="G327" s="142"/>
      <c r="H327" s="142"/>
      <c r="I327" s="142"/>
      <c r="J327" s="140"/>
      <c r="K327" s="348"/>
      <c r="L327" s="306"/>
      <c r="M327" s="1"/>
      <c r="N327" s="1"/>
      <c r="O327" s="1"/>
    </row>
    <row r="328" spans="1:15" ht="18.75" customHeight="1" x14ac:dyDescent="0.25">
      <c r="A328" s="347" t="s">
        <v>343</v>
      </c>
      <c r="B328" s="142"/>
      <c r="C328" s="142"/>
      <c r="D328" s="142"/>
      <c r="E328" s="142"/>
      <c r="F328" s="142"/>
      <c r="G328" s="142"/>
      <c r="H328" s="142"/>
      <c r="I328" s="142"/>
      <c r="J328" s="140"/>
      <c r="K328" s="348"/>
      <c r="L328" s="306"/>
      <c r="M328" s="1"/>
      <c r="N328" s="1"/>
      <c r="O328" s="1"/>
    </row>
    <row r="329" spans="1:15" ht="18.75" customHeight="1" x14ac:dyDescent="0.25">
      <c r="A329" s="347" t="s">
        <v>344</v>
      </c>
      <c r="B329" s="142"/>
      <c r="C329" s="142"/>
      <c r="D329" s="142"/>
      <c r="E329" s="142"/>
      <c r="F329" s="142"/>
      <c r="G329" s="142"/>
      <c r="H329" s="142"/>
      <c r="I329" s="142"/>
      <c r="J329" s="140"/>
      <c r="K329" s="348"/>
      <c r="L329" s="306"/>
      <c r="M329" s="1"/>
      <c r="N329" s="1"/>
      <c r="O329" s="1"/>
    </row>
    <row r="330" spans="1:15" ht="18.75" customHeight="1" x14ac:dyDescent="0.25">
      <c r="A330" s="349" t="s">
        <v>345</v>
      </c>
      <c r="B330" s="150"/>
      <c r="C330" s="150"/>
      <c r="D330" s="150"/>
      <c r="E330" s="150"/>
      <c r="F330" s="150"/>
      <c r="G330" s="150"/>
      <c r="H330" s="150"/>
      <c r="I330" s="150"/>
      <c r="J330" s="181"/>
      <c r="K330" s="350"/>
      <c r="L330" s="309"/>
      <c r="M330" s="1"/>
      <c r="N330" s="1"/>
      <c r="O330" s="1"/>
    </row>
    <row r="331" spans="1:15" ht="18.75" customHeight="1" x14ac:dyDescent="0.25">
      <c r="A331" s="351"/>
      <c r="B331" s="351"/>
      <c r="C331" s="351"/>
      <c r="D331" s="351"/>
      <c r="E331" s="351"/>
      <c r="F331" s="351"/>
      <c r="G331" s="351"/>
      <c r="H331" s="351"/>
      <c r="I331" s="351"/>
      <c r="J331" s="351"/>
      <c r="K331" s="352"/>
      <c r="L331" s="352"/>
      <c r="M331" s="1"/>
      <c r="N331" s="1"/>
      <c r="O331" s="1"/>
    </row>
    <row r="332" spans="1:15" ht="18.75" customHeight="1" x14ac:dyDescent="0.25">
      <c r="A332" s="353" t="s">
        <v>346</v>
      </c>
      <c r="B332" s="354"/>
      <c r="C332" s="354"/>
      <c r="D332" s="354"/>
      <c r="E332" s="354"/>
      <c r="F332" s="354"/>
      <c r="G332" s="354"/>
      <c r="H332" s="354"/>
      <c r="I332" s="354"/>
      <c r="J332" s="355"/>
      <c r="K332" s="356">
        <f>SUM(K334:L376)</f>
        <v>0</v>
      </c>
      <c r="L332" s="302"/>
      <c r="M332" s="1"/>
      <c r="N332" s="1"/>
      <c r="O332" s="1"/>
    </row>
    <row r="333" spans="1:15" ht="18.75" customHeight="1" thickBot="1" x14ac:dyDescent="0.3">
      <c r="A333" s="325"/>
      <c r="B333" s="326"/>
      <c r="C333" s="326"/>
      <c r="D333" s="326"/>
      <c r="E333" s="326"/>
      <c r="F333" s="326"/>
      <c r="G333" s="326"/>
      <c r="H333" s="326"/>
      <c r="I333" s="326"/>
      <c r="J333" s="357"/>
      <c r="K333" s="317"/>
      <c r="L333" s="320"/>
      <c r="M333" s="1"/>
      <c r="N333" s="1"/>
      <c r="O333" s="1"/>
    </row>
    <row r="334" spans="1:15" ht="18.75" customHeight="1" x14ac:dyDescent="0.25">
      <c r="A334" s="358" t="s">
        <v>347</v>
      </c>
      <c r="B334" s="359"/>
      <c r="C334" s="359"/>
      <c r="D334" s="359"/>
      <c r="E334" s="359"/>
      <c r="F334" s="359"/>
      <c r="G334" s="359"/>
      <c r="H334" s="359"/>
      <c r="I334" s="359"/>
      <c r="J334" s="360"/>
      <c r="K334" s="361"/>
      <c r="L334" s="346"/>
      <c r="M334" s="1"/>
      <c r="N334" s="1"/>
      <c r="O334" s="1"/>
    </row>
    <row r="335" spans="1:15" ht="18.75" customHeight="1" x14ac:dyDescent="0.25">
      <c r="A335" s="362" t="s">
        <v>348</v>
      </c>
      <c r="B335" s="363"/>
      <c r="C335" s="363"/>
      <c r="D335" s="363"/>
      <c r="E335" s="363"/>
      <c r="F335" s="363"/>
      <c r="G335" s="363"/>
      <c r="H335" s="363"/>
      <c r="I335" s="363"/>
      <c r="J335" s="364"/>
      <c r="K335" s="348"/>
      <c r="L335" s="306"/>
      <c r="M335" s="1"/>
      <c r="N335" s="1"/>
      <c r="O335" s="1"/>
    </row>
    <row r="336" spans="1:15" ht="18.75" customHeight="1" x14ac:dyDescent="0.25">
      <c r="A336" s="362" t="s">
        <v>349</v>
      </c>
      <c r="B336" s="363"/>
      <c r="C336" s="363"/>
      <c r="D336" s="363"/>
      <c r="E336" s="363"/>
      <c r="F336" s="363"/>
      <c r="G336" s="363"/>
      <c r="H336" s="363"/>
      <c r="I336" s="363"/>
      <c r="J336" s="364"/>
      <c r="K336" s="348"/>
      <c r="L336" s="306"/>
      <c r="M336" s="1"/>
      <c r="N336" s="1"/>
      <c r="O336" s="1"/>
    </row>
    <row r="337" spans="1:15" ht="18.75" customHeight="1" x14ac:dyDescent="0.25">
      <c r="A337" s="362" t="s">
        <v>350</v>
      </c>
      <c r="B337" s="363"/>
      <c r="C337" s="363"/>
      <c r="D337" s="363"/>
      <c r="E337" s="363"/>
      <c r="F337" s="363"/>
      <c r="G337" s="363"/>
      <c r="H337" s="363"/>
      <c r="I337" s="363"/>
      <c r="J337" s="364"/>
      <c r="K337" s="348"/>
      <c r="L337" s="306"/>
      <c r="M337" s="1"/>
      <c r="N337" s="1"/>
      <c r="O337" s="1"/>
    </row>
    <row r="338" spans="1:15" ht="18.75" customHeight="1" x14ac:dyDescent="0.25">
      <c r="A338" s="362" t="s">
        <v>351</v>
      </c>
      <c r="B338" s="363"/>
      <c r="C338" s="363"/>
      <c r="D338" s="363"/>
      <c r="E338" s="363"/>
      <c r="F338" s="363"/>
      <c r="G338" s="363"/>
      <c r="H338" s="363"/>
      <c r="I338" s="363"/>
      <c r="J338" s="364"/>
      <c r="K338" s="348"/>
      <c r="L338" s="306"/>
      <c r="M338" s="1"/>
      <c r="N338" s="1"/>
      <c r="O338" s="1"/>
    </row>
    <row r="339" spans="1:15" ht="18.75" customHeight="1" x14ac:dyDescent="0.25">
      <c r="A339" s="362" t="s">
        <v>352</v>
      </c>
      <c r="B339" s="363"/>
      <c r="C339" s="363"/>
      <c r="D339" s="363"/>
      <c r="E339" s="363"/>
      <c r="F339" s="363"/>
      <c r="G339" s="363"/>
      <c r="H339" s="363"/>
      <c r="I339" s="363"/>
      <c r="J339" s="364"/>
      <c r="K339" s="348"/>
      <c r="L339" s="306"/>
      <c r="M339" s="1"/>
      <c r="N339" s="1"/>
      <c r="O339" s="1"/>
    </row>
    <row r="340" spans="1:15" ht="18.75" customHeight="1" x14ac:dyDescent="0.25">
      <c r="A340" s="362" t="s">
        <v>353</v>
      </c>
      <c r="B340" s="363"/>
      <c r="C340" s="363"/>
      <c r="D340" s="363"/>
      <c r="E340" s="363"/>
      <c r="F340" s="363"/>
      <c r="G340" s="363"/>
      <c r="H340" s="363"/>
      <c r="I340" s="363"/>
      <c r="J340" s="364"/>
      <c r="K340" s="348"/>
      <c r="L340" s="306"/>
      <c r="M340" s="1"/>
      <c r="N340" s="1"/>
      <c r="O340" s="1"/>
    </row>
    <row r="341" spans="1:15" ht="18.75" customHeight="1" x14ac:dyDescent="0.25">
      <c r="A341" s="362" t="s">
        <v>354</v>
      </c>
      <c r="B341" s="363"/>
      <c r="C341" s="363"/>
      <c r="D341" s="363"/>
      <c r="E341" s="363"/>
      <c r="F341" s="363"/>
      <c r="G341" s="363"/>
      <c r="H341" s="363"/>
      <c r="I341" s="363"/>
      <c r="J341" s="364"/>
      <c r="K341" s="348"/>
      <c r="L341" s="306"/>
      <c r="M341" s="1"/>
      <c r="N341" s="1"/>
      <c r="O341" s="1"/>
    </row>
    <row r="342" spans="1:15" ht="18.75" customHeight="1" x14ac:dyDescent="0.25">
      <c r="A342" s="362" t="s">
        <v>355</v>
      </c>
      <c r="B342" s="363"/>
      <c r="C342" s="363"/>
      <c r="D342" s="363"/>
      <c r="E342" s="363"/>
      <c r="F342" s="363"/>
      <c r="G342" s="363"/>
      <c r="H342" s="363"/>
      <c r="I342" s="363"/>
      <c r="J342" s="364"/>
      <c r="K342" s="348"/>
      <c r="L342" s="306"/>
      <c r="M342" s="1"/>
      <c r="N342" s="1"/>
      <c r="O342" s="1"/>
    </row>
    <row r="343" spans="1:15" ht="18.75" customHeight="1" x14ac:dyDescent="0.25">
      <c r="A343" s="362" t="s">
        <v>356</v>
      </c>
      <c r="B343" s="363"/>
      <c r="C343" s="363"/>
      <c r="D343" s="363"/>
      <c r="E343" s="363"/>
      <c r="F343" s="363"/>
      <c r="G343" s="363"/>
      <c r="H343" s="363"/>
      <c r="I343" s="363"/>
      <c r="J343" s="364"/>
      <c r="K343" s="348"/>
      <c r="L343" s="306"/>
      <c r="M343" s="1"/>
      <c r="N343" s="1"/>
      <c r="O343" s="1"/>
    </row>
    <row r="344" spans="1:15" ht="18.75" customHeight="1" x14ac:dyDescent="0.25">
      <c r="A344" s="362" t="s">
        <v>357</v>
      </c>
      <c r="B344" s="363"/>
      <c r="C344" s="363"/>
      <c r="D344" s="363"/>
      <c r="E344" s="363"/>
      <c r="F344" s="363"/>
      <c r="G344" s="363"/>
      <c r="H344" s="363"/>
      <c r="I344" s="363"/>
      <c r="J344" s="364"/>
      <c r="K344" s="348"/>
      <c r="L344" s="306"/>
      <c r="M344" s="1"/>
      <c r="N344" s="1"/>
      <c r="O344" s="1"/>
    </row>
    <row r="345" spans="1:15" ht="18.75" customHeight="1" x14ac:dyDescent="0.25">
      <c r="A345" s="362" t="s">
        <v>358</v>
      </c>
      <c r="B345" s="363"/>
      <c r="C345" s="363"/>
      <c r="D345" s="363"/>
      <c r="E345" s="363"/>
      <c r="F345" s="363"/>
      <c r="G345" s="363"/>
      <c r="H345" s="363"/>
      <c r="I345" s="363"/>
      <c r="J345" s="364"/>
      <c r="K345" s="348"/>
      <c r="L345" s="306"/>
      <c r="M345" s="1"/>
      <c r="N345" s="1"/>
      <c r="O345" s="1"/>
    </row>
    <row r="346" spans="1:15" ht="18.75" customHeight="1" x14ac:dyDescent="0.25">
      <c r="A346" s="362" t="s">
        <v>359</v>
      </c>
      <c r="B346" s="363"/>
      <c r="C346" s="363"/>
      <c r="D346" s="363"/>
      <c r="E346" s="363"/>
      <c r="F346" s="363"/>
      <c r="G346" s="363"/>
      <c r="H346" s="363"/>
      <c r="I346" s="363"/>
      <c r="J346" s="364"/>
      <c r="K346" s="348"/>
      <c r="L346" s="306"/>
      <c r="M346" s="1"/>
      <c r="N346" s="1"/>
      <c r="O346" s="1"/>
    </row>
    <row r="347" spans="1:15" ht="18.75" customHeight="1" x14ac:dyDescent="0.25">
      <c r="A347" s="362" t="s">
        <v>360</v>
      </c>
      <c r="B347" s="363"/>
      <c r="C347" s="363"/>
      <c r="D347" s="363"/>
      <c r="E347" s="363"/>
      <c r="F347" s="363"/>
      <c r="G347" s="363"/>
      <c r="H347" s="363"/>
      <c r="I347" s="363"/>
      <c r="J347" s="364"/>
      <c r="K347" s="348"/>
      <c r="L347" s="306"/>
      <c r="M347" s="1"/>
      <c r="N347" s="1"/>
      <c r="O347" s="1"/>
    </row>
    <row r="348" spans="1:15" ht="18.75" customHeight="1" x14ac:dyDescent="0.25">
      <c r="A348" s="362" t="s">
        <v>361</v>
      </c>
      <c r="B348" s="363"/>
      <c r="C348" s="363"/>
      <c r="D348" s="363"/>
      <c r="E348" s="363"/>
      <c r="F348" s="363"/>
      <c r="G348" s="363"/>
      <c r="H348" s="363"/>
      <c r="I348" s="363"/>
      <c r="J348" s="364"/>
      <c r="K348" s="348"/>
      <c r="L348" s="306"/>
      <c r="M348" s="1"/>
      <c r="N348" s="1"/>
      <c r="O348" s="1"/>
    </row>
    <row r="349" spans="1:15" ht="18.75" customHeight="1" x14ac:dyDescent="0.25">
      <c r="A349" s="362" t="s">
        <v>362</v>
      </c>
      <c r="B349" s="363"/>
      <c r="C349" s="363"/>
      <c r="D349" s="363"/>
      <c r="E349" s="363"/>
      <c r="F349" s="363"/>
      <c r="G349" s="363"/>
      <c r="H349" s="363"/>
      <c r="I349" s="363"/>
      <c r="J349" s="364"/>
      <c r="K349" s="348"/>
      <c r="L349" s="306"/>
      <c r="M349" s="1"/>
      <c r="N349" s="1"/>
      <c r="O349" s="1"/>
    </row>
    <row r="350" spans="1:15" ht="18.75" customHeight="1" x14ac:dyDescent="0.25">
      <c r="A350" s="362" t="s">
        <v>363</v>
      </c>
      <c r="B350" s="363"/>
      <c r="C350" s="363"/>
      <c r="D350" s="363"/>
      <c r="E350" s="363"/>
      <c r="F350" s="363"/>
      <c r="G350" s="363"/>
      <c r="H350" s="363"/>
      <c r="I350" s="363"/>
      <c r="J350" s="364"/>
      <c r="K350" s="348"/>
      <c r="L350" s="306"/>
      <c r="M350" s="1"/>
      <c r="N350" s="1"/>
      <c r="O350" s="1"/>
    </row>
    <row r="351" spans="1:15" ht="18.75" customHeight="1" x14ac:dyDescent="0.25">
      <c r="A351" s="362" t="s">
        <v>364</v>
      </c>
      <c r="B351" s="363"/>
      <c r="C351" s="363"/>
      <c r="D351" s="363"/>
      <c r="E351" s="363"/>
      <c r="F351" s="363"/>
      <c r="G351" s="363"/>
      <c r="H351" s="363"/>
      <c r="I351" s="363"/>
      <c r="J351" s="364"/>
      <c r="K351" s="348"/>
      <c r="L351" s="306"/>
      <c r="M351" s="1"/>
      <c r="N351" s="1"/>
      <c r="O351" s="1"/>
    </row>
    <row r="352" spans="1:15" ht="18.75" customHeight="1" x14ac:dyDescent="0.25">
      <c r="A352" s="362" t="s">
        <v>365</v>
      </c>
      <c r="B352" s="363"/>
      <c r="C352" s="363"/>
      <c r="D352" s="363"/>
      <c r="E352" s="363"/>
      <c r="F352" s="363"/>
      <c r="G352" s="363"/>
      <c r="H352" s="363"/>
      <c r="I352" s="363"/>
      <c r="J352" s="364"/>
      <c r="K352" s="348"/>
      <c r="L352" s="306"/>
      <c r="M352" s="1"/>
      <c r="N352" s="1"/>
      <c r="O352" s="1"/>
    </row>
    <row r="353" spans="1:15" ht="18.75" customHeight="1" x14ac:dyDescent="0.25">
      <c r="A353" s="362" t="s">
        <v>366</v>
      </c>
      <c r="B353" s="363"/>
      <c r="C353" s="363"/>
      <c r="D353" s="363"/>
      <c r="E353" s="363"/>
      <c r="F353" s="363"/>
      <c r="G353" s="363"/>
      <c r="H353" s="363"/>
      <c r="I353" s="363"/>
      <c r="J353" s="364"/>
      <c r="K353" s="348"/>
      <c r="L353" s="306"/>
      <c r="M353" s="1"/>
      <c r="N353" s="1"/>
      <c r="O353" s="1"/>
    </row>
    <row r="354" spans="1:15" ht="18.75" customHeight="1" x14ac:dyDescent="0.25">
      <c r="A354" s="362" t="s">
        <v>367</v>
      </c>
      <c r="B354" s="363"/>
      <c r="C354" s="363"/>
      <c r="D354" s="363"/>
      <c r="E354" s="363"/>
      <c r="F354" s="363"/>
      <c r="G354" s="363"/>
      <c r="H354" s="363"/>
      <c r="I354" s="363"/>
      <c r="J354" s="364"/>
      <c r="K354" s="348"/>
      <c r="L354" s="306"/>
      <c r="M354" s="1"/>
      <c r="N354" s="1"/>
      <c r="O354" s="1"/>
    </row>
    <row r="355" spans="1:15" ht="18.75" customHeight="1" x14ac:dyDescent="0.25">
      <c r="A355" s="362" t="s">
        <v>368</v>
      </c>
      <c r="B355" s="363"/>
      <c r="C355" s="363"/>
      <c r="D355" s="363"/>
      <c r="E355" s="363"/>
      <c r="F355" s="363"/>
      <c r="G355" s="363"/>
      <c r="H355" s="363"/>
      <c r="I355" s="363"/>
      <c r="J355" s="364"/>
      <c r="K355" s="348"/>
      <c r="L355" s="306"/>
      <c r="M355" s="1"/>
      <c r="N355" s="1"/>
      <c r="O355" s="1"/>
    </row>
    <row r="356" spans="1:15" ht="18.75" customHeight="1" x14ac:dyDescent="0.25">
      <c r="A356" s="362" t="s">
        <v>369</v>
      </c>
      <c r="B356" s="363"/>
      <c r="C356" s="363"/>
      <c r="D356" s="363"/>
      <c r="E356" s="363"/>
      <c r="F356" s="363"/>
      <c r="G356" s="363"/>
      <c r="H356" s="363"/>
      <c r="I356" s="363"/>
      <c r="J356" s="364"/>
      <c r="K356" s="348"/>
      <c r="L356" s="306"/>
      <c r="M356" s="1"/>
      <c r="N356" s="1"/>
      <c r="O356" s="1"/>
    </row>
    <row r="357" spans="1:15" ht="18.75" customHeight="1" x14ac:dyDescent="0.25">
      <c r="A357" s="362" t="s">
        <v>370</v>
      </c>
      <c r="B357" s="363"/>
      <c r="C357" s="363"/>
      <c r="D357" s="363"/>
      <c r="E357" s="363"/>
      <c r="F357" s="363"/>
      <c r="G357" s="363"/>
      <c r="H357" s="363"/>
      <c r="I357" s="363"/>
      <c r="J357" s="364"/>
      <c r="K357" s="348"/>
      <c r="L357" s="306"/>
      <c r="M357" s="1"/>
      <c r="N357" s="1"/>
      <c r="O357" s="1"/>
    </row>
    <row r="358" spans="1:15" ht="18.75" customHeight="1" x14ac:dyDescent="0.25">
      <c r="A358" s="362" t="s">
        <v>371</v>
      </c>
      <c r="B358" s="363"/>
      <c r="C358" s="363"/>
      <c r="D358" s="363"/>
      <c r="E358" s="363"/>
      <c r="F358" s="363"/>
      <c r="G358" s="363"/>
      <c r="H358" s="363"/>
      <c r="I358" s="363"/>
      <c r="J358" s="364"/>
      <c r="K358" s="348"/>
      <c r="L358" s="306"/>
      <c r="M358" s="1"/>
      <c r="N358" s="1"/>
      <c r="O358" s="1"/>
    </row>
    <row r="359" spans="1:15" ht="18.75" customHeight="1" x14ac:dyDescent="0.25">
      <c r="A359" s="362" t="s">
        <v>372</v>
      </c>
      <c r="B359" s="363"/>
      <c r="C359" s="363"/>
      <c r="D359" s="363"/>
      <c r="E359" s="363"/>
      <c r="F359" s="363"/>
      <c r="G359" s="363"/>
      <c r="H359" s="363"/>
      <c r="I359" s="363"/>
      <c r="J359" s="364"/>
      <c r="K359" s="348"/>
      <c r="L359" s="306"/>
      <c r="M359" s="1"/>
      <c r="N359" s="1"/>
      <c r="O359" s="1"/>
    </row>
    <row r="360" spans="1:15" ht="18.75" customHeight="1" x14ac:dyDescent="0.25">
      <c r="A360" s="362" t="s">
        <v>373</v>
      </c>
      <c r="B360" s="363"/>
      <c r="C360" s="363"/>
      <c r="D360" s="363"/>
      <c r="E360" s="363"/>
      <c r="F360" s="363"/>
      <c r="G360" s="363"/>
      <c r="H360" s="363"/>
      <c r="I360" s="363"/>
      <c r="J360" s="364"/>
      <c r="K360" s="348"/>
      <c r="L360" s="306"/>
      <c r="M360" s="1"/>
      <c r="N360" s="1"/>
      <c r="O360" s="1"/>
    </row>
    <row r="361" spans="1:15" ht="18.75" customHeight="1" x14ac:dyDescent="0.25">
      <c r="A361" s="362" t="s">
        <v>374</v>
      </c>
      <c r="B361" s="363"/>
      <c r="C361" s="363"/>
      <c r="D361" s="363"/>
      <c r="E361" s="363"/>
      <c r="F361" s="363"/>
      <c r="G361" s="363"/>
      <c r="H361" s="363"/>
      <c r="I361" s="363"/>
      <c r="J361" s="364"/>
      <c r="K361" s="348"/>
      <c r="L361" s="306"/>
      <c r="M361" s="1"/>
      <c r="N361" s="1"/>
      <c r="O361" s="1"/>
    </row>
    <row r="362" spans="1:15" ht="18" customHeight="1" x14ac:dyDescent="0.25">
      <c r="A362" s="362" t="s">
        <v>375</v>
      </c>
      <c r="B362" s="363"/>
      <c r="C362" s="363"/>
      <c r="D362" s="363"/>
      <c r="E362" s="363"/>
      <c r="F362" s="363"/>
      <c r="G362" s="363"/>
      <c r="H362" s="363"/>
      <c r="I362" s="363"/>
      <c r="J362" s="364"/>
      <c r="K362" s="348"/>
      <c r="L362" s="306"/>
      <c r="M362" s="1"/>
      <c r="N362" s="1"/>
      <c r="O362" s="1"/>
    </row>
    <row r="363" spans="1:15" ht="18.75" customHeight="1" x14ac:dyDescent="0.25">
      <c r="A363" s="362" t="s">
        <v>376</v>
      </c>
      <c r="B363" s="363"/>
      <c r="C363" s="363"/>
      <c r="D363" s="363"/>
      <c r="E363" s="363"/>
      <c r="F363" s="363"/>
      <c r="G363" s="363"/>
      <c r="H363" s="363"/>
      <c r="I363" s="363"/>
      <c r="J363" s="364"/>
      <c r="K363" s="348"/>
      <c r="L363" s="306"/>
      <c r="M363" s="1"/>
      <c r="N363" s="1"/>
      <c r="O363" s="1"/>
    </row>
    <row r="364" spans="1:15" ht="18.75" customHeight="1" x14ac:dyDescent="0.25">
      <c r="A364" s="362" t="s">
        <v>377</v>
      </c>
      <c r="B364" s="363"/>
      <c r="C364" s="363"/>
      <c r="D364" s="363"/>
      <c r="E364" s="363"/>
      <c r="F364" s="363"/>
      <c r="G364" s="363"/>
      <c r="H364" s="363"/>
      <c r="I364" s="363"/>
      <c r="J364" s="364"/>
      <c r="K364" s="348"/>
      <c r="L364" s="306"/>
      <c r="M364" s="1"/>
      <c r="N364" s="1"/>
      <c r="O364" s="1"/>
    </row>
    <row r="365" spans="1:15" ht="18" customHeight="1" x14ac:dyDescent="0.25">
      <c r="A365" s="362" t="s">
        <v>378</v>
      </c>
      <c r="B365" s="363"/>
      <c r="C365" s="363"/>
      <c r="D365" s="363"/>
      <c r="E365" s="363"/>
      <c r="F365" s="363"/>
      <c r="G365" s="363"/>
      <c r="H365" s="363"/>
      <c r="I365" s="363"/>
      <c r="J365" s="364"/>
      <c r="K365" s="348"/>
      <c r="L365" s="306"/>
      <c r="M365" s="1"/>
      <c r="N365" s="1"/>
      <c r="O365" s="1"/>
    </row>
    <row r="366" spans="1:15" ht="18" customHeight="1" x14ac:dyDescent="0.25">
      <c r="A366" s="362" t="s">
        <v>379</v>
      </c>
      <c r="B366" s="363"/>
      <c r="C366" s="363"/>
      <c r="D366" s="363"/>
      <c r="E366" s="363"/>
      <c r="F366" s="363"/>
      <c r="G366" s="363"/>
      <c r="H366" s="363"/>
      <c r="I366" s="363"/>
      <c r="J366" s="364"/>
      <c r="K366" s="348"/>
      <c r="L366" s="306"/>
      <c r="M366" s="1"/>
      <c r="N366" s="1"/>
      <c r="O366" s="1"/>
    </row>
    <row r="367" spans="1:15" ht="18.75" customHeight="1" x14ac:dyDescent="0.25">
      <c r="A367" s="362" t="s">
        <v>380</v>
      </c>
      <c r="B367" s="363"/>
      <c r="C367" s="363"/>
      <c r="D367" s="363"/>
      <c r="E367" s="363"/>
      <c r="F367" s="363"/>
      <c r="G367" s="363"/>
      <c r="H367" s="363"/>
      <c r="I367" s="363"/>
      <c r="J367" s="364"/>
      <c r="K367" s="348"/>
      <c r="L367" s="306"/>
      <c r="M367" s="1"/>
      <c r="N367" s="1"/>
      <c r="O367" s="1"/>
    </row>
    <row r="368" spans="1:15" ht="18.75" customHeight="1" x14ac:dyDescent="0.25">
      <c r="A368" s="362" t="s">
        <v>381</v>
      </c>
      <c r="B368" s="363"/>
      <c r="C368" s="363"/>
      <c r="D368" s="363"/>
      <c r="E368" s="363"/>
      <c r="F368" s="363"/>
      <c r="G368" s="363"/>
      <c r="H368" s="363"/>
      <c r="I368" s="363"/>
      <c r="J368" s="364"/>
      <c r="K368" s="348"/>
      <c r="L368" s="306"/>
      <c r="M368" s="1"/>
      <c r="N368" s="1"/>
      <c r="O368" s="1"/>
    </row>
    <row r="369" spans="1:15" ht="18.75" customHeight="1" x14ac:dyDescent="0.25">
      <c r="A369" s="362" t="s">
        <v>382</v>
      </c>
      <c r="B369" s="363"/>
      <c r="C369" s="363"/>
      <c r="D369" s="363"/>
      <c r="E369" s="363"/>
      <c r="F369" s="363"/>
      <c r="G369" s="363"/>
      <c r="H369" s="363"/>
      <c r="I369" s="363"/>
      <c r="J369" s="364"/>
      <c r="K369" s="348"/>
      <c r="L369" s="306"/>
      <c r="M369" s="1"/>
      <c r="N369" s="1"/>
      <c r="O369" s="1"/>
    </row>
    <row r="370" spans="1:15" ht="18.75" customHeight="1" x14ac:dyDescent="0.25">
      <c r="A370" s="362" t="s">
        <v>383</v>
      </c>
      <c r="B370" s="363"/>
      <c r="C370" s="363"/>
      <c r="D370" s="363"/>
      <c r="E370" s="363"/>
      <c r="F370" s="363"/>
      <c r="G370" s="363"/>
      <c r="H370" s="363"/>
      <c r="I370" s="363"/>
      <c r="J370" s="364"/>
      <c r="K370" s="348"/>
      <c r="L370" s="306"/>
      <c r="M370" s="1"/>
      <c r="N370" s="1"/>
      <c r="O370" s="1"/>
    </row>
    <row r="371" spans="1:15" ht="18.75" customHeight="1" x14ac:dyDescent="0.25">
      <c r="A371" s="362" t="s">
        <v>384</v>
      </c>
      <c r="B371" s="363"/>
      <c r="C371" s="363"/>
      <c r="D371" s="363"/>
      <c r="E371" s="363"/>
      <c r="F371" s="363"/>
      <c r="G371" s="363"/>
      <c r="H371" s="363"/>
      <c r="I371" s="363"/>
      <c r="J371" s="364"/>
      <c r="K371" s="348"/>
      <c r="L371" s="306"/>
      <c r="M371" s="1"/>
      <c r="N371" s="1"/>
      <c r="O371" s="1"/>
    </row>
    <row r="372" spans="1:15" ht="18.75" customHeight="1" x14ac:dyDescent="0.25">
      <c r="A372" s="362" t="s">
        <v>385</v>
      </c>
      <c r="B372" s="363"/>
      <c r="C372" s="363"/>
      <c r="D372" s="363"/>
      <c r="E372" s="363"/>
      <c r="F372" s="363"/>
      <c r="G372" s="363"/>
      <c r="H372" s="363"/>
      <c r="I372" s="363"/>
      <c r="J372" s="364"/>
      <c r="K372" s="348"/>
      <c r="L372" s="306"/>
      <c r="M372" s="1"/>
      <c r="N372" s="1"/>
      <c r="O372" s="1"/>
    </row>
    <row r="373" spans="1:15" ht="18.75" customHeight="1" x14ac:dyDescent="0.25">
      <c r="A373" s="362" t="s">
        <v>386</v>
      </c>
      <c r="B373" s="363"/>
      <c r="C373" s="363"/>
      <c r="D373" s="363"/>
      <c r="E373" s="363"/>
      <c r="F373" s="363"/>
      <c r="G373" s="363"/>
      <c r="H373" s="363"/>
      <c r="I373" s="363"/>
      <c r="J373" s="364"/>
      <c r="K373" s="348"/>
      <c r="L373" s="306"/>
      <c r="M373" s="1"/>
      <c r="N373" s="1"/>
      <c r="O373" s="1"/>
    </row>
    <row r="374" spans="1:15" ht="18.75" customHeight="1" x14ac:dyDescent="0.25">
      <c r="A374" s="362" t="s">
        <v>387</v>
      </c>
      <c r="B374" s="363"/>
      <c r="C374" s="363"/>
      <c r="D374" s="363"/>
      <c r="E374" s="363"/>
      <c r="F374" s="363"/>
      <c r="G374" s="363"/>
      <c r="H374" s="363"/>
      <c r="I374" s="363"/>
      <c r="J374" s="364"/>
      <c r="K374" s="348"/>
      <c r="L374" s="306"/>
      <c r="M374" s="1"/>
      <c r="N374" s="1"/>
      <c r="O374" s="1"/>
    </row>
    <row r="375" spans="1:15" ht="18.75" customHeight="1" x14ac:dyDescent="0.25">
      <c r="A375" s="362" t="s">
        <v>388</v>
      </c>
      <c r="B375" s="363"/>
      <c r="C375" s="363"/>
      <c r="D375" s="363"/>
      <c r="E375" s="363"/>
      <c r="F375" s="363"/>
      <c r="G375" s="363"/>
      <c r="H375" s="363"/>
      <c r="I375" s="363"/>
      <c r="J375" s="364"/>
      <c r="K375" s="348"/>
      <c r="L375" s="306"/>
      <c r="M375" s="1"/>
      <c r="N375" s="1"/>
      <c r="O375" s="1"/>
    </row>
    <row r="376" spans="1:15" ht="18.75" customHeight="1" thickBot="1" x14ac:dyDescent="0.3">
      <c r="A376" s="365" t="s">
        <v>389</v>
      </c>
      <c r="B376" s="366"/>
      <c r="C376" s="366"/>
      <c r="D376" s="366"/>
      <c r="E376" s="366"/>
      <c r="F376" s="366"/>
      <c r="G376" s="366"/>
      <c r="H376" s="366"/>
      <c r="I376" s="366"/>
      <c r="J376" s="367"/>
      <c r="K376" s="368"/>
      <c r="L376" s="369"/>
      <c r="M376" s="1"/>
      <c r="N376" s="1"/>
      <c r="O376" s="1"/>
    </row>
    <row r="377" spans="1:15" ht="18.75" customHeight="1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8.75" customHeight="1" x14ac:dyDescent="0.25">
      <c r="A378" s="334" t="s">
        <v>390</v>
      </c>
      <c r="B378" s="323"/>
      <c r="C378" s="323"/>
      <c r="D378" s="323"/>
      <c r="E378" s="323"/>
      <c r="F378" s="323"/>
      <c r="G378" s="323"/>
      <c r="H378" s="323"/>
      <c r="I378" s="323"/>
      <c r="J378" s="370"/>
      <c r="K378" s="371">
        <f>SUM(K380:L384)</f>
        <v>0</v>
      </c>
      <c r="L378" s="339"/>
      <c r="M378" s="1"/>
      <c r="N378" s="1"/>
      <c r="O378" s="1"/>
    </row>
    <row r="379" spans="1:15" ht="18.75" customHeight="1" thickBot="1" x14ac:dyDescent="0.3">
      <c r="A379" s="325"/>
      <c r="B379" s="326"/>
      <c r="C379" s="326"/>
      <c r="D379" s="326"/>
      <c r="E379" s="326"/>
      <c r="F379" s="326"/>
      <c r="G379" s="326"/>
      <c r="H379" s="326"/>
      <c r="I379" s="326"/>
      <c r="J379" s="357"/>
      <c r="K379" s="317"/>
      <c r="L379" s="320"/>
      <c r="M379" s="1"/>
      <c r="N379" s="1"/>
      <c r="O379" s="1"/>
    </row>
    <row r="380" spans="1:15" ht="18.75" customHeight="1" x14ac:dyDescent="0.25">
      <c r="A380" s="372" t="s">
        <v>348</v>
      </c>
      <c r="B380" s="373"/>
      <c r="C380" s="373"/>
      <c r="D380" s="373"/>
      <c r="E380" s="373"/>
      <c r="F380" s="373"/>
      <c r="G380" s="373"/>
      <c r="H380" s="373"/>
      <c r="I380" s="373"/>
      <c r="J380" s="374"/>
      <c r="K380" s="375"/>
      <c r="L380" s="346"/>
      <c r="M380" s="1"/>
      <c r="N380" s="1"/>
      <c r="O380" s="1"/>
    </row>
    <row r="381" spans="1:15" ht="18.75" customHeight="1" x14ac:dyDescent="0.25">
      <c r="A381" s="362" t="s">
        <v>349</v>
      </c>
      <c r="B381" s="363"/>
      <c r="C381" s="363"/>
      <c r="D381" s="363"/>
      <c r="E381" s="363"/>
      <c r="F381" s="363"/>
      <c r="G381" s="363"/>
      <c r="H381" s="363"/>
      <c r="I381" s="363"/>
      <c r="J381" s="364"/>
      <c r="K381" s="376"/>
      <c r="L381" s="306"/>
      <c r="M381" s="1"/>
      <c r="N381" s="1"/>
      <c r="O381" s="1"/>
    </row>
    <row r="382" spans="1:15" ht="18.75" customHeight="1" x14ac:dyDescent="0.25">
      <c r="A382" s="362" t="s">
        <v>391</v>
      </c>
      <c r="B382" s="363"/>
      <c r="C382" s="363"/>
      <c r="D382" s="363"/>
      <c r="E382" s="363"/>
      <c r="F382" s="363"/>
      <c r="G382" s="363"/>
      <c r="H382" s="363"/>
      <c r="I382" s="363"/>
      <c r="J382" s="364"/>
      <c r="K382" s="376"/>
      <c r="L382" s="306"/>
      <c r="M382" s="1"/>
      <c r="N382" s="1"/>
      <c r="O382" s="1"/>
    </row>
    <row r="383" spans="1:15" ht="18.75" customHeight="1" x14ac:dyDescent="0.25">
      <c r="A383" s="362" t="s">
        <v>392</v>
      </c>
      <c r="B383" s="363"/>
      <c r="C383" s="363"/>
      <c r="D383" s="363"/>
      <c r="E383" s="363"/>
      <c r="F383" s="363"/>
      <c r="G383" s="363"/>
      <c r="H383" s="363"/>
      <c r="I383" s="363"/>
      <c r="J383" s="364"/>
      <c r="K383" s="376"/>
      <c r="L383" s="306"/>
      <c r="M383" s="1"/>
      <c r="N383" s="1"/>
      <c r="O383" s="1"/>
    </row>
    <row r="384" spans="1:15" ht="18.75" customHeight="1" thickBot="1" x14ac:dyDescent="0.3">
      <c r="A384" s="365" t="s">
        <v>393</v>
      </c>
      <c r="B384" s="366"/>
      <c r="C384" s="366"/>
      <c r="D384" s="366"/>
      <c r="E384" s="366"/>
      <c r="F384" s="366"/>
      <c r="G384" s="366"/>
      <c r="H384" s="366"/>
      <c r="I384" s="366"/>
      <c r="J384" s="367"/>
      <c r="K384" s="377"/>
      <c r="L384" s="369"/>
      <c r="M384" s="1"/>
      <c r="N384" s="1"/>
      <c r="O384" s="1"/>
    </row>
    <row r="385" spans="1:15" ht="18.75" customHeight="1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8.75" customHeight="1" x14ac:dyDescent="0.25">
      <c r="A386" s="334" t="s">
        <v>394</v>
      </c>
      <c r="B386" s="323"/>
      <c r="C386" s="323"/>
      <c r="D386" s="323"/>
      <c r="E386" s="323"/>
      <c r="F386" s="323"/>
      <c r="G386" s="323"/>
      <c r="H386" s="323"/>
      <c r="I386" s="323"/>
      <c r="J386" s="370"/>
      <c r="K386" s="378">
        <f>SUM(K388:L392)</f>
        <v>0</v>
      </c>
      <c r="L386" s="339"/>
      <c r="M386" s="1"/>
      <c r="N386" s="1"/>
      <c r="O386" s="1"/>
    </row>
    <row r="387" spans="1:15" ht="18.75" customHeight="1" thickBot="1" x14ac:dyDescent="0.3">
      <c r="A387" s="325"/>
      <c r="B387" s="326"/>
      <c r="C387" s="326"/>
      <c r="D387" s="326"/>
      <c r="E387" s="326"/>
      <c r="F387" s="326"/>
      <c r="G387" s="326"/>
      <c r="H387" s="326"/>
      <c r="I387" s="326"/>
      <c r="J387" s="357"/>
      <c r="K387" s="317"/>
      <c r="L387" s="320"/>
      <c r="M387" s="1"/>
      <c r="N387" s="1"/>
      <c r="O387" s="1"/>
    </row>
    <row r="388" spans="1:15" ht="18.75" customHeight="1" x14ac:dyDescent="0.25">
      <c r="A388" s="372" t="s">
        <v>395</v>
      </c>
      <c r="B388" s="373"/>
      <c r="C388" s="373"/>
      <c r="D388" s="373"/>
      <c r="E388" s="373"/>
      <c r="F388" s="373"/>
      <c r="G388" s="373"/>
      <c r="H388" s="373"/>
      <c r="I388" s="373"/>
      <c r="J388" s="374"/>
      <c r="K388" s="361"/>
      <c r="L388" s="346"/>
      <c r="M388" s="1"/>
      <c r="N388" s="1"/>
      <c r="O388" s="1"/>
    </row>
    <row r="389" spans="1:15" ht="18.75" customHeight="1" x14ac:dyDescent="0.25">
      <c r="A389" s="362" t="s">
        <v>396</v>
      </c>
      <c r="B389" s="363"/>
      <c r="C389" s="363"/>
      <c r="D389" s="363"/>
      <c r="E389" s="363"/>
      <c r="F389" s="363"/>
      <c r="G389" s="363"/>
      <c r="H389" s="363"/>
      <c r="I389" s="363"/>
      <c r="J389" s="364"/>
      <c r="K389" s="348"/>
      <c r="L389" s="306"/>
      <c r="M389" s="1"/>
      <c r="N389" s="1"/>
      <c r="O389" s="1"/>
    </row>
    <row r="390" spans="1:15" ht="18.75" customHeight="1" x14ac:dyDescent="0.25">
      <c r="A390" s="362" t="s">
        <v>397</v>
      </c>
      <c r="B390" s="363"/>
      <c r="C390" s="363"/>
      <c r="D390" s="363"/>
      <c r="E390" s="363"/>
      <c r="F390" s="363"/>
      <c r="G390" s="363"/>
      <c r="H390" s="363"/>
      <c r="I390" s="363"/>
      <c r="J390" s="364"/>
      <c r="K390" s="348"/>
      <c r="L390" s="306"/>
      <c r="M390" s="1"/>
      <c r="N390" s="1"/>
      <c r="O390" s="1"/>
    </row>
    <row r="391" spans="1:15" ht="18.75" customHeight="1" x14ac:dyDescent="0.25">
      <c r="A391" s="362" t="s">
        <v>398</v>
      </c>
      <c r="B391" s="363"/>
      <c r="C391" s="363"/>
      <c r="D391" s="363"/>
      <c r="E391" s="363"/>
      <c r="F391" s="363"/>
      <c r="G391" s="363"/>
      <c r="H391" s="363"/>
      <c r="I391" s="363"/>
      <c r="J391" s="364"/>
      <c r="K391" s="348"/>
      <c r="L391" s="306"/>
      <c r="M391" s="1"/>
      <c r="N391" s="1"/>
      <c r="O391" s="1"/>
    </row>
    <row r="392" spans="1:15" ht="18.75" customHeight="1" thickBot="1" x14ac:dyDescent="0.3">
      <c r="A392" s="365" t="s">
        <v>399</v>
      </c>
      <c r="B392" s="366"/>
      <c r="C392" s="366"/>
      <c r="D392" s="366"/>
      <c r="E392" s="366"/>
      <c r="F392" s="366"/>
      <c r="G392" s="366"/>
      <c r="H392" s="366"/>
      <c r="I392" s="366"/>
      <c r="J392" s="367"/>
      <c r="K392" s="368"/>
      <c r="L392" s="369"/>
      <c r="M392" s="1"/>
      <c r="N392" s="1"/>
      <c r="O392" s="1"/>
    </row>
    <row r="393" spans="1:15" ht="18.75" customHeight="1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8.75" customHeight="1" x14ac:dyDescent="0.25">
      <c r="A394" s="334" t="s">
        <v>400</v>
      </c>
      <c r="B394" s="323"/>
      <c r="C394" s="323"/>
      <c r="D394" s="323"/>
      <c r="E394" s="323"/>
      <c r="F394" s="323"/>
      <c r="G394" s="323"/>
      <c r="H394" s="323"/>
      <c r="I394" s="323"/>
      <c r="J394" s="370"/>
      <c r="K394" s="371">
        <f>SUM(K396:L431)</f>
        <v>0</v>
      </c>
      <c r="L394" s="339"/>
      <c r="M394" s="1"/>
      <c r="N394" s="1"/>
      <c r="O394" s="1"/>
    </row>
    <row r="395" spans="1:15" ht="18.75" customHeight="1" thickBot="1" x14ac:dyDescent="0.3">
      <c r="A395" s="325"/>
      <c r="B395" s="326"/>
      <c r="C395" s="326"/>
      <c r="D395" s="326"/>
      <c r="E395" s="326"/>
      <c r="F395" s="326"/>
      <c r="G395" s="326"/>
      <c r="H395" s="326"/>
      <c r="I395" s="326"/>
      <c r="J395" s="357"/>
      <c r="K395" s="317"/>
      <c r="L395" s="320"/>
      <c r="M395" s="1"/>
      <c r="N395" s="1"/>
      <c r="O395" s="1"/>
    </row>
    <row r="396" spans="1:15" ht="18.75" customHeight="1" x14ac:dyDescent="0.25">
      <c r="A396" s="372" t="s">
        <v>401</v>
      </c>
      <c r="B396" s="373"/>
      <c r="C396" s="373"/>
      <c r="D396" s="373"/>
      <c r="E396" s="373"/>
      <c r="F396" s="373"/>
      <c r="G396" s="373"/>
      <c r="H396" s="373"/>
      <c r="I396" s="373"/>
      <c r="J396" s="374"/>
      <c r="K396" s="361"/>
      <c r="L396" s="346"/>
      <c r="M396" s="1"/>
      <c r="N396" s="1"/>
      <c r="O396" s="1"/>
    </row>
    <row r="397" spans="1:15" ht="18.75" customHeight="1" x14ac:dyDescent="0.25">
      <c r="A397" s="362" t="s">
        <v>402</v>
      </c>
      <c r="B397" s="363"/>
      <c r="C397" s="363"/>
      <c r="D397" s="363"/>
      <c r="E397" s="363"/>
      <c r="F397" s="363"/>
      <c r="G397" s="363"/>
      <c r="H397" s="363"/>
      <c r="I397" s="363"/>
      <c r="J397" s="364"/>
      <c r="K397" s="348"/>
      <c r="L397" s="306"/>
      <c r="M397" s="1"/>
      <c r="N397" s="1"/>
      <c r="O397" s="1"/>
    </row>
    <row r="398" spans="1:15" ht="18.75" customHeight="1" x14ac:dyDescent="0.25">
      <c r="A398" s="362" t="s">
        <v>403</v>
      </c>
      <c r="B398" s="363"/>
      <c r="C398" s="363"/>
      <c r="D398" s="363"/>
      <c r="E398" s="363"/>
      <c r="F398" s="363"/>
      <c r="G398" s="363"/>
      <c r="H398" s="363"/>
      <c r="I398" s="363"/>
      <c r="J398" s="364"/>
      <c r="K398" s="348"/>
      <c r="L398" s="306"/>
      <c r="M398" s="1"/>
      <c r="N398" s="1"/>
      <c r="O398" s="1"/>
    </row>
    <row r="399" spans="1:15" ht="18.75" customHeight="1" x14ac:dyDescent="0.25">
      <c r="A399" s="362" t="s">
        <v>404</v>
      </c>
      <c r="B399" s="363"/>
      <c r="C399" s="363"/>
      <c r="D399" s="363"/>
      <c r="E399" s="363"/>
      <c r="F399" s="363"/>
      <c r="G399" s="363"/>
      <c r="H399" s="363"/>
      <c r="I399" s="363"/>
      <c r="J399" s="364"/>
      <c r="K399" s="348"/>
      <c r="L399" s="306"/>
      <c r="M399" s="1"/>
      <c r="N399" s="1"/>
      <c r="O399" s="1"/>
    </row>
    <row r="400" spans="1:15" ht="18.75" customHeight="1" x14ac:dyDescent="0.25">
      <c r="A400" s="362" t="s">
        <v>405</v>
      </c>
      <c r="B400" s="363"/>
      <c r="C400" s="363"/>
      <c r="D400" s="363"/>
      <c r="E400" s="363"/>
      <c r="F400" s="363"/>
      <c r="G400" s="363"/>
      <c r="H400" s="363"/>
      <c r="I400" s="363"/>
      <c r="J400" s="364"/>
      <c r="K400" s="348"/>
      <c r="L400" s="306"/>
      <c r="M400" s="1"/>
      <c r="N400" s="1"/>
      <c r="O400" s="1"/>
    </row>
    <row r="401" spans="1:15" ht="18.75" customHeight="1" x14ac:dyDescent="0.25">
      <c r="A401" s="362" t="s">
        <v>406</v>
      </c>
      <c r="B401" s="363"/>
      <c r="C401" s="363"/>
      <c r="D401" s="363"/>
      <c r="E401" s="363"/>
      <c r="F401" s="363"/>
      <c r="G401" s="363"/>
      <c r="H401" s="363"/>
      <c r="I401" s="363"/>
      <c r="J401" s="364"/>
      <c r="K401" s="348"/>
      <c r="L401" s="306"/>
      <c r="M401" s="1"/>
      <c r="N401" s="1"/>
      <c r="O401" s="1"/>
    </row>
    <row r="402" spans="1:15" ht="18.75" customHeight="1" x14ac:dyDescent="0.25">
      <c r="A402" s="362" t="s">
        <v>407</v>
      </c>
      <c r="B402" s="363"/>
      <c r="C402" s="363"/>
      <c r="D402" s="363"/>
      <c r="E402" s="363"/>
      <c r="F402" s="363"/>
      <c r="G402" s="363"/>
      <c r="H402" s="363"/>
      <c r="I402" s="363"/>
      <c r="J402" s="364"/>
      <c r="K402" s="348"/>
      <c r="L402" s="306"/>
      <c r="M402" s="1"/>
      <c r="N402" s="1"/>
      <c r="O402" s="1"/>
    </row>
    <row r="403" spans="1:15" ht="18" customHeight="1" x14ac:dyDescent="0.25">
      <c r="A403" s="379" t="s">
        <v>408</v>
      </c>
      <c r="B403" s="142"/>
      <c r="C403" s="142"/>
      <c r="D403" s="142"/>
      <c r="E403" s="142"/>
      <c r="F403" s="142"/>
      <c r="G403" s="142"/>
      <c r="H403" s="142"/>
      <c r="I403" s="142"/>
      <c r="J403" s="140"/>
      <c r="K403" s="348"/>
      <c r="L403" s="306"/>
      <c r="M403" s="1"/>
      <c r="N403" s="1"/>
      <c r="O403" s="1"/>
    </row>
    <row r="404" spans="1:15" ht="36" customHeight="1" x14ac:dyDescent="0.25">
      <c r="A404" s="362" t="s">
        <v>409</v>
      </c>
      <c r="B404" s="363"/>
      <c r="C404" s="363"/>
      <c r="D404" s="363"/>
      <c r="E404" s="363"/>
      <c r="F404" s="363"/>
      <c r="G404" s="363"/>
      <c r="H404" s="363"/>
      <c r="I404" s="363"/>
      <c r="J404" s="364"/>
      <c r="K404" s="348"/>
      <c r="L404" s="306"/>
      <c r="M404" s="1"/>
      <c r="N404" s="1"/>
      <c r="O404" s="1"/>
    </row>
    <row r="405" spans="1:15" ht="18.75" customHeight="1" x14ac:dyDescent="0.25">
      <c r="A405" s="362" t="s">
        <v>410</v>
      </c>
      <c r="B405" s="363"/>
      <c r="C405" s="363"/>
      <c r="D405" s="363"/>
      <c r="E405" s="363"/>
      <c r="F405" s="363"/>
      <c r="G405" s="363"/>
      <c r="H405" s="363"/>
      <c r="I405" s="363"/>
      <c r="J405" s="364"/>
      <c r="K405" s="348"/>
      <c r="L405" s="306"/>
      <c r="M405" s="1"/>
      <c r="N405" s="1"/>
      <c r="O405" s="1"/>
    </row>
    <row r="406" spans="1:15" ht="18" customHeight="1" x14ac:dyDescent="0.25">
      <c r="A406" s="362" t="s">
        <v>411</v>
      </c>
      <c r="B406" s="363"/>
      <c r="C406" s="363"/>
      <c r="D406" s="363"/>
      <c r="E406" s="363"/>
      <c r="F406" s="363"/>
      <c r="G406" s="363"/>
      <c r="H406" s="363"/>
      <c r="I406" s="363"/>
      <c r="J406" s="364"/>
      <c r="K406" s="348"/>
      <c r="L406" s="306"/>
      <c r="M406" s="1"/>
      <c r="N406" s="1"/>
      <c r="O406" s="1"/>
    </row>
    <row r="407" spans="1:15" ht="18.75" customHeight="1" x14ac:dyDescent="0.25">
      <c r="A407" s="362" t="s">
        <v>412</v>
      </c>
      <c r="B407" s="363"/>
      <c r="C407" s="363"/>
      <c r="D407" s="363"/>
      <c r="E407" s="363"/>
      <c r="F407" s="363"/>
      <c r="G407" s="363"/>
      <c r="H407" s="363"/>
      <c r="I407" s="363"/>
      <c r="J407" s="364"/>
      <c r="K407" s="348"/>
      <c r="L407" s="306"/>
      <c r="M407" s="1"/>
      <c r="N407" s="1"/>
      <c r="O407" s="1"/>
    </row>
    <row r="408" spans="1:15" ht="18" customHeight="1" x14ac:dyDescent="0.25">
      <c r="A408" s="362" t="s">
        <v>413</v>
      </c>
      <c r="B408" s="363"/>
      <c r="C408" s="363"/>
      <c r="D408" s="363"/>
      <c r="E408" s="363"/>
      <c r="F408" s="363"/>
      <c r="G408" s="363"/>
      <c r="H408" s="363"/>
      <c r="I408" s="363"/>
      <c r="J408" s="364"/>
      <c r="K408" s="348"/>
      <c r="L408" s="306"/>
      <c r="M408" s="1"/>
      <c r="N408" s="1"/>
      <c r="O408" s="1"/>
    </row>
    <row r="409" spans="1:15" ht="18.75" customHeight="1" x14ac:dyDescent="0.25">
      <c r="A409" s="362" t="s">
        <v>414</v>
      </c>
      <c r="B409" s="363"/>
      <c r="C409" s="363"/>
      <c r="D409" s="363"/>
      <c r="E409" s="363"/>
      <c r="F409" s="363"/>
      <c r="G409" s="363"/>
      <c r="H409" s="363"/>
      <c r="I409" s="363"/>
      <c r="J409" s="364"/>
      <c r="K409" s="348"/>
      <c r="L409" s="306"/>
      <c r="M409" s="1"/>
      <c r="N409" s="1"/>
      <c r="O409" s="1"/>
    </row>
    <row r="410" spans="1:15" ht="18" customHeight="1" x14ac:dyDescent="0.25">
      <c r="A410" s="362" t="s">
        <v>415</v>
      </c>
      <c r="B410" s="363"/>
      <c r="C410" s="363"/>
      <c r="D410" s="363"/>
      <c r="E410" s="363"/>
      <c r="F410" s="363"/>
      <c r="G410" s="363"/>
      <c r="H410" s="363"/>
      <c r="I410" s="363"/>
      <c r="J410" s="364"/>
      <c r="K410" s="348"/>
      <c r="L410" s="306"/>
      <c r="M410" s="1"/>
      <c r="N410" s="1"/>
      <c r="O410" s="1"/>
    </row>
    <row r="411" spans="1:15" ht="18.75" customHeight="1" x14ac:dyDescent="0.25">
      <c r="A411" s="362" t="s">
        <v>416</v>
      </c>
      <c r="B411" s="363"/>
      <c r="C411" s="363"/>
      <c r="D411" s="363"/>
      <c r="E411" s="363"/>
      <c r="F411" s="363"/>
      <c r="G411" s="363"/>
      <c r="H411" s="363"/>
      <c r="I411" s="363"/>
      <c r="J411" s="364"/>
      <c r="K411" s="348"/>
      <c r="L411" s="306"/>
      <c r="M411" s="1"/>
      <c r="N411" s="1"/>
      <c r="O411" s="1"/>
    </row>
    <row r="412" spans="1:15" ht="18.75" customHeight="1" x14ac:dyDescent="0.25">
      <c r="A412" s="362" t="s">
        <v>417</v>
      </c>
      <c r="B412" s="363"/>
      <c r="C412" s="363"/>
      <c r="D412" s="363"/>
      <c r="E412" s="363"/>
      <c r="F412" s="363"/>
      <c r="G412" s="363"/>
      <c r="H412" s="363"/>
      <c r="I412" s="363"/>
      <c r="J412" s="364"/>
      <c r="K412" s="348"/>
      <c r="L412" s="306"/>
      <c r="M412" s="1"/>
      <c r="N412" s="1"/>
      <c r="O412" s="1"/>
    </row>
    <row r="413" spans="1:15" ht="18.75" customHeight="1" x14ac:dyDescent="0.25">
      <c r="A413" s="362" t="s">
        <v>418</v>
      </c>
      <c r="B413" s="363"/>
      <c r="C413" s="363"/>
      <c r="D413" s="363"/>
      <c r="E413" s="363"/>
      <c r="F413" s="363"/>
      <c r="G413" s="363"/>
      <c r="H413" s="363"/>
      <c r="I413" s="363"/>
      <c r="J413" s="364"/>
      <c r="K413" s="348"/>
      <c r="L413" s="306"/>
      <c r="M413" s="1"/>
      <c r="N413" s="1"/>
      <c r="O413" s="1"/>
    </row>
    <row r="414" spans="1:15" ht="18.75" customHeight="1" x14ac:dyDescent="0.25">
      <c r="A414" s="362" t="s">
        <v>419</v>
      </c>
      <c r="B414" s="363"/>
      <c r="C414" s="363"/>
      <c r="D414" s="363"/>
      <c r="E414" s="363"/>
      <c r="F414" s="363"/>
      <c r="G414" s="363"/>
      <c r="H414" s="363"/>
      <c r="I414" s="363"/>
      <c r="J414" s="364"/>
      <c r="K414" s="348"/>
      <c r="L414" s="306"/>
      <c r="M414" s="1"/>
      <c r="N414" s="1"/>
      <c r="O414" s="1"/>
    </row>
    <row r="415" spans="1:15" ht="18.75" customHeight="1" x14ac:dyDescent="0.25">
      <c r="A415" s="362" t="s">
        <v>420</v>
      </c>
      <c r="B415" s="363"/>
      <c r="C415" s="363"/>
      <c r="D415" s="363"/>
      <c r="E415" s="363"/>
      <c r="F415" s="363"/>
      <c r="G415" s="363"/>
      <c r="H415" s="363"/>
      <c r="I415" s="363"/>
      <c r="J415" s="364"/>
      <c r="K415" s="348"/>
      <c r="L415" s="306"/>
      <c r="M415" s="1"/>
      <c r="N415" s="1"/>
      <c r="O415" s="1"/>
    </row>
    <row r="416" spans="1:15" ht="18.75" customHeight="1" x14ac:dyDescent="0.25">
      <c r="A416" s="362" t="s">
        <v>421</v>
      </c>
      <c r="B416" s="363"/>
      <c r="C416" s="363"/>
      <c r="D416" s="363"/>
      <c r="E416" s="363"/>
      <c r="F416" s="363"/>
      <c r="G416" s="363"/>
      <c r="H416" s="363"/>
      <c r="I416" s="363"/>
      <c r="J416" s="364"/>
      <c r="K416" s="348"/>
      <c r="L416" s="306"/>
      <c r="M416" s="1"/>
      <c r="N416" s="1"/>
      <c r="O416" s="1"/>
    </row>
    <row r="417" spans="1:15" ht="18.75" customHeight="1" x14ac:dyDescent="0.25">
      <c r="A417" s="362" t="s">
        <v>422</v>
      </c>
      <c r="B417" s="363"/>
      <c r="C417" s="363"/>
      <c r="D417" s="363"/>
      <c r="E417" s="363"/>
      <c r="F417" s="363"/>
      <c r="G417" s="363"/>
      <c r="H417" s="363"/>
      <c r="I417" s="363"/>
      <c r="J417" s="364"/>
      <c r="K417" s="348"/>
      <c r="L417" s="306"/>
      <c r="M417" s="1"/>
      <c r="N417" s="1"/>
      <c r="O417" s="1"/>
    </row>
    <row r="418" spans="1:15" ht="18.75" customHeight="1" x14ac:dyDescent="0.25">
      <c r="A418" s="362" t="s">
        <v>423</v>
      </c>
      <c r="B418" s="363"/>
      <c r="C418" s="363"/>
      <c r="D418" s="363"/>
      <c r="E418" s="363"/>
      <c r="F418" s="363"/>
      <c r="G418" s="363"/>
      <c r="H418" s="363"/>
      <c r="I418" s="363"/>
      <c r="J418" s="364"/>
      <c r="K418" s="348"/>
      <c r="L418" s="306"/>
      <c r="M418" s="1"/>
      <c r="N418" s="1"/>
      <c r="O418" s="1"/>
    </row>
    <row r="419" spans="1:15" ht="18.75" customHeight="1" x14ac:dyDescent="0.25">
      <c r="A419" s="362" t="s">
        <v>424</v>
      </c>
      <c r="B419" s="363"/>
      <c r="C419" s="363"/>
      <c r="D419" s="363"/>
      <c r="E419" s="363"/>
      <c r="F419" s="363"/>
      <c r="G419" s="363"/>
      <c r="H419" s="363"/>
      <c r="I419" s="363"/>
      <c r="J419" s="364"/>
      <c r="K419" s="348"/>
      <c r="L419" s="306"/>
      <c r="M419" s="1"/>
      <c r="N419" s="1"/>
      <c r="O419" s="1"/>
    </row>
    <row r="420" spans="1:15" ht="18.75" customHeight="1" x14ac:dyDescent="0.25">
      <c r="A420" s="362" t="s">
        <v>425</v>
      </c>
      <c r="B420" s="363"/>
      <c r="C420" s="363"/>
      <c r="D420" s="363"/>
      <c r="E420" s="363"/>
      <c r="F420" s="363"/>
      <c r="G420" s="363"/>
      <c r="H420" s="363"/>
      <c r="I420" s="363"/>
      <c r="J420" s="364"/>
      <c r="K420" s="348"/>
      <c r="L420" s="306"/>
      <c r="M420" s="1"/>
      <c r="N420" s="1"/>
      <c r="O420" s="1"/>
    </row>
    <row r="421" spans="1:15" ht="18.75" customHeight="1" x14ac:dyDescent="0.25">
      <c r="A421" s="362" t="s">
        <v>426</v>
      </c>
      <c r="B421" s="363"/>
      <c r="C421" s="363"/>
      <c r="D421" s="363"/>
      <c r="E421" s="363"/>
      <c r="F421" s="363"/>
      <c r="G421" s="363"/>
      <c r="H421" s="363"/>
      <c r="I421" s="363"/>
      <c r="J421" s="364"/>
      <c r="K421" s="348"/>
      <c r="L421" s="306"/>
      <c r="M421" s="1"/>
      <c r="N421" s="1"/>
      <c r="O421" s="1"/>
    </row>
    <row r="422" spans="1:15" ht="18.75" customHeight="1" x14ac:dyDescent="0.25">
      <c r="A422" s="362" t="s">
        <v>427</v>
      </c>
      <c r="B422" s="363"/>
      <c r="C422" s="363"/>
      <c r="D422" s="363"/>
      <c r="E422" s="363"/>
      <c r="F422" s="363"/>
      <c r="G422" s="363"/>
      <c r="H422" s="363"/>
      <c r="I422" s="363"/>
      <c r="J422" s="364"/>
      <c r="K422" s="348"/>
      <c r="L422" s="306"/>
      <c r="M422" s="1"/>
      <c r="N422" s="1"/>
      <c r="O422" s="1"/>
    </row>
    <row r="423" spans="1:15" ht="18.75" customHeight="1" x14ac:dyDescent="0.25">
      <c r="A423" s="362" t="s">
        <v>428</v>
      </c>
      <c r="B423" s="363"/>
      <c r="C423" s="363"/>
      <c r="D423" s="363"/>
      <c r="E423" s="363"/>
      <c r="F423" s="363"/>
      <c r="G423" s="363"/>
      <c r="H423" s="363"/>
      <c r="I423" s="363"/>
      <c r="J423" s="364"/>
      <c r="K423" s="348"/>
      <c r="L423" s="306"/>
      <c r="M423" s="1"/>
      <c r="N423" s="1"/>
      <c r="O423" s="1"/>
    </row>
    <row r="424" spans="1:15" ht="18.75" customHeight="1" x14ac:dyDescent="0.25">
      <c r="A424" s="362" t="s">
        <v>429</v>
      </c>
      <c r="B424" s="363"/>
      <c r="C424" s="363"/>
      <c r="D424" s="363"/>
      <c r="E424" s="363"/>
      <c r="F424" s="363"/>
      <c r="G424" s="363"/>
      <c r="H424" s="363"/>
      <c r="I424" s="363"/>
      <c r="J424" s="364"/>
      <c r="K424" s="348"/>
      <c r="L424" s="306"/>
      <c r="M424" s="1"/>
      <c r="N424" s="1"/>
      <c r="O424" s="1"/>
    </row>
    <row r="425" spans="1:15" ht="18.75" customHeight="1" x14ac:dyDescent="0.25">
      <c r="A425" s="362" t="s">
        <v>430</v>
      </c>
      <c r="B425" s="363"/>
      <c r="C425" s="363"/>
      <c r="D425" s="363"/>
      <c r="E425" s="363"/>
      <c r="F425" s="363"/>
      <c r="G425" s="363"/>
      <c r="H425" s="363"/>
      <c r="I425" s="363"/>
      <c r="J425" s="364"/>
      <c r="K425" s="348"/>
      <c r="L425" s="306"/>
      <c r="M425" s="1"/>
      <c r="N425" s="1"/>
      <c r="O425" s="1"/>
    </row>
    <row r="426" spans="1:15" ht="18.75" customHeight="1" x14ac:dyDescent="0.25">
      <c r="A426" s="362" t="s">
        <v>431</v>
      </c>
      <c r="B426" s="363"/>
      <c r="C426" s="363"/>
      <c r="D426" s="363"/>
      <c r="E426" s="363"/>
      <c r="F426" s="363"/>
      <c r="G426" s="363"/>
      <c r="H426" s="363"/>
      <c r="I426" s="363"/>
      <c r="J426" s="364"/>
      <c r="K426" s="348"/>
      <c r="L426" s="306"/>
      <c r="M426" s="1"/>
      <c r="N426" s="1"/>
      <c r="O426" s="1"/>
    </row>
    <row r="427" spans="1:15" ht="18.75" customHeight="1" x14ac:dyDescent="0.25">
      <c r="A427" s="362" t="s">
        <v>432</v>
      </c>
      <c r="B427" s="363"/>
      <c r="C427" s="363"/>
      <c r="D427" s="363"/>
      <c r="E427" s="363"/>
      <c r="F427" s="363"/>
      <c r="G427" s="363"/>
      <c r="H427" s="363"/>
      <c r="I427" s="363"/>
      <c r="J427" s="364"/>
      <c r="K427" s="348"/>
      <c r="L427" s="306"/>
      <c r="M427" s="1"/>
      <c r="N427" s="1"/>
      <c r="O427" s="1"/>
    </row>
    <row r="428" spans="1:15" ht="18.75" customHeight="1" x14ac:dyDescent="0.25">
      <c r="A428" s="362" t="s">
        <v>433</v>
      </c>
      <c r="B428" s="363"/>
      <c r="C428" s="363"/>
      <c r="D428" s="363"/>
      <c r="E428" s="363"/>
      <c r="F428" s="363"/>
      <c r="G428" s="363"/>
      <c r="H428" s="363"/>
      <c r="I428" s="363"/>
      <c r="J428" s="364"/>
      <c r="K428" s="348"/>
      <c r="L428" s="306"/>
      <c r="M428" s="1"/>
      <c r="N428" s="1"/>
      <c r="O428" s="1"/>
    </row>
    <row r="429" spans="1:15" ht="18.75" customHeight="1" x14ac:dyDescent="0.25">
      <c r="A429" s="362" t="s">
        <v>434</v>
      </c>
      <c r="B429" s="363"/>
      <c r="C429" s="363"/>
      <c r="D429" s="363"/>
      <c r="E429" s="363"/>
      <c r="F429" s="363"/>
      <c r="G429" s="363"/>
      <c r="H429" s="363"/>
      <c r="I429" s="363"/>
      <c r="J429" s="364"/>
      <c r="K429" s="348"/>
      <c r="L429" s="306"/>
      <c r="M429" s="1"/>
      <c r="N429" s="1"/>
      <c r="O429" s="1"/>
    </row>
    <row r="430" spans="1:15" ht="18.75" customHeight="1" x14ac:dyDescent="0.25">
      <c r="A430" s="362" t="s">
        <v>435</v>
      </c>
      <c r="B430" s="363"/>
      <c r="C430" s="363"/>
      <c r="D430" s="363"/>
      <c r="E430" s="363"/>
      <c r="F430" s="363"/>
      <c r="G430" s="363"/>
      <c r="H430" s="363"/>
      <c r="I430" s="363"/>
      <c r="J430" s="364"/>
      <c r="K430" s="348"/>
      <c r="L430" s="306"/>
      <c r="M430" s="1"/>
      <c r="N430" s="1"/>
      <c r="O430" s="1"/>
    </row>
    <row r="431" spans="1:15" ht="18.75" customHeight="1" thickBot="1" x14ac:dyDescent="0.3">
      <c r="A431" s="365" t="s">
        <v>436</v>
      </c>
      <c r="B431" s="366"/>
      <c r="C431" s="366"/>
      <c r="D431" s="366"/>
      <c r="E431" s="366"/>
      <c r="F431" s="366"/>
      <c r="G431" s="366"/>
      <c r="H431" s="366"/>
      <c r="I431" s="366"/>
      <c r="J431" s="367"/>
      <c r="K431" s="368"/>
      <c r="L431" s="369"/>
      <c r="M431" s="1"/>
      <c r="N431" s="1"/>
      <c r="O431" s="1"/>
    </row>
    <row r="432" spans="1:15" ht="18.75" customHeight="1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8.75" customHeight="1" x14ac:dyDescent="0.25">
      <c r="A433" s="334" t="s">
        <v>437</v>
      </c>
      <c r="B433" s="323"/>
      <c r="C433" s="323"/>
      <c r="D433" s="323"/>
      <c r="E433" s="323"/>
      <c r="F433" s="323"/>
      <c r="G433" s="323"/>
      <c r="H433" s="323"/>
      <c r="I433" s="323"/>
      <c r="J433" s="370"/>
      <c r="K433" s="380">
        <f>K435</f>
        <v>0</v>
      </c>
      <c r="L433" s="339"/>
      <c r="M433" s="1"/>
      <c r="N433" s="1"/>
      <c r="O433" s="1"/>
    </row>
    <row r="434" spans="1:15" ht="18.75" customHeight="1" thickBot="1" x14ac:dyDescent="0.3">
      <c r="A434" s="325"/>
      <c r="B434" s="326"/>
      <c r="C434" s="326"/>
      <c r="D434" s="326"/>
      <c r="E434" s="326"/>
      <c r="F434" s="326"/>
      <c r="G434" s="326"/>
      <c r="H434" s="326"/>
      <c r="I434" s="326"/>
      <c r="J434" s="357"/>
      <c r="K434" s="317"/>
      <c r="L434" s="320"/>
      <c r="M434" s="1"/>
      <c r="N434" s="1"/>
      <c r="O434" s="1"/>
    </row>
    <row r="435" spans="1:15" ht="18.75" customHeight="1" thickBot="1" x14ac:dyDescent="0.3">
      <c r="A435" s="381" t="s">
        <v>438</v>
      </c>
      <c r="B435" s="153"/>
      <c r="C435" s="153"/>
      <c r="D435" s="153"/>
      <c r="E435" s="153"/>
      <c r="F435" s="153"/>
      <c r="G435" s="153"/>
      <c r="H435" s="153"/>
      <c r="I435" s="153"/>
      <c r="J435" s="382"/>
      <c r="K435" s="383">
        <f>K563</f>
        <v>0</v>
      </c>
      <c r="L435" s="154"/>
      <c r="M435" s="1"/>
      <c r="N435" s="1"/>
      <c r="O435" s="1"/>
    </row>
    <row r="436" spans="1:15" ht="18.75" customHeight="1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8.75" customHeight="1" x14ac:dyDescent="0.25">
      <c r="A437" s="334" t="s">
        <v>439</v>
      </c>
      <c r="B437" s="323"/>
      <c r="C437" s="323"/>
      <c r="D437" s="323"/>
      <c r="E437" s="323"/>
      <c r="F437" s="323"/>
      <c r="G437" s="323"/>
      <c r="H437" s="323"/>
      <c r="I437" s="323"/>
      <c r="J437" s="370"/>
      <c r="K437" s="384">
        <f>SUM(K439:L443)</f>
        <v>0</v>
      </c>
      <c r="L437" s="339"/>
      <c r="M437" s="1"/>
      <c r="N437" s="1"/>
      <c r="O437" s="1"/>
    </row>
    <row r="438" spans="1:15" ht="18.75" customHeight="1" thickBot="1" x14ac:dyDescent="0.3">
      <c r="A438" s="325"/>
      <c r="B438" s="326"/>
      <c r="C438" s="326"/>
      <c r="D438" s="326"/>
      <c r="E438" s="326"/>
      <c r="F438" s="326"/>
      <c r="G438" s="326"/>
      <c r="H438" s="326"/>
      <c r="I438" s="326"/>
      <c r="J438" s="357"/>
      <c r="K438" s="317"/>
      <c r="L438" s="320"/>
      <c r="M438" s="1"/>
      <c r="N438" s="1"/>
      <c r="O438" s="1"/>
    </row>
    <row r="439" spans="1:15" ht="18.75" customHeight="1" x14ac:dyDescent="0.25">
      <c r="A439" s="372" t="s">
        <v>440</v>
      </c>
      <c r="B439" s="373"/>
      <c r="C439" s="373"/>
      <c r="D439" s="373"/>
      <c r="E439" s="373"/>
      <c r="F439" s="373"/>
      <c r="G439" s="373"/>
      <c r="H439" s="373"/>
      <c r="I439" s="373"/>
      <c r="J439" s="374"/>
      <c r="K439" s="375"/>
      <c r="L439" s="346"/>
      <c r="M439" s="1"/>
      <c r="N439" s="1"/>
      <c r="O439" s="1"/>
    </row>
    <row r="440" spans="1:15" ht="18.75" customHeight="1" x14ac:dyDescent="0.25">
      <c r="A440" s="362" t="s">
        <v>441</v>
      </c>
      <c r="B440" s="363"/>
      <c r="C440" s="363"/>
      <c r="D440" s="363"/>
      <c r="E440" s="363"/>
      <c r="F440" s="363"/>
      <c r="G440" s="363"/>
      <c r="H440" s="363"/>
      <c r="I440" s="363"/>
      <c r="J440" s="364"/>
      <c r="K440" s="376"/>
      <c r="L440" s="306"/>
      <c r="M440" s="1"/>
      <c r="N440" s="1"/>
      <c r="O440" s="1"/>
    </row>
    <row r="441" spans="1:15" ht="18.75" customHeight="1" x14ac:dyDescent="0.25">
      <c r="A441" s="362" t="s">
        <v>442</v>
      </c>
      <c r="B441" s="363"/>
      <c r="C441" s="363"/>
      <c r="D441" s="363"/>
      <c r="E441" s="363"/>
      <c r="F441" s="363"/>
      <c r="G441" s="363"/>
      <c r="H441" s="363"/>
      <c r="I441" s="363"/>
      <c r="J441" s="364"/>
      <c r="K441" s="376"/>
      <c r="L441" s="306"/>
      <c r="M441" s="1"/>
      <c r="N441" s="1"/>
      <c r="O441" s="1"/>
    </row>
    <row r="442" spans="1:15" ht="18.75" customHeight="1" x14ac:dyDescent="0.25">
      <c r="A442" s="362" t="s">
        <v>443</v>
      </c>
      <c r="B442" s="363"/>
      <c r="C442" s="363"/>
      <c r="D442" s="363"/>
      <c r="E442" s="363"/>
      <c r="F442" s="363"/>
      <c r="G442" s="363"/>
      <c r="H442" s="363"/>
      <c r="I442" s="363"/>
      <c r="J442" s="364"/>
      <c r="K442" s="376"/>
      <c r="L442" s="306"/>
      <c r="M442" s="1"/>
      <c r="N442" s="1"/>
      <c r="O442" s="1"/>
    </row>
    <row r="443" spans="1:15" ht="18.75" customHeight="1" thickBot="1" x14ac:dyDescent="0.3">
      <c r="A443" s="365" t="s">
        <v>444</v>
      </c>
      <c r="B443" s="366"/>
      <c r="C443" s="366"/>
      <c r="D443" s="366"/>
      <c r="E443" s="366"/>
      <c r="F443" s="366"/>
      <c r="G443" s="366"/>
      <c r="H443" s="366"/>
      <c r="I443" s="366"/>
      <c r="J443" s="367"/>
      <c r="K443" s="377"/>
      <c r="L443" s="369"/>
      <c r="M443" s="1"/>
      <c r="N443" s="1"/>
      <c r="O443" s="1"/>
    </row>
    <row r="444" spans="1:15" ht="18.75" customHeight="1" thickBot="1" x14ac:dyDescent="0.3">
      <c r="A444" s="321"/>
      <c r="B444" s="321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1"/>
      <c r="N444" s="1"/>
      <c r="O444" s="1"/>
    </row>
    <row r="445" spans="1:15" ht="18.75" customHeight="1" x14ac:dyDescent="0.25">
      <c r="A445" s="334" t="s">
        <v>445</v>
      </c>
      <c r="B445" s="323"/>
      <c r="C445" s="323"/>
      <c r="D445" s="323"/>
      <c r="E445" s="323"/>
      <c r="F445" s="323"/>
      <c r="G445" s="323"/>
      <c r="H445" s="323"/>
      <c r="I445" s="323"/>
      <c r="J445" s="370"/>
      <c r="K445" s="378">
        <f>(+K326+L247+K332+K378+K386+L282+K394)*K447</f>
        <v>0</v>
      </c>
      <c r="L445" s="339"/>
      <c r="M445" s="1"/>
      <c r="N445" s="1"/>
      <c r="O445" s="1"/>
    </row>
    <row r="446" spans="1:15" ht="18.75" customHeight="1" x14ac:dyDescent="0.25">
      <c r="A446" s="385"/>
      <c r="B446" s="386"/>
      <c r="C446" s="386"/>
      <c r="D446" s="386"/>
      <c r="E446" s="386"/>
      <c r="F446" s="386"/>
      <c r="G446" s="386"/>
      <c r="H446" s="386"/>
      <c r="I446" s="386"/>
      <c r="J446" s="387"/>
      <c r="K446" s="193"/>
      <c r="L446" s="304"/>
      <c r="M446" s="1"/>
      <c r="N446" s="1"/>
      <c r="O446" s="1"/>
    </row>
    <row r="447" spans="1:15" ht="18.75" customHeight="1" x14ac:dyDescent="0.25">
      <c r="A447" s="388" t="s">
        <v>446</v>
      </c>
      <c r="B447" s="150"/>
      <c r="C447" s="150"/>
      <c r="D447" s="150"/>
      <c r="E447" s="150"/>
      <c r="F447" s="150"/>
      <c r="G447" s="150"/>
      <c r="H447" s="150"/>
      <c r="I447" s="150"/>
      <c r="J447" s="181"/>
      <c r="K447" s="389"/>
      <c r="L447" s="309"/>
      <c r="M447" s="1"/>
      <c r="N447" s="1"/>
      <c r="O447" s="1"/>
    </row>
    <row r="448" spans="1:15" ht="18.75" customHeight="1" x14ac:dyDescent="0.25">
      <c r="A448" s="303"/>
      <c r="B448" s="156"/>
      <c r="C448" s="156"/>
      <c r="D448" s="156"/>
      <c r="E448" s="156"/>
      <c r="F448" s="156"/>
      <c r="G448" s="156"/>
      <c r="H448" s="156"/>
      <c r="I448" s="156"/>
      <c r="J448" s="191"/>
      <c r="K448" s="193"/>
      <c r="L448" s="304"/>
      <c r="M448" s="1"/>
      <c r="N448" s="1"/>
      <c r="O448" s="1"/>
    </row>
    <row r="449" spans="1:15" ht="18.75" customHeight="1" x14ac:dyDescent="0.25">
      <c r="A449" s="390" t="s">
        <v>447</v>
      </c>
      <c r="B449" s="391"/>
      <c r="C449" s="391"/>
      <c r="D449" s="391"/>
      <c r="E449" s="391"/>
      <c r="F449" s="391"/>
      <c r="G449" s="391"/>
      <c r="H449" s="391"/>
      <c r="I449" s="391"/>
      <c r="J449" s="392"/>
      <c r="K449" s="308">
        <f>(((K445+K437+K433+K394+K386+K378+K332+K326+L282+L247+K238)/0.9)*0.1)</f>
        <v>0</v>
      </c>
      <c r="L449" s="309"/>
      <c r="M449" s="1"/>
      <c r="N449" s="1"/>
      <c r="O449" s="1"/>
    </row>
    <row r="450" spans="1:15" ht="18.75" customHeight="1" x14ac:dyDescent="0.25">
      <c r="A450" s="393"/>
      <c r="B450" s="394"/>
      <c r="C450" s="394"/>
      <c r="D450" s="394"/>
      <c r="E450" s="394"/>
      <c r="F450" s="394"/>
      <c r="G450" s="394"/>
      <c r="H450" s="394"/>
      <c r="I450" s="394"/>
      <c r="J450" s="355"/>
      <c r="K450" s="187"/>
      <c r="L450" s="302"/>
      <c r="M450" s="1"/>
      <c r="N450" s="1"/>
      <c r="O450" s="1"/>
    </row>
    <row r="451" spans="1:15" ht="18.75" customHeight="1" x14ac:dyDescent="0.25">
      <c r="A451" s="385"/>
      <c r="B451" s="386"/>
      <c r="C451" s="386"/>
      <c r="D451" s="386"/>
      <c r="E451" s="386"/>
      <c r="F451" s="386"/>
      <c r="G451" s="386"/>
      <c r="H451" s="386"/>
      <c r="I451" s="386"/>
      <c r="J451" s="387"/>
      <c r="K451" s="193"/>
      <c r="L451" s="304"/>
      <c r="M451" s="1"/>
      <c r="N451" s="1"/>
      <c r="O451" s="1"/>
    </row>
    <row r="452" spans="1:15" ht="18.75" customHeight="1" x14ac:dyDescent="0.25">
      <c r="A452" s="395" t="s">
        <v>448</v>
      </c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81"/>
      <c r="M452" s="1"/>
      <c r="N452" s="1"/>
      <c r="O452" s="1"/>
    </row>
    <row r="453" spans="1:15" ht="18.75" customHeight="1" x14ac:dyDescent="0.25">
      <c r="A453" s="303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91"/>
      <c r="M453" s="1"/>
      <c r="N453" s="1"/>
      <c r="O453" s="1"/>
    </row>
    <row r="454" spans="1:15" ht="18.75" customHeight="1" x14ac:dyDescent="0.25">
      <c r="A454" s="396" t="s">
        <v>449</v>
      </c>
      <c r="B454" s="391"/>
      <c r="C454" s="391"/>
      <c r="D454" s="391"/>
      <c r="E454" s="391"/>
      <c r="F454" s="391"/>
      <c r="G454" s="391"/>
      <c r="H454" s="391"/>
      <c r="I454" s="391"/>
      <c r="J454" s="392"/>
      <c r="K454" s="308">
        <f>(SUM(K326,L247,K332,K378,K386,K394,L282,K433,K437,K445,K449))</f>
        <v>0</v>
      </c>
      <c r="L454" s="309"/>
      <c r="M454" s="1"/>
      <c r="N454" s="1"/>
      <c r="O454" s="1"/>
    </row>
    <row r="455" spans="1:15" ht="18.75" customHeight="1" thickBot="1" x14ac:dyDescent="0.3">
      <c r="A455" s="325"/>
      <c r="B455" s="326"/>
      <c r="C455" s="326"/>
      <c r="D455" s="326"/>
      <c r="E455" s="326"/>
      <c r="F455" s="326"/>
      <c r="G455" s="326"/>
      <c r="H455" s="326"/>
      <c r="I455" s="326"/>
      <c r="J455" s="357"/>
      <c r="K455" s="317"/>
      <c r="L455" s="320"/>
      <c r="M455" s="1"/>
      <c r="N455" s="1"/>
      <c r="O455" s="1"/>
    </row>
    <row r="456" spans="1:15" ht="18.75" customHeight="1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8.75" customHeight="1" x14ac:dyDescent="0.25">
      <c r="A457" s="397" t="s">
        <v>450</v>
      </c>
      <c r="B457" s="323"/>
      <c r="C457" s="323"/>
      <c r="D457" s="323"/>
      <c r="E457" s="323"/>
      <c r="F457" s="323"/>
      <c r="G457" s="323"/>
      <c r="H457" s="323"/>
      <c r="I457" s="323"/>
      <c r="J457" s="323"/>
      <c r="K457" s="323"/>
      <c r="L457" s="324"/>
      <c r="M457" s="1"/>
      <c r="N457" s="1"/>
      <c r="O457" s="1"/>
    </row>
    <row r="458" spans="1:15" ht="18.75" customHeight="1" thickBot="1" x14ac:dyDescent="0.3">
      <c r="A458" s="325"/>
      <c r="B458" s="326"/>
      <c r="C458" s="326"/>
      <c r="D458" s="326"/>
      <c r="E458" s="326"/>
      <c r="F458" s="326"/>
      <c r="G458" s="326"/>
      <c r="H458" s="326"/>
      <c r="I458" s="326"/>
      <c r="J458" s="326"/>
      <c r="K458" s="326"/>
      <c r="L458" s="327"/>
      <c r="M458" s="1"/>
      <c r="N458" s="1"/>
      <c r="O458" s="1"/>
    </row>
    <row r="459" spans="1:15" ht="18.75" customHeight="1" x14ac:dyDescent="0.25">
      <c r="A459" s="398" t="s">
        <v>333</v>
      </c>
      <c r="B459" s="399"/>
      <c r="C459" s="399"/>
      <c r="D459" s="399"/>
      <c r="E459" s="399"/>
      <c r="F459" s="399"/>
      <c r="G459" s="400"/>
      <c r="H459" s="401" t="s">
        <v>451</v>
      </c>
      <c r="I459" s="402" t="s">
        <v>452</v>
      </c>
      <c r="J459" s="400"/>
      <c r="K459" s="345" t="s">
        <v>453</v>
      </c>
      <c r="L459" s="346"/>
      <c r="M459" s="1"/>
      <c r="N459" s="1"/>
      <c r="O459" s="1"/>
    </row>
    <row r="460" spans="1:15" ht="18.75" customHeight="1" x14ac:dyDescent="0.25">
      <c r="A460" s="403" t="s">
        <v>454</v>
      </c>
      <c r="B460" s="142"/>
      <c r="C460" s="142"/>
      <c r="D460" s="142"/>
      <c r="E460" s="142"/>
      <c r="F460" s="142"/>
      <c r="G460" s="140"/>
      <c r="H460" s="404"/>
      <c r="I460" s="376"/>
      <c r="J460" s="140"/>
      <c r="K460" s="405">
        <f>H460*I460</f>
        <v>0</v>
      </c>
      <c r="L460" s="306"/>
      <c r="M460" s="1"/>
      <c r="N460" s="1"/>
      <c r="O460" s="1"/>
    </row>
    <row r="461" spans="1:15" ht="18.75" customHeight="1" x14ac:dyDescent="0.25">
      <c r="A461" s="403" t="s">
        <v>455</v>
      </c>
      <c r="B461" s="142"/>
      <c r="C461" s="142"/>
      <c r="D461" s="142"/>
      <c r="E461" s="142"/>
      <c r="F461" s="142"/>
      <c r="G461" s="140"/>
      <c r="H461" s="404"/>
      <c r="I461" s="376"/>
      <c r="J461" s="140"/>
      <c r="K461" s="405">
        <f>H461*I461</f>
        <v>0</v>
      </c>
      <c r="L461" s="306"/>
      <c r="M461" s="1"/>
      <c r="N461" s="1"/>
      <c r="O461" s="1"/>
    </row>
    <row r="462" spans="1:15" ht="18.75" customHeight="1" x14ac:dyDescent="0.25">
      <c r="A462" s="403" t="s">
        <v>455</v>
      </c>
      <c r="B462" s="142"/>
      <c r="C462" s="142"/>
      <c r="D462" s="142"/>
      <c r="E462" s="142"/>
      <c r="F462" s="142"/>
      <c r="G462" s="140"/>
      <c r="H462" s="404"/>
      <c r="I462" s="376"/>
      <c r="J462" s="140"/>
      <c r="K462" s="405">
        <f>H462*I462</f>
        <v>0</v>
      </c>
      <c r="L462" s="306"/>
      <c r="M462" s="1"/>
      <c r="N462" s="1"/>
      <c r="O462" s="1"/>
    </row>
    <row r="463" spans="1:15" ht="18.75" customHeight="1" x14ac:dyDescent="0.25">
      <c r="A463" s="403" t="s">
        <v>455</v>
      </c>
      <c r="B463" s="142"/>
      <c r="C463" s="142"/>
      <c r="D463" s="142"/>
      <c r="E463" s="142"/>
      <c r="F463" s="142"/>
      <c r="G463" s="140"/>
      <c r="H463" s="404"/>
      <c r="I463" s="376"/>
      <c r="J463" s="140"/>
      <c r="K463" s="405">
        <f>H463*I463</f>
        <v>0</v>
      </c>
      <c r="L463" s="306"/>
      <c r="M463" s="1"/>
      <c r="N463" s="1"/>
      <c r="O463" s="1"/>
    </row>
    <row r="464" spans="1:15" ht="18.75" customHeight="1" x14ac:dyDescent="0.25">
      <c r="A464" s="403" t="s">
        <v>455</v>
      </c>
      <c r="B464" s="142"/>
      <c r="C464" s="142"/>
      <c r="D464" s="142"/>
      <c r="E464" s="142"/>
      <c r="F464" s="142"/>
      <c r="G464" s="140"/>
      <c r="H464" s="404"/>
      <c r="I464" s="376"/>
      <c r="J464" s="140"/>
      <c r="K464" s="405">
        <f>H464*I464</f>
        <v>0</v>
      </c>
      <c r="L464" s="306"/>
      <c r="M464" s="1"/>
      <c r="N464" s="1"/>
      <c r="O464" s="1"/>
    </row>
    <row r="465" spans="1:15" ht="18.75" customHeight="1" x14ac:dyDescent="0.25">
      <c r="A465" s="403" t="s">
        <v>455</v>
      </c>
      <c r="B465" s="142"/>
      <c r="C465" s="142"/>
      <c r="D465" s="142"/>
      <c r="E465" s="142"/>
      <c r="F465" s="142"/>
      <c r="G465" s="140"/>
      <c r="H465" s="404"/>
      <c r="I465" s="376"/>
      <c r="J465" s="140"/>
      <c r="K465" s="405">
        <f>H465*I465</f>
        <v>0</v>
      </c>
      <c r="L465" s="306"/>
      <c r="M465" s="1"/>
      <c r="N465" s="1"/>
      <c r="O465" s="1"/>
    </row>
    <row r="466" spans="1:15" ht="18.75" customHeight="1" x14ac:dyDescent="0.25">
      <c r="A466" s="403" t="s">
        <v>455</v>
      </c>
      <c r="B466" s="142"/>
      <c r="C466" s="142"/>
      <c r="D466" s="142"/>
      <c r="E466" s="142"/>
      <c r="F466" s="142"/>
      <c r="G466" s="140"/>
      <c r="H466" s="404"/>
      <c r="I466" s="376"/>
      <c r="J466" s="140"/>
      <c r="K466" s="405">
        <f>H466*I466</f>
        <v>0</v>
      </c>
      <c r="L466" s="306"/>
      <c r="M466" s="1"/>
      <c r="N466" s="1"/>
      <c r="O466" s="1"/>
    </row>
    <row r="467" spans="1:15" ht="18.75" customHeight="1" x14ac:dyDescent="0.25">
      <c r="A467" s="403" t="s">
        <v>455</v>
      </c>
      <c r="B467" s="142"/>
      <c r="C467" s="142"/>
      <c r="D467" s="142"/>
      <c r="E467" s="142"/>
      <c r="F467" s="142"/>
      <c r="G467" s="140"/>
      <c r="H467" s="404"/>
      <c r="I467" s="376"/>
      <c r="J467" s="140"/>
      <c r="K467" s="405">
        <f>H467*I467</f>
        <v>0</v>
      </c>
      <c r="L467" s="306"/>
      <c r="M467" s="1"/>
      <c r="N467" s="1"/>
      <c r="O467" s="1"/>
    </row>
    <row r="468" spans="1:15" ht="18.75" customHeight="1" x14ac:dyDescent="0.25">
      <c r="A468" s="403" t="s">
        <v>455</v>
      </c>
      <c r="B468" s="142"/>
      <c r="C468" s="142"/>
      <c r="D468" s="142"/>
      <c r="E468" s="142"/>
      <c r="F468" s="142"/>
      <c r="G468" s="140"/>
      <c r="H468" s="404"/>
      <c r="I468" s="376"/>
      <c r="J468" s="140"/>
      <c r="K468" s="405">
        <f>H468*I468</f>
        <v>0</v>
      </c>
      <c r="L468" s="306"/>
      <c r="M468" s="1"/>
      <c r="N468" s="1"/>
      <c r="O468" s="1"/>
    </row>
    <row r="469" spans="1:15" ht="18.75" customHeight="1" x14ac:dyDescent="0.25">
      <c r="A469" s="403" t="s">
        <v>455</v>
      </c>
      <c r="B469" s="142"/>
      <c r="C469" s="142"/>
      <c r="D469" s="142"/>
      <c r="E469" s="142"/>
      <c r="F469" s="142"/>
      <c r="G469" s="140"/>
      <c r="H469" s="404"/>
      <c r="I469" s="376"/>
      <c r="J469" s="140"/>
      <c r="K469" s="405">
        <f>H469*I469</f>
        <v>0</v>
      </c>
      <c r="L469" s="306"/>
      <c r="M469" s="1"/>
      <c r="N469" s="1"/>
      <c r="O469" s="1"/>
    </row>
    <row r="470" spans="1:15" ht="18.75" customHeight="1" x14ac:dyDescent="0.25">
      <c r="A470" s="403" t="s">
        <v>455</v>
      </c>
      <c r="B470" s="142"/>
      <c r="C470" s="142"/>
      <c r="D470" s="142"/>
      <c r="E470" s="142"/>
      <c r="F470" s="142"/>
      <c r="G470" s="140"/>
      <c r="H470" s="404"/>
      <c r="I470" s="376"/>
      <c r="J470" s="140"/>
      <c r="K470" s="405">
        <f>H470*I470</f>
        <v>0</v>
      </c>
      <c r="L470" s="306"/>
      <c r="M470" s="1"/>
      <c r="N470" s="1"/>
      <c r="O470" s="1"/>
    </row>
    <row r="471" spans="1:15" ht="18.75" customHeight="1" x14ac:dyDescent="0.25">
      <c r="A471" s="403" t="s">
        <v>455</v>
      </c>
      <c r="B471" s="142"/>
      <c r="C471" s="142"/>
      <c r="D471" s="142"/>
      <c r="E471" s="142"/>
      <c r="F471" s="142"/>
      <c r="G471" s="140"/>
      <c r="H471" s="404"/>
      <c r="I471" s="376"/>
      <c r="J471" s="140"/>
      <c r="K471" s="405">
        <f>H471*I471</f>
        <v>0</v>
      </c>
      <c r="L471" s="306"/>
      <c r="M471" s="1"/>
      <c r="N471" s="1"/>
      <c r="O471" s="1"/>
    </row>
    <row r="472" spans="1:15" ht="18.75" customHeight="1" x14ac:dyDescent="0.25">
      <c r="A472" s="403" t="s">
        <v>455</v>
      </c>
      <c r="B472" s="142"/>
      <c r="C472" s="142"/>
      <c r="D472" s="142"/>
      <c r="E472" s="142"/>
      <c r="F472" s="142"/>
      <c r="G472" s="140"/>
      <c r="H472" s="404"/>
      <c r="I472" s="376"/>
      <c r="J472" s="140"/>
      <c r="K472" s="405">
        <f>H472*I472</f>
        <v>0</v>
      </c>
      <c r="L472" s="306"/>
      <c r="M472" s="1"/>
      <c r="N472" s="1"/>
      <c r="O472" s="1"/>
    </row>
    <row r="473" spans="1:15" ht="18.75" customHeight="1" x14ac:dyDescent="0.25">
      <c r="A473" s="403" t="s">
        <v>455</v>
      </c>
      <c r="B473" s="142"/>
      <c r="C473" s="142"/>
      <c r="D473" s="142"/>
      <c r="E473" s="142"/>
      <c r="F473" s="142"/>
      <c r="G473" s="140"/>
      <c r="H473" s="404"/>
      <c r="I473" s="376"/>
      <c r="J473" s="140"/>
      <c r="K473" s="405">
        <f>H473*I473</f>
        <v>0</v>
      </c>
      <c r="L473" s="306"/>
      <c r="M473" s="1"/>
      <c r="N473" s="1"/>
      <c r="O473" s="1"/>
    </row>
    <row r="474" spans="1:15" ht="18.75" customHeight="1" x14ac:dyDescent="0.25">
      <c r="A474" s="403" t="s">
        <v>455</v>
      </c>
      <c r="B474" s="142"/>
      <c r="C474" s="142"/>
      <c r="D474" s="142"/>
      <c r="E474" s="142"/>
      <c r="F474" s="142"/>
      <c r="G474" s="140"/>
      <c r="H474" s="404"/>
      <c r="I474" s="376"/>
      <c r="J474" s="140"/>
      <c r="K474" s="405">
        <f>H474*I474</f>
        <v>0</v>
      </c>
      <c r="L474" s="306"/>
      <c r="M474" s="1"/>
      <c r="N474" s="1"/>
      <c r="O474" s="1"/>
    </row>
    <row r="475" spans="1:15" ht="18.75" customHeight="1" x14ac:dyDescent="0.25">
      <c r="A475" s="403" t="s">
        <v>455</v>
      </c>
      <c r="B475" s="142"/>
      <c r="C475" s="142"/>
      <c r="D475" s="142"/>
      <c r="E475" s="142"/>
      <c r="F475" s="142"/>
      <c r="G475" s="140"/>
      <c r="H475" s="404"/>
      <c r="I475" s="376"/>
      <c r="J475" s="140"/>
      <c r="K475" s="405">
        <f>H475*I475</f>
        <v>0</v>
      </c>
      <c r="L475" s="306"/>
      <c r="M475" s="1"/>
      <c r="N475" s="1"/>
      <c r="O475" s="1"/>
    </row>
    <row r="476" spans="1:15" ht="18.75" customHeight="1" x14ac:dyDescent="0.25">
      <c r="A476" s="403" t="s">
        <v>455</v>
      </c>
      <c r="B476" s="142"/>
      <c r="C476" s="142"/>
      <c r="D476" s="142"/>
      <c r="E476" s="142"/>
      <c r="F476" s="142"/>
      <c r="G476" s="140"/>
      <c r="H476" s="404"/>
      <c r="I476" s="376"/>
      <c r="J476" s="140"/>
      <c r="K476" s="405">
        <f>H476*I476</f>
        <v>0</v>
      </c>
      <c r="L476" s="306"/>
      <c r="M476" s="1"/>
      <c r="N476" s="1"/>
      <c r="O476" s="1"/>
    </row>
    <row r="477" spans="1:15" ht="18.75" customHeight="1" x14ac:dyDescent="0.25">
      <c r="A477" s="403" t="s">
        <v>455</v>
      </c>
      <c r="B477" s="142"/>
      <c r="C477" s="142"/>
      <c r="D477" s="142"/>
      <c r="E477" s="142"/>
      <c r="F477" s="142"/>
      <c r="G477" s="140"/>
      <c r="H477" s="404"/>
      <c r="I477" s="376"/>
      <c r="J477" s="140"/>
      <c r="K477" s="405">
        <f>H477*I477</f>
        <v>0</v>
      </c>
      <c r="L477" s="306"/>
      <c r="M477" s="1"/>
      <c r="N477" s="1"/>
      <c r="O477" s="1"/>
    </row>
    <row r="478" spans="1:15" ht="18.75" customHeight="1" x14ac:dyDescent="0.25">
      <c r="A478" s="403" t="s">
        <v>455</v>
      </c>
      <c r="B478" s="142"/>
      <c r="C478" s="142"/>
      <c r="D478" s="142"/>
      <c r="E478" s="142"/>
      <c r="F478" s="142"/>
      <c r="G478" s="140"/>
      <c r="H478" s="404"/>
      <c r="I478" s="376"/>
      <c r="J478" s="140"/>
      <c r="K478" s="405">
        <f>H478*I478</f>
        <v>0</v>
      </c>
      <c r="L478" s="306"/>
      <c r="M478" s="1"/>
      <c r="N478" s="1"/>
      <c r="O478" s="1"/>
    </row>
    <row r="479" spans="1:15" ht="18.75" customHeight="1" x14ac:dyDescent="0.25">
      <c r="A479" s="403" t="s">
        <v>455</v>
      </c>
      <c r="B479" s="142"/>
      <c r="C479" s="142"/>
      <c r="D479" s="142"/>
      <c r="E479" s="142"/>
      <c r="F479" s="142"/>
      <c r="G479" s="140"/>
      <c r="H479" s="404"/>
      <c r="I479" s="376"/>
      <c r="J479" s="140"/>
      <c r="K479" s="405">
        <f>H479*I479</f>
        <v>0</v>
      </c>
      <c r="L479" s="306"/>
      <c r="M479" s="1"/>
      <c r="N479" s="1"/>
      <c r="O479" s="1"/>
    </row>
    <row r="480" spans="1:15" ht="18.75" customHeight="1" x14ac:dyDescent="0.25">
      <c r="A480" s="403" t="s">
        <v>455</v>
      </c>
      <c r="B480" s="142"/>
      <c r="C480" s="142"/>
      <c r="D480" s="142"/>
      <c r="E480" s="142"/>
      <c r="F480" s="142"/>
      <c r="G480" s="140"/>
      <c r="H480" s="404"/>
      <c r="I480" s="376"/>
      <c r="J480" s="140"/>
      <c r="K480" s="405">
        <f>H480*I480</f>
        <v>0</v>
      </c>
      <c r="L480" s="306"/>
      <c r="M480" s="1"/>
      <c r="N480" s="1"/>
      <c r="O480" s="1"/>
    </row>
    <row r="481" spans="1:15" ht="18.75" customHeight="1" x14ac:dyDescent="0.25">
      <c r="A481" s="403" t="s">
        <v>455</v>
      </c>
      <c r="B481" s="142"/>
      <c r="C481" s="142"/>
      <c r="D481" s="142"/>
      <c r="E481" s="142"/>
      <c r="F481" s="142"/>
      <c r="G481" s="140"/>
      <c r="H481" s="404"/>
      <c r="I481" s="376"/>
      <c r="J481" s="140"/>
      <c r="K481" s="405">
        <f>H481*I481</f>
        <v>0</v>
      </c>
      <c r="L481" s="306"/>
      <c r="M481" s="1"/>
      <c r="N481" s="1"/>
      <c r="O481" s="1"/>
    </row>
    <row r="482" spans="1:15" ht="18.75" customHeight="1" x14ac:dyDescent="0.25">
      <c r="A482" s="403" t="s">
        <v>455</v>
      </c>
      <c r="B482" s="142"/>
      <c r="C482" s="142"/>
      <c r="D482" s="142"/>
      <c r="E482" s="142"/>
      <c r="F482" s="142"/>
      <c r="G482" s="140"/>
      <c r="H482" s="404"/>
      <c r="I482" s="376"/>
      <c r="J482" s="140"/>
      <c r="K482" s="405">
        <f>H482*I482</f>
        <v>0</v>
      </c>
      <c r="L482" s="306"/>
      <c r="M482" s="1"/>
      <c r="N482" s="1"/>
      <c r="O482" s="1"/>
    </row>
    <row r="483" spans="1:15" ht="18.75" customHeight="1" x14ac:dyDescent="0.25">
      <c r="A483" s="403" t="s">
        <v>455</v>
      </c>
      <c r="B483" s="142"/>
      <c r="C483" s="142"/>
      <c r="D483" s="142"/>
      <c r="E483" s="142"/>
      <c r="F483" s="142"/>
      <c r="G483" s="140"/>
      <c r="H483" s="404"/>
      <c r="I483" s="376"/>
      <c r="J483" s="140"/>
      <c r="K483" s="405">
        <f>H483*I483</f>
        <v>0</v>
      </c>
      <c r="L483" s="306"/>
      <c r="M483" s="1"/>
      <c r="N483" s="1"/>
      <c r="O483" s="1"/>
    </row>
    <row r="484" spans="1:15" ht="18.75" customHeight="1" x14ac:dyDescent="0.25">
      <c r="A484" s="403" t="s">
        <v>455</v>
      </c>
      <c r="B484" s="142"/>
      <c r="C484" s="142"/>
      <c r="D484" s="142"/>
      <c r="E484" s="142"/>
      <c r="F484" s="142"/>
      <c r="G484" s="140"/>
      <c r="H484" s="404"/>
      <c r="I484" s="376"/>
      <c r="J484" s="140"/>
      <c r="K484" s="405">
        <f>H484*I484</f>
        <v>0</v>
      </c>
      <c r="L484" s="306"/>
      <c r="M484" s="1"/>
      <c r="N484" s="1"/>
      <c r="O484" s="1"/>
    </row>
    <row r="485" spans="1:15" ht="18.75" customHeight="1" x14ac:dyDescent="0.25">
      <c r="A485" s="403" t="s">
        <v>455</v>
      </c>
      <c r="B485" s="142"/>
      <c r="C485" s="142"/>
      <c r="D485" s="142"/>
      <c r="E485" s="142"/>
      <c r="F485" s="142"/>
      <c r="G485" s="140"/>
      <c r="H485" s="404"/>
      <c r="I485" s="376"/>
      <c r="J485" s="140"/>
      <c r="K485" s="405">
        <f>H485*I485</f>
        <v>0</v>
      </c>
      <c r="L485" s="306"/>
      <c r="M485" s="1"/>
      <c r="N485" s="1"/>
      <c r="O485" s="1"/>
    </row>
    <row r="486" spans="1:15" ht="18.75" customHeight="1" x14ac:dyDescent="0.25">
      <c r="A486" s="403" t="s">
        <v>455</v>
      </c>
      <c r="B486" s="142"/>
      <c r="C486" s="142"/>
      <c r="D486" s="142"/>
      <c r="E486" s="142"/>
      <c r="F486" s="142"/>
      <c r="G486" s="140"/>
      <c r="H486" s="404"/>
      <c r="I486" s="376"/>
      <c r="J486" s="140"/>
      <c r="K486" s="405">
        <f>H486*I486</f>
        <v>0</v>
      </c>
      <c r="L486" s="306"/>
      <c r="M486" s="1"/>
      <c r="N486" s="1"/>
      <c r="O486" s="1"/>
    </row>
    <row r="487" spans="1:15" ht="18.75" customHeight="1" x14ac:dyDescent="0.25">
      <c r="A487" s="403" t="s">
        <v>455</v>
      </c>
      <c r="B487" s="142"/>
      <c r="C487" s="142"/>
      <c r="D487" s="142"/>
      <c r="E487" s="142"/>
      <c r="F487" s="142"/>
      <c r="G487" s="140"/>
      <c r="H487" s="404"/>
      <c r="I487" s="376"/>
      <c r="J487" s="140"/>
      <c r="K487" s="405">
        <f>H487*I487</f>
        <v>0</v>
      </c>
      <c r="L487" s="306"/>
      <c r="M487" s="1"/>
      <c r="N487" s="1"/>
      <c r="O487" s="1"/>
    </row>
    <row r="488" spans="1:15" ht="18.75" customHeight="1" x14ac:dyDescent="0.25">
      <c r="A488" s="403" t="s">
        <v>455</v>
      </c>
      <c r="B488" s="142"/>
      <c r="C488" s="142"/>
      <c r="D488" s="142"/>
      <c r="E488" s="142"/>
      <c r="F488" s="142"/>
      <c r="G488" s="140"/>
      <c r="H488" s="404"/>
      <c r="I488" s="376"/>
      <c r="J488" s="140"/>
      <c r="K488" s="405">
        <f>H488*I488</f>
        <v>0</v>
      </c>
      <c r="L488" s="306"/>
      <c r="M488" s="1"/>
      <c r="N488" s="1"/>
      <c r="O488" s="1"/>
    </row>
    <row r="489" spans="1:15" ht="18.75" customHeight="1" x14ac:dyDescent="0.25">
      <c r="A489" s="403" t="s">
        <v>455</v>
      </c>
      <c r="B489" s="142"/>
      <c r="C489" s="142"/>
      <c r="D489" s="142"/>
      <c r="E489" s="142"/>
      <c r="F489" s="142"/>
      <c r="G489" s="140"/>
      <c r="H489" s="404"/>
      <c r="I489" s="376"/>
      <c r="J489" s="140"/>
      <c r="K489" s="405">
        <f>H489*I489</f>
        <v>0</v>
      </c>
      <c r="L489" s="306"/>
      <c r="M489" s="1"/>
      <c r="N489" s="1"/>
      <c r="O489" s="1"/>
    </row>
    <row r="490" spans="1:15" ht="18.75" customHeight="1" x14ac:dyDescent="0.25">
      <c r="A490" s="403" t="s">
        <v>455</v>
      </c>
      <c r="B490" s="142"/>
      <c r="C490" s="142"/>
      <c r="D490" s="142"/>
      <c r="E490" s="142"/>
      <c r="F490" s="142"/>
      <c r="G490" s="140"/>
      <c r="H490" s="404"/>
      <c r="I490" s="376"/>
      <c r="J490" s="140"/>
      <c r="K490" s="405">
        <f>H490*I490</f>
        <v>0</v>
      </c>
      <c r="L490" s="306"/>
      <c r="M490" s="1"/>
      <c r="N490" s="1"/>
      <c r="O490" s="1"/>
    </row>
    <row r="491" spans="1:15" ht="18.75" customHeight="1" x14ac:dyDescent="0.25">
      <c r="A491" s="403" t="s">
        <v>455</v>
      </c>
      <c r="B491" s="142"/>
      <c r="C491" s="142"/>
      <c r="D491" s="142"/>
      <c r="E491" s="142"/>
      <c r="F491" s="142"/>
      <c r="G491" s="140"/>
      <c r="H491" s="404"/>
      <c r="I491" s="376"/>
      <c r="J491" s="140"/>
      <c r="K491" s="405">
        <f>H491*I491</f>
        <v>0</v>
      </c>
      <c r="L491" s="306"/>
      <c r="M491" s="1"/>
      <c r="N491" s="1"/>
      <c r="O491" s="1"/>
    </row>
    <row r="492" spans="1:15" ht="18.75" customHeight="1" thickBot="1" x14ac:dyDescent="0.3">
      <c r="A492" s="406" t="s">
        <v>455</v>
      </c>
      <c r="B492" s="293"/>
      <c r="C492" s="293"/>
      <c r="D492" s="293"/>
      <c r="E492" s="293"/>
      <c r="F492" s="293"/>
      <c r="G492" s="294"/>
      <c r="H492" s="407"/>
      <c r="I492" s="377"/>
      <c r="J492" s="294"/>
      <c r="K492" s="408">
        <f>H492*I492</f>
        <v>0</v>
      </c>
      <c r="L492" s="369"/>
      <c r="M492" s="1"/>
      <c r="N492" s="1"/>
      <c r="O492" s="1"/>
    </row>
    <row r="493" spans="1:15" ht="18.75" customHeight="1" thickBot="1" x14ac:dyDescent="0.3">
      <c r="A493" s="409" t="s">
        <v>287</v>
      </c>
      <c r="B493" s="293"/>
      <c r="C493" s="293"/>
      <c r="D493" s="293"/>
      <c r="E493" s="293"/>
      <c r="F493" s="293"/>
      <c r="G493" s="294"/>
      <c r="H493" s="410"/>
      <c r="I493" s="411"/>
      <c r="J493" s="294"/>
      <c r="K493" s="408">
        <f>SUM(K460:L492)</f>
        <v>0</v>
      </c>
      <c r="L493" s="369"/>
      <c r="M493" s="1"/>
      <c r="N493" s="1"/>
      <c r="O493" s="1"/>
    </row>
    <row r="494" spans="1:15" ht="18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8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8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8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8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8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8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8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8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8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8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8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8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8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8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8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8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8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8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8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8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8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8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8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8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8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8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8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8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8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8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8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8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8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8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8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8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8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8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8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8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8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8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8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8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8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8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8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8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8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8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8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8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8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8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8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8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8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8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8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8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8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8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8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8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8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8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8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8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8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8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8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8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8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8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8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8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8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8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8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8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8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8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8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8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8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8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8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8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8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8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8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8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8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8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8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8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8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8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8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8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8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8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8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8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8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8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8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8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8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8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8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8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8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8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8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8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8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8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8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8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8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8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8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8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8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8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8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8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8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8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8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8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8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8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8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 x14ac:dyDescent="0.25"/>
    <row r="631" spans="1:15" ht="15.75" customHeight="1" x14ac:dyDescent="0.25"/>
    <row r="632" spans="1:15" ht="15.75" customHeight="1" x14ac:dyDescent="0.25"/>
    <row r="633" spans="1:15" ht="15.75" customHeight="1" x14ac:dyDescent="0.25"/>
    <row r="634" spans="1:15" ht="15.75" customHeight="1" x14ac:dyDescent="0.25"/>
    <row r="635" spans="1:15" ht="15.75" customHeight="1" x14ac:dyDescent="0.25"/>
    <row r="636" spans="1:15" ht="15.75" customHeight="1" x14ac:dyDescent="0.25"/>
    <row r="637" spans="1:15" ht="15.75" customHeight="1" x14ac:dyDescent="0.25"/>
    <row r="638" spans="1:15" ht="15.75" customHeight="1" x14ac:dyDescent="0.25"/>
    <row r="639" spans="1:15" ht="15.75" customHeight="1" x14ac:dyDescent="0.25"/>
    <row r="640" spans="1:15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</sheetData>
  <mergeCells count="831">
    <mergeCell ref="A492:G492"/>
    <mergeCell ref="I492:J492"/>
    <mergeCell ref="K492:L492"/>
    <mergeCell ref="A493:G493"/>
    <mergeCell ref="I493:J493"/>
    <mergeCell ref="K493:L493"/>
    <mergeCell ref="A489:G489"/>
    <mergeCell ref="I489:J489"/>
    <mergeCell ref="K489:L489"/>
    <mergeCell ref="A490:G490"/>
    <mergeCell ref="I490:J490"/>
    <mergeCell ref="K490:L490"/>
    <mergeCell ref="A491:G491"/>
    <mergeCell ref="I491:J491"/>
    <mergeCell ref="K491:L491"/>
    <mergeCell ref="A486:G486"/>
    <mergeCell ref="I486:J486"/>
    <mergeCell ref="K486:L486"/>
    <mergeCell ref="A487:G487"/>
    <mergeCell ref="I487:J487"/>
    <mergeCell ref="K487:L487"/>
    <mergeCell ref="A488:G488"/>
    <mergeCell ref="I488:J488"/>
    <mergeCell ref="K488:L488"/>
    <mergeCell ref="A483:G483"/>
    <mergeCell ref="I483:J483"/>
    <mergeCell ref="K483:L483"/>
    <mergeCell ref="A484:G484"/>
    <mergeCell ref="I484:J484"/>
    <mergeCell ref="K484:L484"/>
    <mergeCell ref="A485:G485"/>
    <mergeCell ref="I485:J485"/>
    <mergeCell ref="K485:L485"/>
    <mergeCell ref="A480:G480"/>
    <mergeCell ref="I480:J480"/>
    <mergeCell ref="K480:L480"/>
    <mergeCell ref="A481:G481"/>
    <mergeCell ref="I481:J481"/>
    <mergeCell ref="K481:L481"/>
    <mergeCell ref="A482:G482"/>
    <mergeCell ref="I482:J482"/>
    <mergeCell ref="K482:L482"/>
    <mergeCell ref="A477:G477"/>
    <mergeCell ref="I477:J477"/>
    <mergeCell ref="K477:L477"/>
    <mergeCell ref="A478:G478"/>
    <mergeCell ref="I478:J478"/>
    <mergeCell ref="K478:L478"/>
    <mergeCell ref="A479:G479"/>
    <mergeCell ref="I479:J479"/>
    <mergeCell ref="K479:L479"/>
    <mergeCell ref="A474:G474"/>
    <mergeCell ref="I474:J474"/>
    <mergeCell ref="K474:L474"/>
    <mergeCell ref="A475:G475"/>
    <mergeCell ref="I475:J475"/>
    <mergeCell ref="K475:L475"/>
    <mergeCell ref="A476:G476"/>
    <mergeCell ref="I476:J476"/>
    <mergeCell ref="K476:L476"/>
    <mergeCell ref="A471:G471"/>
    <mergeCell ref="I471:J471"/>
    <mergeCell ref="K471:L471"/>
    <mergeCell ref="A472:G472"/>
    <mergeCell ref="I472:J472"/>
    <mergeCell ref="K472:L472"/>
    <mergeCell ref="A473:G473"/>
    <mergeCell ref="I473:J473"/>
    <mergeCell ref="K473:L473"/>
    <mergeCell ref="A468:G468"/>
    <mergeCell ref="I468:J468"/>
    <mergeCell ref="K468:L468"/>
    <mergeCell ref="A469:G469"/>
    <mergeCell ref="I469:J469"/>
    <mergeCell ref="K469:L469"/>
    <mergeCell ref="A470:G470"/>
    <mergeCell ref="I470:J470"/>
    <mergeCell ref="K470:L470"/>
    <mergeCell ref="A465:G465"/>
    <mergeCell ref="I465:J465"/>
    <mergeCell ref="K465:L465"/>
    <mergeCell ref="A466:G466"/>
    <mergeCell ref="I466:J466"/>
    <mergeCell ref="K466:L466"/>
    <mergeCell ref="A467:G467"/>
    <mergeCell ref="I467:J467"/>
    <mergeCell ref="K467:L467"/>
    <mergeCell ref="A462:G462"/>
    <mergeCell ref="I462:J462"/>
    <mergeCell ref="K462:L462"/>
    <mergeCell ref="A463:G463"/>
    <mergeCell ref="I463:J463"/>
    <mergeCell ref="K463:L463"/>
    <mergeCell ref="A464:G464"/>
    <mergeCell ref="I464:J464"/>
    <mergeCell ref="K464:L464"/>
    <mergeCell ref="A457:L458"/>
    <mergeCell ref="A459:G459"/>
    <mergeCell ref="I459:J459"/>
    <mergeCell ref="K459:L459"/>
    <mergeCell ref="A460:G460"/>
    <mergeCell ref="I460:J460"/>
    <mergeCell ref="K460:L460"/>
    <mergeCell ref="A461:G461"/>
    <mergeCell ref="I461:J461"/>
    <mergeCell ref="K461:L461"/>
    <mergeCell ref="A445:J446"/>
    <mergeCell ref="K445:L446"/>
    <mergeCell ref="A447:J448"/>
    <mergeCell ref="K447:L448"/>
    <mergeCell ref="A449:J451"/>
    <mergeCell ref="K449:L451"/>
    <mergeCell ref="A452:L453"/>
    <mergeCell ref="A454:J455"/>
    <mergeCell ref="K454:L455"/>
    <mergeCell ref="A435:J435"/>
    <mergeCell ref="K435:L435"/>
    <mergeCell ref="A437:J438"/>
    <mergeCell ref="K437:L438"/>
    <mergeCell ref="K439:L439"/>
    <mergeCell ref="K440:L440"/>
    <mergeCell ref="K441:L441"/>
    <mergeCell ref="K442:L442"/>
    <mergeCell ref="K443:L44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A433:J434"/>
    <mergeCell ref="K433:L43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398:L398"/>
    <mergeCell ref="K399:L399"/>
    <mergeCell ref="K400:L400"/>
    <mergeCell ref="K401:L401"/>
    <mergeCell ref="K402:L402"/>
    <mergeCell ref="A403:J403"/>
    <mergeCell ref="K403:L403"/>
    <mergeCell ref="K404:L404"/>
    <mergeCell ref="K405:L405"/>
    <mergeCell ref="K388:L388"/>
    <mergeCell ref="K389:L389"/>
    <mergeCell ref="K390:L390"/>
    <mergeCell ref="K391:L391"/>
    <mergeCell ref="K392:L392"/>
    <mergeCell ref="A394:J395"/>
    <mergeCell ref="K394:L395"/>
    <mergeCell ref="K396:L396"/>
    <mergeCell ref="K397:L397"/>
    <mergeCell ref="A378:J379"/>
    <mergeCell ref="K378:L379"/>
    <mergeCell ref="K380:L380"/>
    <mergeCell ref="K381:L381"/>
    <mergeCell ref="K382:L382"/>
    <mergeCell ref="K383:L383"/>
    <mergeCell ref="K384:L384"/>
    <mergeCell ref="A386:J387"/>
    <mergeCell ref="K386:L38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A332:J333"/>
    <mergeCell ref="K332:L333"/>
    <mergeCell ref="K334:L334"/>
    <mergeCell ref="K335:L335"/>
    <mergeCell ref="K336:L336"/>
    <mergeCell ref="K337:L337"/>
    <mergeCell ref="K338:L338"/>
    <mergeCell ref="K339:L339"/>
    <mergeCell ref="K340:L340"/>
    <mergeCell ref="A326:J326"/>
    <mergeCell ref="K326:L326"/>
    <mergeCell ref="A327:J327"/>
    <mergeCell ref="K327:L327"/>
    <mergeCell ref="A328:J328"/>
    <mergeCell ref="K328:L328"/>
    <mergeCell ref="A329:J329"/>
    <mergeCell ref="K329:L329"/>
    <mergeCell ref="A330:J330"/>
    <mergeCell ref="K330:L330"/>
    <mergeCell ref="A313:J314"/>
    <mergeCell ref="K313:L314"/>
    <mergeCell ref="A315:J316"/>
    <mergeCell ref="K315:L316"/>
    <mergeCell ref="A318:L319"/>
    <mergeCell ref="A321:J322"/>
    <mergeCell ref="K321:L322"/>
    <mergeCell ref="A323:J324"/>
    <mergeCell ref="K323:L324"/>
    <mergeCell ref="A303:L304"/>
    <mergeCell ref="A305:J306"/>
    <mergeCell ref="K305:L306"/>
    <mergeCell ref="A307:J308"/>
    <mergeCell ref="K307:L308"/>
    <mergeCell ref="A309:J310"/>
    <mergeCell ref="K309:L310"/>
    <mergeCell ref="A311:J312"/>
    <mergeCell ref="K311:L312"/>
    <mergeCell ref="A280:L280"/>
    <mergeCell ref="A281:L282"/>
    <mergeCell ref="A283:J283"/>
    <mergeCell ref="K283:L283"/>
    <mergeCell ref="A284:A287"/>
    <mergeCell ref="B284:J285"/>
    <mergeCell ref="K284:L301"/>
    <mergeCell ref="B286:J287"/>
    <mergeCell ref="A288:A289"/>
    <mergeCell ref="B288:J289"/>
    <mergeCell ref="A290:A291"/>
    <mergeCell ref="B290:J291"/>
    <mergeCell ref="A292:A293"/>
    <mergeCell ref="B292:J293"/>
    <mergeCell ref="A294:A295"/>
    <mergeCell ref="B294:J295"/>
    <mergeCell ref="A296:A297"/>
    <mergeCell ref="B296:J297"/>
    <mergeCell ref="A298:A299"/>
    <mergeCell ref="B298:J299"/>
    <mergeCell ref="A300:A301"/>
    <mergeCell ref="B300:J301"/>
    <mergeCell ref="G274:H274"/>
    <mergeCell ref="I274:J274"/>
    <mergeCell ref="G275:H275"/>
    <mergeCell ref="I275:J275"/>
    <mergeCell ref="G276:H276"/>
    <mergeCell ref="I276:J276"/>
    <mergeCell ref="G277:H277"/>
    <mergeCell ref="I277:J277"/>
    <mergeCell ref="B278:D278"/>
    <mergeCell ref="G268:I268"/>
    <mergeCell ref="J268:K268"/>
    <mergeCell ref="G270:J270"/>
    <mergeCell ref="G271:H271"/>
    <mergeCell ref="I271:J271"/>
    <mergeCell ref="G272:H272"/>
    <mergeCell ref="I272:J272"/>
    <mergeCell ref="G273:H273"/>
    <mergeCell ref="I273:J273"/>
    <mergeCell ref="G260:K261"/>
    <mergeCell ref="G262:G263"/>
    <mergeCell ref="H262:I262"/>
    <mergeCell ref="J262:K262"/>
    <mergeCell ref="H263:I263"/>
    <mergeCell ref="J263:K263"/>
    <mergeCell ref="G264:K265"/>
    <mergeCell ref="G266:G267"/>
    <mergeCell ref="H266:I266"/>
    <mergeCell ref="J266:K266"/>
    <mergeCell ref="H267:I267"/>
    <mergeCell ref="J267:K267"/>
    <mergeCell ref="G252:K253"/>
    <mergeCell ref="G254:G255"/>
    <mergeCell ref="H254:I254"/>
    <mergeCell ref="J254:K254"/>
    <mergeCell ref="H255:I255"/>
    <mergeCell ref="J255:K255"/>
    <mergeCell ref="G256:K257"/>
    <mergeCell ref="G258:G259"/>
    <mergeCell ref="H258:I258"/>
    <mergeCell ref="J258:K258"/>
    <mergeCell ref="H259:I259"/>
    <mergeCell ref="J259:K259"/>
    <mergeCell ref="A242:L242"/>
    <mergeCell ref="A243:L243"/>
    <mergeCell ref="A244:L245"/>
    <mergeCell ref="B246:E246"/>
    <mergeCell ref="G246:K246"/>
    <mergeCell ref="H247:I247"/>
    <mergeCell ref="J247:K247"/>
    <mergeCell ref="G248:K249"/>
    <mergeCell ref="G250:G251"/>
    <mergeCell ref="H250:I250"/>
    <mergeCell ref="J250:K250"/>
    <mergeCell ref="H251:I251"/>
    <mergeCell ref="J251:K251"/>
    <mergeCell ref="B232:L232"/>
    <mergeCell ref="B233:L233"/>
    <mergeCell ref="B234:L234"/>
    <mergeCell ref="B235:L235"/>
    <mergeCell ref="B236:L236"/>
    <mergeCell ref="B237:L237"/>
    <mergeCell ref="B238:L238"/>
    <mergeCell ref="B239:L239"/>
    <mergeCell ref="B240:L240"/>
    <mergeCell ref="A222:B222"/>
    <mergeCell ref="D222:J222"/>
    <mergeCell ref="A224:L225"/>
    <mergeCell ref="A226:L226"/>
    <mergeCell ref="B227:L227"/>
    <mergeCell ref="B228:L228"/>
    <mergeCell ref="B229:L229"/>
    <mergeCell ref="B230:L230"/>
    <mergeCell ref="B231:L231"/>
    <mergeCell ref="A217:B217"/>
    <mergeCell ref="D217:J217"/>
    <mergeCell ref="A218:B218"/>
    <mergeCell ref="D218:J218"/>
    <mergeCell ref="A219:B219"/>
    <mergeCell ref="D219:J219"/>
    <mergeCell ref="A220:B220"/>
    <mergeCell ref="D220:J220"/>
    <mergeCell ref="A221:B221"/>
    <mergeCell ref="D221:J221"/>
    <mergeCell ref="A212:B212"/>
    <mergeCell ref="D212:J212"/>
    <mergeCell ref="A213:B213"/>
    <mergeCell ref="D213:J213"/>
    <mergeCell ref="A214:B214"/>
    <mergeCell ref="D214:J214"/>
    <mergeCell ref="A215:B215"/>
    <mergeCell ref="D215:J215"/>
    <mergeCell ref="A216:B216"/>
    <mergeCell ref="D216:J216"/>
    <mergeCell ref="A205:L206"/>
    <mergeCell ref="A207:B209"/>
    <mergeCell ref="C207:C209"/>
    <mergeCell ref="D207:J209"/>
    <mergeCell ref="K207:L207"/>
    <mergeCell ref="K208:L208"/>
    <mergeCell ref="A210:B210"/>
    <mergeCell ref="D210:J210"/>
    <mergeCell ref="A211:B211"/>
    <mergeCell ref="D211:J211"/>
    <mergeCell ref="D8:E8"/>
    <mergeCell ref="H8:L8"/>
    <mergeCell ref="A1:L3"/>
    <mergeCell ref="A4:L4"/>
    <mergeCell ref="A5:L5"/>
    <mergeCell ref="A6:G6"/>
    <mergeCell ref="H6:L6"/>
    <mergeCell ref="A7:L7"/>
    <mergeCell ref="A8:C8"/>
    <mergeCell ref="A15:L16"/>
    <mergeCell ref="A17:B17"/>
    <mergeCell ref="C17:L17"/>
    <mergeCell ref="C18:L18"/>
    <mergeCell ref="C19:L19"/>
    <mergeCell ref="A18:B18"/>
    <mergeCell ref="A19:B19"/>
    <mergeCell ref="A9:E9"/>
    <mergeCell ref="H9:L9"/>
    <mergeCell ref="A51:F51"/>
    <mergeCell ref="G51:L51"/>
    <mergeCell ref="A53:F53"/>
    <mergeCell ref="G53:L53"/>
    <mergeCell ref="A52:F52"/>
    <mergeCell ref="G52:L52"/>
    <mergeCell ref="A55:F55"/>
    <mergeCell ref="G55:L55"/>
    <mergeCell ref="A54:F54"/>
    <mergeCell ref="G54:L54"/>
    <mergeCell ref="C20:L20"/>
    <mergeCell ref="A26:B26"/>
    <mergeCell ref="A27:B27"/>
    <mergeCell ref="C27:L27"/>
    <mergeCell ref="C26:L26"/>
    <mergeCell ref="C25:L25"/>
    <mergeCell ref="C21:L21"/>
    <mergeCell ref="A22:B22"/>
    <mergeCell ref="A23:B23"/>
    <mergeCell ref="A24:B24"/>
    <mergeCell ref="A25:B25"/>
    <mergeCell ref="A20:B20"/>
    <mergeCell ref="A21:B21"/>
    <mergeCell ref="A46:L47"/>
    <mergeCell ref="A48:F48"/>
    <mergeCell ref="G48:L48"/>
    <mergeCell ref="A49:F49"/>
    <mergeCell ref="G49:L49"/>
    <mergeCell ref="A50:F50"/>
    <mergeCell ref="C22:L22"/>
    <mergeCell ref="C23:L23"/>
    <mergeCell ref="C24:L24"/>
    <mergeCell ref="A34:L35"/>
    <mergeCell ref="G50:L50"/>
    <mergeCell ref="A28:B28"/>
    <mergeCell ref="C28:L28"/>
    <mergeCell ref="A30:L31"/>
    <mergeCell ref="A32:L32"/>
    <mergeCell ref="A36:L36"/>
    <mergeCell ref="A38:L39"/>
    <mergeCell ref="A40:L40"/>
    <mergeCell ref="A42:L43"/>
    <mergeCell ref="A44:L44"/>
    <mergeCell ref="A66:B66"/>
    <mergeCell ref="C66:L66"/>
    <mergeCell ref="A56:F56"/>
    <mergeCell ref="G56:L56"/>
    <mergeCell ref="A57:F57"/>
    <mergeCell ref="G57:L57"/>
    <mergeCell ref="A58:F58"/>
    <mergeCell ref="G58:L58"/>
    <mergeCell ref="A59:F59"/>
    <mergeCell ref="G59:L59"/>
    <mergeCell ref="A60:F60"/>
    <mergeCell ref="G60:L60"/>
    <mergeCell ref="A61:F61"/>
    <mergeCell ref="G61:L61"/>
    <mergeCell ref="A63:F63"/>
    <mergeCell ref="G63:L63"/>
    <mergeCell ref="A62:F62"/>
    <mergeCell ref="G62:L62"/>
    <mergeCell ref="A64:F64"/>
    <mergeCell ref="G64:L64"/>
    <mergeCell ref="A65:B65"/>
    <mergeCell ref="C65:L65"/>
    <mergeCell ref="A78:E78"/>
    <mergeCell ref="F78:H78"/>
    <mergeCell ref="I78:J78"/>
    <mergeCell ref="A79:E79"/>
    <mergeCell ref="F79:H79"/>
    <mergeCell ref="I79:J79"/>
    <mergeCell ref="A68:L69"/>
    <mergeCell ref="A70:F70"/>
    <mergeCell ref="G70:L70"/>
    <mergeCell ref="A71:C71"/>
    <mergeCell ref="D71:L71"/>
    <mergeCell ref="A73:L74"/>
    <mergeCell ref="I75:J75"/>
    <mergeCell ref="F75:H75"/>
    <mergeCell ref="A75:E75"/>
    <mergeCell ref="A76:E76"/>
    <mergeCell ref="F76:H76"/>
    <mergeCell ref="I76:J76"/>
    <mergeCell ref="A77:E77"/>
    <mergeCell ref="F77:H77"/>
    <mergeCell ref="I77:J77"/>
    <mergeCell ref="A80:E80"/>
    <mergeCell ref="F80:H80"/>
    <mergeCell ref="I80:J80"/>
    <mergeCell ref="A81:E81"/>
    <mergeCell ref="F81:H81"/>
    <mergeCell ref="I81:J81"/>
    <mergeCell ref="A82:E82"/>
    <mergeCell ref="F82:H82"/>
    <mergeCell ref="I82:J82"/>
    <mergeCell ref="A83:E83"/>
    <mergeCell ref="F83:H83"/>
    <mergeCell ref="I83:J83"/>
    <mergeCell ref="A84:E84"/>
    <mergeCell ref="F84:H84"/>
    <mergeCell ref="I84:J84"/>
    <mergeCell ref="A85:E85"/>
    <mergeCell ref="F85:H85"/>
    <mergeCell ref="I85:J85"/>
    <mergeCell ref="A86:E86"/>
    <mergeCell ref="F86:H86"/>
    <mergeCell ref="I86:J86"/>
    <mergeCell ref="A87:E87"/>
    <mergeCell ref="F87:H87"/>
    <mergeCell ref="I87:J87"/>
    <mergeCell ref="A88:E88"/>
    <mergeCell ref="F88:H88"/>
    <mergeCell ref="I88:J88"/>
    <mergeCell ref="A95:B95"/>
    <mergeCell ref="A96:B96"/>
    <mergeCell ref="A97:B97"/>
    <mergeCell ref="A98:B98"/>
    <mergeCell ref="A89:E89"/>
    <mergeCell ref="F89:H89"/>
    <mergeCell ref="I89:J89"/>
    <mergeCell ref="A90:E90"/>
    <mergeCell ref="F90:H90"/>
    <mergeCell ref="I90:J90"/>
    <mergeCell ref="A92:L93"/>
    <mergeCell ref="A94:B94"/>
    <mergeCell ref="A99:B99"/>
    <mergeCell ref="A100:B100"/>
    <mergeCell ref="A102:B102"/>
    <mergeCell ref="A101:B101"/>
    <mergeCell ref="A104:B104"/>
    <mergeCell ref="A103:B103"/>
    <mergeCell ref="A105:B105"/>
    <mergeCell ref="A107:B107"/>
    <mergeCell ref="A106:B106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1:B121"/>
    <mergeCell ref="A120:B120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9:L140"/>
    <mergeCell ref="G141:H141"/>
    <mergeCell ref="K141:L141"/>
    <mergeCell ref="K142:L142"/>
    <mergeCell ref="K143:L143"/>
    <mergeCell ref="K144:L144"/>
    <mergeCell ref="A141:D141"/>
    <mergeCell ref="A142:D142"/>
    <mergeCell ref="A143:D143"/>
    <mergeCell ref="A144:D144"/>
    <mergeCell ref="A138:B138"/>
    <mergeCell ref="G138:I138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60:L160"/>
    <mergeCell ref="K159:L159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E141:F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81:D181"/>
    <mergeCell ref="A182:D182"/>
    <mergeCell ref="A183:D183"/>
    <mergeCell ref="A184:D184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91:E191"/>
    <mergeCell ref="F191:H191"/>
    <mergeCell ref="A192:E192"/>
    <mergeCell ref="F192:H192"/>
    <mergeCell ref="A193:E193"/>
    <mergeCell ref="F193:H193"/>
    <mergeCell ref="A186:L187"/>
    <mergeCell ref="A188:E188"/>
    <mergeCell ref="F188:H188"/>
    <mergeCell ref="A189:E189"/>
    <mergeCell ref="F189:H189"/>
    <mergeCell ref="A190:E190"/>
    <mergeCell ref="F190:H190"/>
    <mergeCell ref="A197:E197"/>
    <mergeCell ref="F197:H197"/>
    <mergeCell ref="A198:E198"/>
    <mergeCell ref="F198:H198"/>
    <mergeCell ref="A199:E199"/>
    <mergeCell ref="F199:H199"/>
    <mergeCell ref="A194:E194"/>
    <mergeCell ref="F194:H194"/>
    <mergeCell ref="A195:E195"/>
    <mergeCell ref="F195:H195"/>
    <mergeCell ref="A196:E196"/>
    <mergeCell ref="F196:H196"/>
    <mergeCell ref="A203:E203"/>
    <mergeCell ref="F203:H203"/>
    <mergeCell ref="I188:K188"/>
    <mergeCell ref="I189:K189"/>
    <mergeCell ref="I190:K190"/>
    <mergeCell ref="I191:K191"/>
    <mergeCell ref="I192:K192"/>
    <mergeCell ref="I193:K193"/>
    <mergeCell ref="I194:K194"/>
    <mergeCell ref="I195:K195"/>
    <mergeCell ref="I196:K196"/>
    <mergeCell ref="I197:K197"/>
    <mergeCell ref="I198:K198"/>
    <mergeCell ref="I199:K199"/>
    <mergeCell ref="I201:K201"/>
    <mergeCell ref="I200:K200"/>
    <mergeCell ref="I202:K202"/>
    <mergeCell ref="I203:K203"/>
    <mergeCell ref="A200:E200"/>
    <mergeCell ref="F200:H200"/>
    <mergeCell ref="A201:E201"/>
    <mergeCell ref="F201:H201"/>
    <mergeCell ref="A202:E202"/>
    <mergeCell ref="F202:H202"/>
  </mergeCells>
  <pageMargins left="0.51180555555555596" right="0.51180555555555596" top="0.63472222222222197" bottom="0.78749999999999998" header="0" footer="0"/>
  <pageSetup paperSize="9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6514C78D-E65F-42CA-8B59-AA5072897875}">
          <x14:formula1>
            <xm:f>Dados!#REF!</xm:f>
          </x14:formula1>
          <xm:sqref>C95:C137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/>
  </sheetViews>
  <sheetFormatPr defaultColWidth="14.42578125" defaultRowHeight="15" customHeight="1" x14ac:dyDescent="0.25"/>
  <cols>
    <col min="1" max="1" width="26.28515625" customWidth="1"/>
    <col min="2" max="11" width="8.7109375" customWidth="1"/>
  </cols>
  <sheetData>
    <row r="2" spans="1:11" x14ac:dyDescent="0.25">
      <c r="A2" s="4" t="s">
        <v>19</v>
      </c>
      <c r="E2" s="4" t="s">
        <v>23</v>
      </c>
      <c r="G2" s="4">
        <v>1</v>
      </c>
      <c r="H2" s="4" t="s">
        <v>24</v>
      </c>
      <c r="K2" s="4" t="s">
        <v>25</v>
      </c>
    </row>
    <row r="3" spans="1:11" x14ac:dyDescent="0.25">
      <c r="A3" s="4" t="s">
        <v>26</v>
      </c>
      <c r="E3" s="4" t="s">
        <v>27</v>
      </c>
      <c r="G3" s="4">
        <v>2</v>
      </c>
      <c r="H3" s="4" t="s">
        <v>28</v>
      </c>
      <c r="K3" s="4" t="s">
        <v>29</v>
      </c>
    </row>
    <row r="4" spans="1:11" x14ac:dyDescent="0.25">
      <c r="A4" s="4" t="s">
        <v>30</v>
      </c>
      <c r="E4" s="4" t="s">
        <v>31</v>
      </c>
      <c r="G4" s="4">
        <v>3</v>
      </c>
      <c r="H4" s="4" t="s">
        <v>32</v>
      </c>
      <c r="K4" s="4" t="s">
        <v>33</v>
      </c>
    </row>
    <row r="5" spans="1:11" x14ac:dyDescent="0.25">
      <c r="A5" s="4" t="s">
        <v>34</v>
      </c>
    </row>
    <row r="6" spans="1:11" x14ac:dyDescent="0.25">
      <c r="A6" s="4" t="s">
        <v>35</v>
      </c>
      <c r="E6" s="4" t="s">
        <v>36</v>
      </c>
      <c r="G6" s="4">
        <v>4</v>
      </c>
      <c r="H6" s="4" t="s">
        <v>37</v>
      </c>
      <c r="K6" s="4" t="s">
        <v>38</v>
      </c>
    </row>
    <row r="7" spans="1:11" x14ac:dyDescent="0.25">
      <c r="A7" s="4" t="s">
        <v>39</v>
      </c>
    </row>
    <row r="8" spans="1:11" x14ac:dyDescent="0.25">
      <c r="A8" s="4" t="s">
        <v>40</v>
      </c>
      <c r="E8" s="4" t="s">
        <v>41</v>
      </c>
      <c r="G8" s="4">
        <v>5</v>
      </c>
      <c r="H8" s="4" t="s">
        <v>42</v>
      </c>
      <c r="K8" s="4" t="s">
        <v>43</v>
      </c>
    </row>
    <row r="9" spans="1:11" x14ac:dyDescent="0.25">
      <c r="A9" s="4" t="s">
        <v>44</v>
      </c>
      <c r="E9" s="4" t="s">
        <v>45</v>
      </c>
      <c r="G9" s="4">
        <v>6</v>
      </c>
      <c r="H9" s="4" t="s">
        <v>46</v>
      </c>
      <c r="K9" s="4" t="s">
        <v>47</v>
      </c>
    </row>
    <row r="10" spans="1:11" x14ac:dyDescent="0.25">
      <c r="E10" s="4" t="s">
        <v>48</v>
      </c>
      <c r="G10" s="4">
        <v>7</v>
      </c>
      <c r="H10" s="4" t="s">
        <v>49</v>
      </c>
      <c r="K10" s="4" t="s">
        <v>50</v>
      </c>
    </row>
    <row r="11" spans="1:11" x14ac:dyDescent="0.25">
      <c r="E11" s="4" t="s">
        <v>51</v>
      </c>
      <c r="G11" s="4">
        <v>8</v>
      </c>
      <c r="H11" s="4" t="s">
        <v>52</v>
      </c>
      <c r="K11" s="4" t="s">
        <v>53</v>
      </c>
    </row>
    <row r="12" spans="1:11" x14ac:dyDescent="0.25">
      <c r="A12" s="4" t="s">
        <v>54</v>
      </c>
      <c r="E12" s="4" t="s">
        <v>55</v>
      </c>
      <c r="G12" s="4">
        <v>9</v>
      </c>
      <c r="H12" s="4" t="s">
        <v>56</v>
      </c>
      <c r="K12" s="4" t="s">
        <v>57</v>
      </c>
    </row>
    <row r="13" spans="1:11" ht="45" x14ac:dyDescent="0.25">
      <c r="A13" s="5" t="s">
        <v>58</v>
      </c>
      <c r="E13" s="4" t="s">
        <v>59</v>
      </c>
      <c r="G13" s="4">
        <v>10</v>
      </c>
      <c r="H13" s="4" t="s">
        <v>60</v>
      </c>
      <c r="K13" s="4" t="s">
        <v>61</v>
      </c>
    </row>
    <row r="14" spans="1:11" x14ac:dyDescent="0.25">
      <c r="A14" s="4" t="s">
        <v>62</v>
      </c>
      <c r="E14" s="4" t="s">
        <v>63</v>
      </c>
      <c r="H14" s="4" t="s">
        <v>64</v>
      </c>
      <c r="K14" s="4" t="s">
        <v>65</v>
      </c>
    </row>
    <row r="15" spans="1:11" x14ac:dyDescent="0.25">
      <c r="A15" s="4" t="s">
        <v>66</v>
      </c>
      <c r="E15" s="4" t="s">
        <v>67</v>
      </c>
      <c r="H15" s="4" t="s">
        <v>68</v>
      </c>
      <c r="K15" s="4" t="s">
        <v>69</v>
      </c>
    </row>
    <row r="16" spans="1:11" x14ac:dyDescent="0.25">
      <c r="A16" s="4" t="s">
        <v>70</v>
      </c>
      <c r="E16" s="4" t="s">
        <v>71</v>
      </c>
      <c r="H16" s="4" t="s">
        <v>72</v>
      </c>
      <c r="K16" s="4" t="s">
        <v>73</v>
      </c>
    </row>
    <row r="17" spans="1:11" x14ac:dyDescent="0.25">
      <c r="A17" s="4" t="s">
        <v>74</v>
      </c>
      <c r="E17" s="4" t="s">
        <v>75</v>
      </c>
      <c r="H17" s="4" t="s">
        <v>76</v>
      </c>
      <c r="K17" s="4" t="s">
        <v>77</v>
      </c>
    </row>
    <row r="18" spans="1:11" x14ac:dyDescent="0.25">
      <c r="A18" s="4" t="s">
        <v>78</v>
      </c>
      <c r="E18" s="4" t="s">
        <v>79</v>
      </c>
      <c r="H18" s="4" t="s">
        <v>80</v>
      </c>
      <c r="K18" s="4" t="s">
        <v>81</v>
      </c>
    </row>
    <row r="19" spans="1:11" x14ac:dyDescent="0.25">
      <c r="A19" s="4" t="s">
        <v>82</v>
      </c>
      <c r="E19" s="4" t="s">
        <v>83</v>
      </c>
      <c r="H19" s="4" t="s">
        <v>84</v>
      </c>
      <c r="K19" s="4" t="s">
        <v>85</v>
      </c>
    </row>
    <row r="20" spans="1:11" x14ac:dyDescent="0.25">
      <c r="A20" s="4" t="s">
        <v>86</v>
      </c>
      <c r="E20" s="4" t="s">
        <v>87</v>
      </c>
      <c r="H20" s="4" t="s">
        <v>88</v>
      </c>
      <c r="K20" s="4" t="s">
        <v>89</v>
      </c>
    </row>
    <row r="21" spans="1:11" ht="15.75" customHeight="1" x14ac:dyDescent="0.25">
      <c r="A21" s="4" t="s">
        <v>90</v>
      </c>
      <c r="E21" s="4" t="s">
        <v>91</v>
      </c>
      <c r="H21" s="4" t="s">
        <v>92</v>
      </c>
      <c r="K21" s="4" t="s">
        <v>93</v>
      </c>
    </row>
    <row r="22" spans="1:11" ht="15.75" customHeight="1" x14ac:dyDescent="0.25">
      <c r="A22" s="4" t="s">
        <v>94</v>
      </c>
      <c r="E22" s="4" t="s">
        <v>95</v>
      </c>
      <c r="H22" s="4" t="s">
        <v>96</v>
      </c>
      <c r="K22" s="4" t="s">
        <v>97</v>
      </c>
    </row>
    <row r="23" spans="1:11" ht="15.75" customHeight="1" x14ac:dyDescent="0.25">
      <c r="A23" s="4" t="s">
        <v>98</v>
      </c>
      <c r="E23" s="4" t="s">
        <v>99</v>
      </c>
      <c r="H23" s="4" t="s">
        <v>100</v>
      </c>
      <c r="K23" s="4" t="s">
        <v>101</v>
      </c>
    </row>
    <row r="24" spans="1:11" ht="15.75" customHeight="1" x14ac:dyDescent="0.25">
      <c r="A24" s="4" t="s">
        <v>102</v>
      </c>
      <c r="E24" s="4" t="s">
        <v>103</v>
      </c>
      <c r="H24" s="4" t="s">
        <v>104</v>
      </c>
      <c r="K24" s="4" t="s">
        <v>105</v>
      </c>
    </row>
    <row r="25" spans="1:11" ht="15.75" customHeight="1" x14ac:dyDescent="0.25">
      <c r="A25" s="4" t="s">
        <v>106</v>
      </c>
      <c r="E25" s="4" t="s">
        <v>107</v>
      </c>
      <c r="H25" s="4" t="s">
        <v>108</v>
      </c>
      <c r="K25" s="4" t="s">
        <v>109</v>
      </c>
    </row>
    <row r="26" spans="1:11" ht="15.75" customHeight="1" x14ac:dyDescent="0.25">
      <c r="A26" s="4" t="s">
        <v>110</v>
      </c>
      <c r="E26" s="4" t="s">
        <v>111</v>
      </c>
      <c r="H26" s="4" t="s">
        <v>112</v>
      </c>
      <c r="K26" s="4" t="s">
        <v>113</v>
      </c>
    </row>
    <row r="27" spans="1:11" ht="15.75" customHeight="1" x14ac:dyDescent="0.25">
      <c r="A27" s="4" t="s">
        <v>114</v>
      </c>
      <c r="E27" s="4" t="s">
        <v>115</v>
      </c>
      <c r="H27" s="4" t="s">
        <v>116</v>
      </c>
      <c r="K27" s="4" t="s">
        <v>117</v>
      </c>
    </row>
    <row r="28" spans="1:11" ht="15.75" customHeight="1" x14ac:dyDescent="0.25">
      <c r="E28" s="4" t="s">
        <v>118</v>
      </c>
      <c r="H28" s="4" t="s">
        <v>119</v>
      </c>
      <c r="K28" s="4" t="s">
        <v>120</v>
      </c>
    </row>
    <row r="29" spans="1:11" ht="15.75" customHeight="1" x14ac:dyDescent="0.25">
      <c r="E29" s="4" t="s">
        <v>121</v>
      </c>
      <c r="H29" s="4" t="s">
        <v>122</v>
      </c>
      <c r="K29" s="4" t="s">
        <v>123</v>
      </c>
    </row>
    <row r="30" spans="1:11" ht="15.75" customHeight="1" x14ac:dyDescent="0.25">
      <c r="E30" s="4" t="s">
        <v>124</v>
      </c>
      <c r="H30" s="4" t="s">
        <v>125</v>
      </c>
      <c r="K30" s="4" t="s">
        <v>126</v>
      </c>
    </row>
    <row r="31" spans="1:11" ht="15.75" customHeight="1" x14ac:dyDescent="0.25">
      <c r="E31" s="4" t="s">
        <v>127</v>
      </c>
      <c r="H31" s="4" t="s">
        <v>128</v>
      </c>
      <c r="K31" s="4" t="s">
        <v>129</v>
      </c>
    </row>
    <row r="32" spans="1:11" ht="15.75" customHeight="1" x14ac:dyDescent="0.25">
      <c r="E32" s="4" t="s">
        <v>130</v>
      </c>
      <c r="H32" s="4" t="s">
        <v>131</v>
      </c>
      <c r="K32" s="4" t="s">
        <v>132</v>
      </c>
    </row>
    <row r="33" spans="5:11" ht="15.75" customHeight="1" x14ac:dyDescent="0.25">
      <c r="E33" s="4" t="s">
        <v>133</v>
      </c>
      <c r="H33" s="4" t="s">
        <v>134</v>
      </c>
      <c r="K33" s="4" t="s">
        <v>135</v>
      </c>
    </row>
    <row r="34" spans="5:11" ht="15.75" customHeight="1" x14ac:dyDescent="0.25">
      <c r="E34" s="4" t="s">
        <v>136</v>
      </c>
      <c r="H34" s="4" t="s">
        <v>137</v>
      </c>
      <c r="K34" s="4" t="s">
        <v>138</v>
      </c>
    </row>
    <row r="35" spans="5:11" ht="15.75" customHeight="1" x14ac:dyDescent="0.25">
      <c r="E35" s="4" t="s">
        <v>139</v>
      </c>
      <c r="H35" s="4" t="s">
        <v>140</v>
      </c>
      <c r="K35" s="4" t="s">
        <v>141</v>
      </c>
    </row>
    <row r="36" spans="5:11" ht="15.75" customHeight="1" x14ac:dyDescent="0.25">
      <c r="E36" s="4" t="s">
        <v>142</v>
      </c>
      <c r="H36" s="4" t="s">
        <v>143</v>
      </c>
      <c r="K36" s="4" t="s">
        <v>144</v>
      </c>
    </row>
    <row r="37" spans="5:11" ht="15.75" customHeight="1" x14ac:dyDescent="0.25">
      <c r="E37" s="4" t="s">
        <v>145</v>
      </c>
      <c r="H37" s="4" t="s">
        <v>146</v>
      </c>
      <c r="K37" s="4" t="s">
        <v>147</v>
      </c>
    </row>
    <row r="38" spans="5:11" ht="15.75" customHeight="1" x14ac:dyDescent="0.25">
      <c r="E38" s="4" t="s">
        <v>148</v>
      </c>
      <c r="H38" s="4" t="s">
        <v>149</v>
      </c>
      <c r="K38" s="4" t="s">
        <v>150</v>
      </c>
    </row>
    <row r="39" spans="5:11" ht="15.75" customHeight="1" x14ac:dyDescent="0.25">
      <c r="E39" s="4" t="s">
        <v>151</v>
      </c>
      <c r="H39" s="4" t="s">
        <v>152</v>
      </c>
      <c r="K39" s="4" t="s">
        <v>153</v>
      </c>
    </row>
    <row r="40" spans="5:11" ht="15.75" customHeight="1" x14ac:dyDescent="0.25">
      <c r="E40" s="4" t="s">
        <v>154</v>
      </c>
      <c r="H40" s="4" t="s">
        <v>155</v>
      </c>
      <c r="K40" s="4" t="s">
        <v>156</v>
      </c>
    </row>
    <row r="41" spans="5:11" ht="15.75" customHeight="1" x14ac:dyDescent="0.25">
      <c r="E41" s="4" t="s">
        <v>157</v>
      </c>
      <c r="H41" s="4" t="s">
        <v>158</v>
      </c>
      <c r="K41" s="4" t="s">
        <v>159</v>
      </c>
    </row>
    <row r="42" spans="5:11" ht="15.75" customHeight="1" x14ac:dyDescent="0.25">
      <c r="E42" s="4" t="s">
        <v>160</v>
      </c>
      <c r="H42" s="4" t="s">
        <v>161</v>
      </c>
      <c r="K42" s="4" t="s">
        <v>162</v>
      </c>
    </row>
    <row r="43" spans="5:11" ht="15.75" customHeight="1" x14ac:dyDescent="0.25">
      <c r="E43" s="4" t="s">
        <v>163</v>
      </c>
      <c r="H43" s="4" t="s">
        <v>164</v>
      </c>
      <c r="K43" s="4" t="s">
        <v>165</v>
      </c>
    </row>
    <row r="44" spans="5:11" ht="15.75" customHeight="1" x14ac:dyDescent="0.25">
      <c r="E44" s="4" t="s">
        <v>166</v>
      </c>
      <c r="H44" s="4" t="s">
        <v>167</v>
      </c>
    </row>
    <row r="45" spans="5:11" ht="15.75" customHeight="1" x14ac:dyDescent="0.25">
      <c r="E45" s="4" t="s">
        <v>168</v>
      </c>
      <c r="H45" s="4" t="s">
        <v>169</v>
      </c>
    </row>
    <row r="46" spans="5:11" ht="15.75" customHeight="1" x14ac:dyDescent="0.25">
      <c r="E46" s="4" t="s">
        <v>170</v>
      </c>
      <c r="H46" s="4" t="s">
        <v>171</v>
      </c>
    </row>
    <row r="47" spans="5:11" ht="15.75" customHeight="1" x14ac:dyDescent="0.25">
      <c r="E47" s="4" t="s">
        <v>172</v>
      </c>
      <c r="H47" s="4" t="s">
        <v>173</v>
      </c>
    </row>
    <row r="48" spans="5:11" ht="15.75" customHeight="1" x14ac:dyDescent="0.25">
      <c r="E48" s="4" t="s">
        <v>174</v>
      </c>
      <c r="H48" s="4" t="s">
        <v>175</v>
      </c>
    </row>
    <row r="49" spans="5:8" ht="15.75" customHeight="1" x14ac:dyDescent="0.25">
      <c r="E49" s="4" t="s">
        <v>176</v>
      </c>
      <c r="H49" s="4" t="s">
        <v>177</v>
      </c>
    </row>
    <row r="50" spans="5:8" ht="15.75" customHeight="1" x14ac:dyDescent="0.25">
      <c r="E50" s="4" t="s">
        <v>178</v>
      </c>
      <c r="H50" s="4" t="s">
        <v>179</v>
      </c>
    </row>
    <row r="51" spans="5:8" ht="15.75" customHeight="1" x14ac:dyDescent="0.25">
      <c r="E51" s="4" t="s">
        <v>180</v>
      </c>
      <c r="H51" s="4" t="s">
        <v>181</v>
      </c>
    </row>
    <row r="52" spans="5:8" ht="15.75" customHeight="1" x14ac:dyDescent="0.25">
      <c r="E52" s="4" t="s">
        <v>182</v>
      </c>
      <c r="H52" s="4" t="s">
        <v>183</v>
      </c>
    </row>
    <row r="53" spans="5:8" ht="15.75" customHeight="1" x14ac:dyDescent="0.25">
      <c r="E53" s="4" t="s">
        <v>184</v>
      </c>
      <c r="H53" s="4" t="s">
        <v>185</v>
      </c>
    </row>
    <row r="54" spans="5:8" ht="15.75" customHeight="1" x14ac:dyDescent="0.25">
      <c r="E54" s="4" t="s">
        <v>186</v>
      </c>
      <c r="H54" s="4" t="s">
        <v>187</v>
      </c>
    </row>
    <row r="55" spans="5:8" ht="15.75" customHeight="1" x14ac:dyDescent="0.25">
      <c r="E55" s="4" t="s">
        <v>188</v>
      </c>
      <c r="H55" s="4" t="s">
        <v>189</v>
      </c>
    </row>
    <row r="56" spans="5:8" ht="15.75" customHeight="1" x14ac:dyDescent="0.25">
      <c r="E56" s="4" t="s">
        <v>190</v>
      </c>
      <c r="H56" s="4" t="s">
        <v>191</v>
      </c>
    </row>
    <row r="57" spans="5:8" ht="15.75" customHeight="1" x14ac:dyDescent="0.25">
      <c r="E57" s="4" t="s">
        <v>192</v>
      </c>
      <c r="H57" s="4" t="s">
        <v>193</v>
      </c>
    </row>
    <row r="58" spans="5:8" ht="15.75" customHeight="1" x14ac:dyDescent="0.25">
      <c r="E58" s="4" t="s">
        <v>194</v>
      </c>
      <c r="H58" s="4" t="s">
        <v>195</v>
      </c>
    </row>
    <row r="59" spans="5:8" ht="15.75" customHeight="1" x14ac:dyDescent="0.25">
      <c r="E59" s="4" t="s">
        <v>196</v>
      </c>
      <c r="H59" s="4" t="s">
        <v>197</v>
      </c>
    </row>
    <row r="60" spans="5:8" ht="15.75" customHeight="1" x14ac:dyDescent="0.25">
      <c r="E60" s="4" t="s">
        <v>198</v>
      </c>
      <c r="H60" s="4" t="s">
        <v>199</v>
      </c>
    </row>
    <row r="61" spans="5:8" ht="15.75" customHeight="1" x14ac:dyDescent="0.25">
      <c r="E61" s="4" t="s">
        <v>200</v>
      </c>
      <c r="H61" s="4" t="s">
        <v>201</v>
      </c>
    </row>
    <row r="62" spans="5:8" ht="15.75" customHeight="1" x14ac:dyDescent="0.25">
      <c r="E62" s="4" t="s">
        <v>202</v>
      </c>
      <c r="H62" s="4" t="s">
        <v>203</v>
      </c>
    </row>
    <row r="63" spans="5:8" ht="15.75" customHeight="1" x14ac:dyDescent="0.25">
      <c r="E63" s="4" t="s">
        <v>204</v>
      </c>
      <c r="H63" s="4" t="s">
        <v>205</v>
      </c>
    </row>
    <row r="64" spans="5:8" ht="15.75" customHeight="1" x14ac:dyDescent="0.25">
      <c r="H64" s="4" t="s">
        <v>206</v>
      </c>
    </row>
    <row r="65" spans="8:8" ht="15.75" customHeight="1" x14ac:dyDescent="0.25">
      <c r="H65" s="4" t="s">
        <v>207</v>
      </c>
    </row>
    <row r="66" spans="8:8" ht="15.75" customHeight="1" x14ac:dyDescent="0.25">
      <c r="H66" s="4" t="s">
        <v>208</v>
      </c>
    </row>
    <row r="67" spans="8:8" ht="15.75" customHeight="1" x14ac:dyDescent="0.25">
      <c r="H67" s="4" t="s">
        <v>209</v>
      </c>
    </row>
    <row r="68" spans="8:8" ht="15.75" customHeight="1" x14ac:dyDescent="0.25">
      <c r="H68" s="4" t="s">
        <v>210</v>
      </c>
    </row>
    <row r="69" spans="8:8" ht="15.75" customHeight="1" x14ac:dyDescent="0.25">
      <c r="H69" s="4" t="s">
        <v>211</v>
      </c>
    </row>
    <row r="70" spans="8:8" ht="15.75" customHeight="1" x14ac:dyDescent="0.25">
      <c r="H70" s="4" t="s">
        <v>212</v>
      </c>
    </row>
    <row r="71" spans="8:8" ht="15.75" customHeight="1" x14ac:dyDescent="0.25">
      <c r="H71" s="4" t="s">
        <v>213</v>
      </c>
    </row>
    <row r="72" spans="8:8" ht="15.75" customHeight="1" x14ac:dyDescent="0.25">
      <c r="H72" s="4" t="s">
        <v>214</v>
      </c>
    </row>
    <row r="73" spans="8:8" ht="15.75" customHeight="1" x14ac:dyDescent="0.25">
      <c r="H73" s="4" t="s">
        <v>215</v>
      </c>
    </row>
    <row r="74" spans="8:8" ht="15.75" customHeight="1" x14ac:dyDescent="0.25">
      <c r="H74" s="4" t="s">
        <v>216</v>
      </c>
    </row>
    <row r="75" spans="8:8" ht="15.75" customHeight="1" x14ac:dyDescent="0.25">
      <c r="H75" s="4" t="s">
        <v>217</v>
      </c>
    </row>
    <row r="76" spans="8:8" ht="15.75" customHeight="1" x14ac:dyDescent="0.25">
      <c r="H76" s="4" t="s">
        <v>218</v>
      </c>
    </row>
    <row r="77" spans="8:8" ht="15.75" customHeight="1" x14ac:dyDescent="0.25">
      <c r="H77" s="4" t="s">
        <v>219</v>
      </c>
    </row>
    <row r="78" spans="8:8" ht="15.75" customHeight="1" x14ac:dyDescent="0.25">
      <c r="H78" s="4" t="s">
        <v>220</v>
      </c>
    </row>
    <row r="79" spans="8:8" ht="15.75" customHeight="1" x14ac:dyDescent="0.25">
      <c r="H79" s="4" t="s">
        <v>221</v>
      </c>
    </row>
    <row r="80" spans="8:8" ht="15.75" customHeight="1" x14ac:dyDescent="0.25">
      <c r="H80" s="4" t="s">
        <v>222</v>
      </c>
    </row>
    <row r="81" spans="8:8" ht="15.75" customHeight="1" x14ac:dyDescent="0.25">
      <c r="H81" s="4" t="s">
        <v>223</v>
      </c>
    </row>
    <row r="82" spans="8:8" ht="15.75" customHeight="1" x14ac:dyDescent="0.25">
      <c r="H82" s="4" t="s">
        <v>224</v>
      </c>
    </row>
    <row r="83" spans="8:8" ht="15.75" customHeight="1" x14ac:dyDescent="0.25">
      <c r="H83" s="4" t="s">
        <v>225</v>
      </c>
    </row>
    <row r="84" spans="8:8" ht="15.75" customHeight="1" x14ac:dyDescent="0.25">
      <c r="H84" s="4" t="s">
        <v>226</v>
      </c>
    </row>
    <row r="85" spans="8:8" ht="15.75" customHeight="1" x14ac:dyDescent="0.25">
      <c r="H85" s="4" t="s">
        <v>227</v>
      </c>
    </row>
    <row r="86" spans="8:8" ht="15.75" customHeight="1" x14ac:dyDescent="0.25">
      <c r="H86" s="4" t="s">
        <v>228</v>
      </c>
    </row>
    <row r="87" spans="8:8" ht="15.75" customHeight="1" x14ac:dyDescent="0.25">
      <c r="H87" s="4" t="s">
        <v>229</v>
      </c>
    </row>
    <row r="88" spans="8:8" ht="15.75" customHeight="1" x14ac:dyDescent="0.25">
      <c r="H88" s="4" t="s">
        <v>230</v>
      </c>
    </row>
    <row r="89" spans="8:8" ht="15.75" customHeight="1" x14ac:dyDescent="0.25">
      <c r="H89" s="4" t="s">
        <v>231</v>
      </c>
    </row>
    <row r="90" spans="8:8" ht="15.75" customHeight="1" x14ac:dyDescent="0.25">
      <c r="H90" s="4" t="s">
        <v>232</v>
      </c>
    </row>
    <row r="91" spans="8:8" ht="15.75" customHeight="1" x14ac:dyDescent="0.25">
      <c r="H91" s="4" t="s">
        <v>233</v>
      </c>
    </row>
    <row r="92" spans="8:8" ht="15.75" customHeight="1" x14ac:dyDescent="0.25">
      <c r="H92" s="4" t="s">
        <v>234</v>
      </c>
    </row>
    <row r="93" spans="8:8" ht="15.75" customHeight="1" x14ac:dyDescent="0.25">
      <c r="H93" s="4" t="s">
        <v>235</v>
      </c>
    </row>
    <row r="94" spans="8:8" ht="15.75" customHeight="1" x14ac:dyDescent="0.25">
      <c r="H94" s="4" t="s">
        <v>236</v>
      </c>
    </row>
    <row r="95" spans="8:8" ht="15.75" customHeight="1" x14ac:dyDescent="0.25">
      <c r="H95" s="4" t="s">
        <v>237</v>
      </c>
    </row>
    <row r="96" spans="8:8" ht="15.75" customHeight="1" x14ac:dyDescent="0.25">
      <c r="H96" s="4" t="s">
        <v>238</v>
      </c>
    </row>
    <row r="97" spans="8:8" ht="15.75" customHeight="1" x14ac:dyDescent="0.25">
      <c r="H97" s="4" t="s">
        <v>239</v>
      </c>
    </row>
    <row r="98" spans="8:8" ht="15.75" customHeight="1" x14ac:dyDescent="0.25">
      <c r="H98" s="4" t="s">
        <v>240</v>
      </c>
    </row>
    <row r="99" spans="8:8" ht="15.75" customHeight="1" x14ac:dyDescent="0.25">
      <c r="H99" s="4" t="s">
        <v>241</v>
      </c>
    </row>
    <row r="100" spans="8:8" ht="15.75" customHeight="1" x14ac:dyDescent="0.25">
      <c r="H100" s="4" t="s">
        <v>242</v>
      </c>
    </row>
    <row r="101" spans="8:8" ht="15.75" customHeight="1" x14ac:dyDescent="0.25">
      <c r="H101" s="4" t="s">
        <v>243</v>
      </c>
    </row>
    <row r="102" spans="8:8" ht="15.75" customHeight="1" x14ac:dyDescent="0.25">
      <c r="H102" s="4" t="s">
        <v>244</v>
      </c>
    </row>
    <row r="103" spans="8:8" ht="15.75" customHeight="1" x14ac:dyDescent="0.25">
      <c r="H103" s="4" t="s">
        <v>245</v>
      </c>
    </row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Núcleo de Apoio a Projetos da PROINOVA</cp:lastModifiedBy>
  <dcterms:modified xsi:type="dcterms:W3CDTF">2026-06-15T13:01:40Z</dcterms:modified>
</cp:coreProperties>
</file>